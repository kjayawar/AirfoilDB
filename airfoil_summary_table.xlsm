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nishka.jayawardane\Desktop\Airfoil_Summary_DB\"/>
    </mc:Choice>
  </mc:AlternateContent>
  <xr:revisionPtr revIDLastSave="0" documentId="13_ncr:1_{65F2F2A5-CD86-4493-B4E4-91E85266970C}" xr6:coauthVersionLast="45" xr6:coauthVersionMax="45" xr10:uidLastSave="{00000000-0000-0000-0000-000000000000}"/>
  <bookViews>
    <workbookView xWindow="-25320" yWindow="-120" windowWidth="25440" windowHeight="15390" xr2:uid="{7E86A2DC-A3CD-42AF-AF7D-715AD7CC3DE9}"/>
  </bookViews>
  <sheets>
    <sheet name="Summary" sheetId="3" r:id="rId1"/>
    <sheet name="DB" sheetId="4" state="hidden" r:id="rId2"/>
    <sheet name="RE@CD" sheetId="16" state="hidden" r:id="rId3"/>
    <sheet name="RECD" sheetId="7" state="hidden" r:id="rId4"/>
    <sheet name="PLOT" sheetId="15" r:id="rId5"/>
  </sheets>
  <definedNames>
    <definedName name="_xlnm._FilterDatabase" localSheetId="0" hidden="1">Summary!$A$1:$T$577</definedName>
    <definedName name="ag03_">RECD!$B$2:$B$73</definedName>
    <definedName name="ag04_">RECD!$C$2:$C$73</definedName>
    <definedName name="ag08_">RECD!$D$2:$D$73</definedName>
    <definedName name="ag09_">RECD!$E$2:$E$73</definedName>
    <definedName name="ag10_">RECD!$F$2:$F$73</definedName>
    <definedName name="ag11_">RECD!$G$2:$G$73</definedName>
    <definedName name="ag12_">RECD!$H$2:$H$73</definedName>
    <definedName name="ag13_">RECD!$I$2:$I$73</definedName>
    <definedName name="ag14_">RECD!$J$2:$J$73</definedName>
    <definedName name="ag16_">RECD!$K$2:$K$73</definedName>
    <definedName name="ag17_">RECD!$L$2:$L$73</definedName>
    <definedName name="ag18_">RECD!$M$2:$M$73</definedName>
    <definedName name="ag19_">RECD!$N$2:$N$73</definedName>
    <definedName name="ag35_">RECD!$O$2:$O$73</definedName>
    <definedName name="ag36_">RECD!$P$2:$P$73</definedName>
    <definedName name="ag37_">RECD!$Q$2:$Q$73</definedName>
    <definedName name="ag38_">RECD!$R$2:$R$73</definedName>
    <definedName name="ag44ct02r_">RECD!$S$2:$S$73</definedName>
    <definedName name="ag455ct02r_">RECD!$T$2:$T$73</definedName>
    <definedName name="ag45c03_">RECD!$U$2:$U$73</definedName>
    <definedName name="ag45ct02r_">RECD!$V$2:$V$73</definedName>
    <definedName name="ag46c03_">RECD!$W$2:$W$73</definedName>
    <definedName name="ag46ct02r_">RECD!$X$2:$X$73</definedName>
    <definedName name="ag47c03_">RECD!$Y$2:$Y$73</definedName>
    <definedName name="ag47ct02r_">RECD!$Z$2:$Z$73</definedName>
    <definedName name="ah63k127_">RECD!$AA$2:$AA$73</definedName>
    <definedName name="ah6407_">RECD!$AB$2:$AB$73</definedName>
    <definedName name="ah7476_">RECD!$AC$2:$AC$73</definedName>
    <definedName name="ah79100a_">RECD!$AD$2:$AD$73</definedName>
    <definedName name="ah79100b_">RECD!$AE$2:$AE$73</definedName>
    <definedName name="ah79100c_">RECD!$AF$2:$AF$73</definedName>
    <definedName name="ah79k132_">RECD!$AG$2:$AG$73</definedName>
    <definedName name="ah79k135_">RECD!$AH$2:$AH$73</definedName>
    <definedName name="ah79k143_">RECD!$AI$2:$AI$73</definedName>
    <definedName name="ah80129_">RECD!$AJ$2:$AJ$73</definedName>
    <definedName name="ah80136_">RECD!$AK$2:$AK$73</definedName>
    <definedName name="ah80140_">RECD!$AL$2:$AL$73</definedName>
    <definedName name="ah81131_">RECD!$AM$2:$AM$73</definedName>
    <definedName name="ah81k144_">RECD!$AN$2:$AN$73</definedName>
    <definedName name="ah81k144wfKlappe_">RECD!$AO$2:$AO$73</definedName>
    <definedName name="ah82150a_">RECD!$AP$2:$AP$73</definedName>
    <definedName name="ah82150f_">RECD!$AQ$2:$AQ$73</definedName>
    <definedName name="ah83150q_">RECD!$AR$2:$AR$73</definedName>
    <definedName name="ah83159_">RECD!$AS$2:$AS$73</definedName>
    <definedName name="ah85l120_">RECD!$AT$2:$AT$73</definedName>
    <definedName name="ah88k130_">RECD!$AU$2:$AU$73</definedName>
    <definedName name="ah88k136_">RECD!$AV$2:$AV$73</definedName>
    <definedName name="ah93156_">RECD!$AW$2:$AW$73</definedName>
    <definedName name="ah93157_">RECD!$AX$2:$AX$73</definedName>
    <definedName name="ah93k130_">RECD!$AY$2:$AY$73</definedName>
    <definedName name="ah93k131_">RECD!$AZ$2:$AZ$73</definedName>
    <definedName name="ah93k132_">RECD!$BA$2:$BA$73</definedName>
    <definedName name="ah93w145_">RECD!$BB$2:$BB$73</definedName>
    <definedName name="ah93w174_">RECD!$BC$2:$BC$73</definedName>
    <definedName name="ah93w215_">RECD!$BD$2:$BD$73</definedName>
    <definedName name="ah93w257_">RECD!$BE$2:$BE$73</definedName>
    <definedName name="ah93w300_">RECD!$BF$2:$BF$73</definedName>
    <definedName name="ah94145_">RECD!$BG$2:$BG$73</definedName>
    <definedName name="ah94156_">RECD!$BH$2:$BH$73</definedName>
    <definedName name="ah94w301_">RECD!$BI$2:$BI$73</definedName>
    <definedName name="ah95160_">RECD!$BJ$2:$BJ$73</definedName>
    <definedName name="dae11_">RECD!$BK$2:$BK$73</definedName>
    <definedName name="dae21_">RECD!$BL$2:$BL$73</definedName>
    <definedName name="dae31_">RECD!$BM$2:$BM$73</definedName>
    <definedName name="dae51_">RECD!$BN$2:$BN$73</definedName>
    <definedName name="defcnd1_">RECD!$BO$2:$BO$73</definedName>
    <definedName name="defcnd2_">RECD!$BP$2:$BP$73</definedName>
    <definedName name="defcnd3_">RECD!$BQ$2:$BQ$73</definedName>
    <definedName name="du8608418_">RECD!$BR$2:$BR$73</definedName>
    <definedName name="du861372_">RECD!$BS$2:$BS$73</definedName>
    <definedName name="e1098_">RECD!$BT$2:$BT$73</definedName>
    <definedName name="e1210_">RECD!$BU$2:$BU$73</definedName>
    <definedName name="e1211_">RECD!$BV$2:$BV$73</definedName>
    <definedName name="e1212_">RECD!$BW$2:$BW$73</definedName>
    <definedName name="e1213_">RECD!$BX$2:$BX$73</definedName>
    <definedName name="e1214_">RECD!$BY$2:$BY$73</definedName>
    <definedName name="e1230_">RECD!$BZ$2:$BZ$73</definedName>
    <definedName name="e1233_">RECD!$CA$2:$CA$73</definedName>
    <definedName name="e168_">RECD!$CB$2:$CB$73</definedName>
    <definedName name="e169_">RECD!$CC$2:$CC$73</definedName>
    <definedName name="e171_">RECD!$CD$2:$CD$73</definedName>
    <definedName name="e174_">RECD!$CE$2:$CE$73</definedName>
    <definedName name="e176_">RECD!$CF$2:$CF$73</definedName>
    <definedName name="e178_">RECD!$CG$2:$CG$73</definedName>
    <definedName name="e180_">RECD!$CH$2:$CH$73</definedName>
    <definedName name="e182_">RECD!$CI$2:$CI$73</definedName>
    <definedName name="e184_">RECD!$CJ$2:$CJ$73</definedName>
    <definedName name="e186_">RECD!$CK$2:$CK$73</definedName>
    <definedName name="e193_">RECD!$CL$2:$CL$73</definedName>
    <definedName name="e195_">RECD!$CM$2:$CM$73</definedName>
    <definedName name="e197_">RECD!$CN$2:$CN$73</definedName>
    <definedName name="e201_">RECD!$CO$2:$CO$73</definedName>
    <definedName name="e203_">RECD!$CP$2:$CP$73</definedName>
    <definedName name="e205_">RECD!$CQ$2:$CQ$73</definedName>
    <definedName name="e207_">RECD!$CR$2:$CR$73</definedName>
    <definedName name="e209_">RECD!$CS$2:$CS$73</definedName>
    <definedName name="e210_">RECD!$CT$2:$CT$73</definedName>
    <definedName name="e211_">RECD!$CU$2:$CU$73</definedName>
    <definedName name="e212_">RECD!$CV$2:$CV$73</definedName>
    <definedName name="e214_">RECD!$CW$2:$CW$73</definedName>
    <definedName name="e216_">RECD!$CX$2:$CX$73</definedName>
    <definedName name="e220_">RECD!$CY$2:$CY$73</definedName>
    <definedName name="e221_">RECD!$CZ$2:$CZ$73</definedName>
    <definedName name="e222_">RECD!$DA$2:$DA$73</definedName>
    <definedName name="e224_">RECD!$DB$2:$DB$73</definedName>
    <definedName name="e226_">RECD!$DC$2:$DC$73</definedName>
    <definedName name="e228_">RECD!$DD$2:$DD$73</definedName>
    <definedName name="e230_">RECD!$DE$2:$DE$73</definedName>
    <definedName name="e266_">RECD!$DF$2:$DF$73</definedName>
    <definedName name="e297_">RECD!$DG$2:$DG$73</definedName>
    <definedName name="e325_">RECD!$DH$2:$DH$73</definedName>
    <definedName name="e326_">RECD!$DI$2:$DI$73</definedName>
    <definedName name="e327_">RECD!$DJ$2:$DJ$73</definedName>
    <definedName name="e328_">RECD!$DK$2:$DK$73</definedName>
    <definedName name="e329_">RECD!$DL$2:$DL$73</definedName>
    <definedName name="e330_">RECD!$DM$2:$DM$73</definedName>
    <definedName name="e331_">RECD!$DN$2:$DN$73</definedName>
    <definedName name="e332_">RECD!$DO$2:$DO$73</definedName>
    <definedName name="e333_">RECD!$DP$2:$DP$73</definedName>
    <definedName name="e334_">RECD!$DQ$2:$DQ$73</definedName>
    <definedName name="e335_">RECD!$DR$2:$DR$73</definedName>
    <definedName name="e336_">RECD!$DS$2:$DS$73</definedName>
    <definedName name="e337_">RECD!$DT$2:$DT$73</definedName>
    <definedName name="e338_">RECD!$DU$2:$DU$73</definedName>
    <definedName name="e339_">RECD!$DV$2:$DV$73</definedName>
    <definedName name="e341_">RECD!$DW$2:$DW$73</definedName>
    <definedName name="e342_">RECD!$DX$2:$DX$73</definedName>
    <definedName name="e343_">RECD!$DY$2:$DY$73</definedName>
    <definedName name="e344_">RECD!$DZ$2:$DZ$73</definedName>
    <definedName name="e360_">RECD!$EA$2:$EA$73</definedName>
    <definedName name="e361_">RECD!$EB$2:$EB$73</definedName>
    <definedName name="e374_">RECD!$EC$2:$EC$73</definedName>
    <definedName name="e376_">RECD!$ED$2:$ED$73</definedName>
    <definedName name="e377_">RECD!$EE$2:$EE$73</definedName>
    <definedName name="e377m_">RECD!$EF$2:$EF$73</definedName>
    <definedName name="e378_">RECD!$EG$2:$EG$73</definedName>
    <definedName name="e379_">RECD!$EH$2:$EH$73</definedName>
    <definedName name="e385_">RECD!$EI$2:$EI$73</definedName>
    <definedName name="e387_">RECD!$EJ$2:$EJ$73</definedName>
    <definedName name="e392_">RECD!$EK$2:$EK$73</definedName>
    <definedName name="e393_">RECD!$EL$2:$EL$73</definedName>
    <definedName name="e395_">RECD!$EM$2:$EM$73</definedName>
    <definedName name="e396_">RECD!$EN$2:$EN$73</definedName>
    <definedName name="e397_">RECD!$EO$2:$EO$73</definedName>
    <definedName name="e398_">RECD!$EP$2:$EP$73</definedName>
    <definedName name="e399_">RECD!$EQ$2:$EQ$73</definedName>
    <definedName name="e403_">RECD!$ER$2:$ER$73</definedName>
    <definedName name="e407_">RECD!$ES$2:$ES$73</definedName>
    <definedName name="e417_">RECD!$ET$2:$ET$73</definedName>
    <definedName name="e420_">RECD!$EU$2:$EU$73</definedName>
    <definedName name="e421_">RECD!$EV$2:$EV$73</definedName>
    <definedName name="e422_">RECD!$EW$2:$EW$73</definedName>
    <definedName name="e423_">RECD!$EX$2:$EX$73</definedName>
    <definedName name="e426_">RECD!$EY$2:$EY$73</definedName>
    <definedName name="e428_">RECD!$EZ$2:$EZ$73</definedName>
    <definedName name="e431_">RECD!$FA$2:$FA$73</definedName>
    <definedName name="e432_">RECD!$FB$2:$FB$73</definedName>
    <definedName name="e433_">RECD!$FC$2:$FC$73</definedName>
    <definedName name="e434_">RECD!$FD$2:$FD$73</definedName>
    <definedName name="e435_">RECD!$FE$2:$FE$73</definedName>
    <definedName name="e471_">RECD!$FF$2:$FF$73</definedName>
    <definedName name="e472_">RECD!$FG$2:$FG$73</definedName>
    <definedName name="e473_">RECD!$FH$2:$FH$73</definedName>
    <definedName name="e474_">RECD!$FI$2:$FI$73</definedName>
    <definedName name="e475_">RECD!$FJ$2:$FJ$73</definedName>
    <definedName name="e479_">RECD!$FK$2:$FK$73</definedName>
    <definedName name="e485_">RECD!$FL$2:$FL$73</definedName>
    <definedName name="e49_">RECD!$FM$2:$FM$73</definedName>
    <definedName name="e502_">RECD!$FN$2:$FN$73</definedName>
    <definedName name="e520_">RECD!$FO$2:$FO$73</definedName>
    <definedName name="e521_">RECD!$FP$2:$FP$73</definedName>
    <definedName name="e540_">RECD!$FQ$2:$FQ$73</definedName>
    <definedName name="e541_">RECD!$FR$2:$FR$73</definedName>
    <definedName name="e542_">RECD!$FS$2:$FS$73</definedName>
    <definedName name="e543_">RECD!$FT$2:$FT$73</definedName>
    <definedName name="e544_">RECD!$FU$2:$FU$73</definedName>
    <definedName name="e545_">RECD!$FV$2:$FV$73</definedName>
    <definedName name="e546_">RECD!$FW$2:$FW$73</definedName>
    <definedName name="e547_">RECD!$FX$2:$FX$73</definedName>
    <definedName name="e548_">RECD!$FY$2:$FY$73</definedName>
    <definedName name="e549_">RECD!$FZ$2:$FZ$73</definedName>
    <definedName name="e550_">RECD!$GA$2:$GA$73</definedName>
    <definedName name="e551_">RECD!$GB$2:$GB$73</definedName>
    <definedName name="e552_">RECD!$GC$2:$GC$73</definedName>
    <definedName name="e553_">RECD!$GD$2:$GD$73</definedName>
    <definedName name="e554_">RECD!$GE$2:$GE$73</definedName>
    <definedName name="e555_">RECD!$GF$2:$GF$73</definedName>
    <definedName name="e556_">RECD!$GG$2:$GG$73</definedName>
    <definedName name="e557_">RECD!$GH$2:$GH$73</definedName>
    <definedName name="e558_">RECD!$GI$2:$GI$73</definedName>
    <definedName name="e559_">RECD!$GJ$2:$GJ$73</definedName>
    <definedName name="e560_">RECD!$GK$2:$GK$73</definedName>
    <definedName name="e561_">RECD!$GL$2:$GL$73</definedName>
    <definedName name="e562_">RECD!$GM$2:$GM$73</definedName>
    <definedName name="e58_">RECD!$GN$2:$GN$73</definedName>
    <definedName name="e580_">RECD!$GO$2:$GO$73</definedName>
    <definedName name="e582_">RECD!$GP$2:$GP$73</definedName>
    <definedName name="e583_">RECD!$GQ$2:$GQ$73</definedName>
    <definedName name="e584_">RECD!$GR$2:$GR$73</definedName>
    <definedName name="e585_">RECD!$GS$2:$GS$73</definedName>
    <definedName name="e587_">RECD!$GT$2:$GT$73</definedName>
    <definedName name="e59_">RECD!$GU$2:$GU$73</definedName>
    <definedName name="e591_">RECD!$GV$2:$GV$73</definedName>
    <definedName name="e593_">RECD!$GW$2:$GW$73</definedName>
    <definedName name="e598_">RECD!$GX$2:$GX$73</definedName>
    <definedName name="e603_">RECD!$GY$2:$GY$73</definedName>
    <definedName name="e604_">RECD!$GZ$2:$GZ$73</definedName>
    <definedName name="e61_">RECD!$HA$2:$HA$73</definedName>
    <definedName name="e62_">RECD!$HB$2:$HB$73</definedName>
    <definedName name="e625_">RECD!$HC$2:$HC$73</definedName>
    <definedName name="e63_">RECD!$HD$2:$HD$73</definedName>
    <definedName name="e635_">RECD!$HE$2:$HE$73</definedName>
    <definedName name="e636_">RECD!$HF$2:$HF$73</definedName>
    <definedName name="e637_">RECD!$HG$2:$HG$73</definedName>
    <definedName name="e638_">RECD!$HH$2:$HH$73</definedName>
    <definedName name="e639_">RECD!$HI$2:$HI$73</definedName>
    <definedName name="e64_">RECD!$HJ$2:$HJ$73</definedName>
    <definedName name="e642_">RECD!$HK$2:$HK$73</definedName>
    <definedName name="e654_">RECD!$HL$2:$HL$73</definedName>
    <definedName name="e655_">RECD!$HM$2:$HM$73</definedName>
    <definedName name="e656_">RECD!$HN$2:$HN$73</definedName>
    <definedName name="e657_">RECD!$HO$2:$HO$73</definedName>
    <definedName name="e66_">RECD!$HP$2:$HP$73</definedName>
    <definedName name="e662_">RECD!$HQ$2:$HQ$73</definedName>
    <definedName name="e664_">RECD!$HR$2:$HR$73</definedName>
    <definedName name="e664ex_">RECD!$HS$2:$HS$73</definedName>
    <definedName name="e668_">RECD!$HT$2:$HT$73</definedName>
    <definedName name="e67_">RECD!$HU$2:$HU$73</definedName>
    <definedName name="e678_">RECD!$HV$2:$HV$73</definedName>
    <definedName name="e68_">RECD!$HW$2:$HW$73</definedName>
    <definedName name="e682_">RECD!$HX$2:$HX$73</definedName>
    <definedName name="e694_">RECD!$HY$2:$HY$73</definedName>
    <definedName name="e71_">RECD!$HZ$2:$HZ$73</definedName>
    <definedName name="e715_">RECD!$IA$2:$IA$73</definedName>
    <definedName name="e748_">RECD!$IB$2:$IB$73</definedName>
    <definedName name="e793_">RECD!$IC$2:$IC$73</definedName>
    <definedName name="e817_">RECD!$ID$2:$ID$73</definedName>
    <definedName name="e818_">RECD!$IE$2:$IE$73</definedName>
    <definedName name="e836_">RECD!$IF$2:$IF$73</definedName>
    <definedName name="e837_">RECD!$IG$2:$IG$73</definedName>
    <definedName name="e838_">RECD!$IH$2:$IH$73</definedName>
    <definedName name="e851_">RECD!$II$2:$II$73</definedName>
    <definedName name="e853_">RECD!$IJ$2:$IJ$73</definedName>
    <definedName name="e854_">RECD!$IK$2:$IK$73</definedName>
    <definedName name="e855_">RECD!$IL$2:$IL$73</definedName>
    <definedName name="e856_">RECD!$IM$2:$IM$73</definedName>
    <definedName name="e857_">RECD!$IN$2:$IN$73</definedName>
    <definedName name="e858_">RECD!$IO$2:$IO$73</definedName>
    <definedName name="e862_">RECD!$IP$2:$IP$73</definedName>
    <definedName name="e863_">RECD!$IQ$2:$IQ$73</definedName>
    <definedName name="e864_">RECD!$IR$2:$IR$73</definedName>
    <definedName name="e874_">RECD!$IS$2:$IS$73</definedName>
    <definedName name="e904_">RECD!$IT$2:$IT$73</definedName>
    <definedName name="e908_">RECD!$IU$2:$IU$73</definedName>
    <definedName name="ea61009_">RECD!$IV$2:$IV$73</definedName>
    <definedName name="ea61012_">RECD!$IW$2:$IW$73</definedName>
    <definedName name="ea81006_">RECD!$IX$2:$IX$73</definedName>
    <definedName name="eh0009_">RECD!$IY$2:$IY$73</definedName>
    <definedName name="eh1070_">RECD!$IZ$2:$IZ$73</definedName>
    <definedName name="eh1090_">RECD!$JA$2:$JA$73</definedName>
    <definedName name="eh1590_">RECD!$JB$2:$JB$73</definedName>
    <definedName name="eh2010_">RECD!$JC$2:$JC$73</definedName>
    <definedName name="eh2012_">RECD!$JD$2:$JD$73</definedName>
    <definedName name="eh2070_">RECD!$JE$2:$JE$73</definedName>
    <definedName name="eh2510_">RECD!$JF$2:$JF$73</definedName>
    <definedName name="eh3012_">RECD!$JG$2:$JG$73</definedName>
    <definedName name="fx049915_">RECD!$JH$2:$JH$73</definedName>
    <definedName name="fx05188_">RECD!$JI$2:$JI$73</definedName>
    <definedName name="fx05191_">RECD!$JJ$2:$JJ$73</definedName>
    <definedName name="fx057816_">RECD!$JK$2:$JK$73</definedName>
    <definedName name="fx05h126_">RECD!$JL$2:$JL$73</definedName>
    <definedName name="fx082512_">RECD!$JM$2:$JM$73</definedName>
    <definedName name="fx08s176_">RECD!$JN$2:$JN$73</definedName>
    <definedName name="fx2_">RECD!$JO$2:$JO$73</definedName>
    <definedName name="fx38153_">RECD!$JP$2:$JP$73</definedName>
    <definedName name="fx60100_">RECD!$JQ$2:$JQ$73</definedName>
    <definedName name="fx601001_">RECD!$JR$2:$JR$73</definedName>
    <definedName name="fx60100sm_">RECD!$JS$2:$JS$73</definedName>
    <definedName name="fx60126_">RECD!$JT$2:$JT$73</definedName>
    <definedName name="fx601261_">RECD!$JU$2:$JU$73</definedName>
    <definedName name="fx60157_">RECD!$JV$2:$JV$73</definedName>
    <definedName name="fx60160_">RECD!$JW$2:$JW$73</definedName>
    <definedName name="fx60177_">RECD!$JX$2:$JX$73</definedName>
    <definedName name="fx61147_">RECD!$JY$2:$JY$73</definedName>
    <definedName name="fx61168_">RECD!$JZ$2:$JZ$73</definedName>
    <definedName name="fx61184_">RECD!$KA$2:$KA$73</definedName>
    <definedName name="fx63100_">RECD!$KB$2:$KB$73</definedName>
    <definedName name="fx63110_">RECD!$KC$2:$KC$73</definedName>
    <definedName name="fx63120_">RECD!$KD$2:$KD$73</definedName>
    <definedName name="fx63137_">RECD!$KE$2:$KE$73</definedName>
    <definedName name="fx63143_">RECD!$KF$2:$KF$73</definedName>
    <definedName name="fx63145_">RECD!$KG$2:$KG$73</definedName>
    <definedName name="fx63158_">RECD!$KH$2:$KH$73</definedName>
    <definedName name="fx6617a2_">RECD!$KI$2:$KI$73</definedName>
    <definedName name="fx6617ai_">RECD!$KJ$2:$KJ$73</definedName>
    <definedName name="fx66182_">RECD!$KK$2:$KK$73</definedName>
    <definedName name="fx66196v_">RECD!$KL$2:$KL$73</definedName>
    <definedName name="fx66a175_">RECD!$KM$2:$KM$73</definedName>
    <definedName name="fx66h60_">RECD!$KN$2:$KN$73</definedName>
    <definedName name="fx66h80_">RECD!$KO$2:$KO$73</definedName>
    <definedName name="fx66s161_">RECD!$KP$2:$KP$73</definedName>
    <definedName name="fx66s171_">RECD!$KQ$2:$KQ$73</definedName>
    <definedName name="fx66s196_">RECD!$KR$2:$KR$73</definedName>
    <definedName name="fx67k150_">RECD!$KS$2:$KS$73</definedName>
    <definedName name="fx67k170_">RECD!$KT$2:$KT$73</definedName>
    <definedName name="fx68h120_">RECD!$KU$2:$KU$73</definedName>
    <definedName name="fx69h083_">RECD!$KV$2:$KV$73</definedName>
    <definedName name="fx69h098_">RECD!$KW$2:$KW$73</definedName>
    <definedName name="fx69pr281_">RECD!$KX$2:$KX$73</definedName>
    <definedName name="fx71089a_">RECD!$KY$2:$KY$73</definedName>
    <definedName name="fx71120_">RECD!$KZ$2:$KZ$73</definedName>
    <definedName name="fx711520_">RECD!$LA$2:$LA$73</definedName>
    <definedName name="fx711525_">RECD!$LB$2:$LB$73</definedName>
    <definedName name="fx711530_">RECD!$LC$2:$LC$73</definedName>
    <definedName name="fx71l150_">RECD!$LD$2:$LD$73</definedName>
    <definedName name="fx72150b_">RECD!$LE$2:$LE$73</definedName>
    <definedName name="fx72ls160_">RECD!$LF$2:$LF$73</definedName>
    <definedName name="fx73170_">RECD!$LG$2:$LG$73</definedName>
    <definedName name="fx73170a_">RECD!$LH$2:$LH$73</definedName>
    <definedName name="fx73cl1152_">RECD!$LI$2:$LI$73</definedName>
    <definedName name="fx73cl2152_">RECD!$LJ$2:$LJ$73</definedName>
    <definedName name="fx73cl3152_">RECD!$LK$2:$LK$73</definedName>
    <definedName name="fx73k170_">RECD!$LL$2:$LL$73</definedName>
    <definedName name="fx74080_">RECD!$LM$2:$LM$73</definedName>
    <definedName name="fx74130wp1_">RECD!$LN$2:$LN$73</definedName>
    <definedName name="fx74130wp2_">RECD!$LO$2:$LO$73</definedName>
    <definedName name="fx74130wp2mod_">RECD!$LP$2:$LP$73</definedName>
    <definedName name="fx74cl5140_">RECD!$LQ$2:$LQ$73</definedName>
    <definedName name="fx74cl6140_">RECD!$LR$2:$LR$73</definedName>
    <definedName name="fx74modsm_">RECD!$LS$2:$LS$73</definedName>
    <definedName name="fx75141_">RECD!$LT$2:$LT$73</definedName>
    <definedName name="fx75193_">RECD!$LU$2:$LU$73</definedName>
    <definedName name="fx75vg166_">RECD!$LV$2:$LV$73</definedName>
    <definedName name="fx76100_">RECD!$LW$2:$LW$73</definedName>
    <definedName name="fx76120_">RECD!$LX$2:$LX$73</definedName>
    <definedName name="fx76mp120_">RECD!$LY$2:$LY$73</definedName>
    <definedName name="fx76mp140_">RECD!$LZ$2:$LZ$73</definedName>
    <definedName name="fx76mp160_">RECD!$MA$2:$MA$73</definedName>
    <definedName name="fx77080_">RECD!$MB$2:$MB$73</definedName>
    <definedName name="fx77w121_">RECD!$MC$2:$MC$73</definedName>
    <definedName name="fx77w153_">RECD!$MD$2:$MD$73</definedName>
    <definedName name="fx77w258_">RECD!$ME$2:$ME$73</definedName>
    <definedName name="fx77w270_">RECD!$MF$2:$MF$73</definedName>
    <definedName name="fx77w343_">RECD!$MG$2:$MG$73</definedName>
    <definedName name="fx78k140_">RECD!$MH$2:$MH$73</definedName>
    <definedName name="fx78k140a20_">RECD!$MI$2:$MI$73</definedName>
    <definedName name="fx78k150_">RECD!$MJ$2:$MJ$73</definedName>
    <definedName name="fx78k161_">RECD!$MK$2:$MK$73</definedName>
    <definedName name="fx78pk188_">RECD!$ML$2:$ML$73</definedName>
    <definedName name="fx79k144_">RECD!$MM$2:$MM$73</definedName>
    <definedName name="fx79l100_">RECD!$MN$2:$MN$73</definedName>
    <definedName name="fx79l120_">RECD!$MO$2:$MO$73</definedName>
    <definedName name="fx79w151a_">RECD!$MP$2:$MP$73</definedName>
    <definedName name="fx80080_">RECD!$MQ$2:$MQ$73</definedName>
    <definedName name="fx83w108_">RECD!$MR$2:$MR$73</definedName>
    <definedName name="fx83w160_">RECD!$MS$2:$MS$73</definedName>
    <definedName name="fx83w227_">RECD!$MT$2:$MT$73</definedName>
    <definedName name="fx84w097_">RECD!$MU$2:$MU$73</definedName>
    <definedName name="fx84w127_">RECD!$MV$2:$MV$73</definedName>
    <definedName name="fx84w140_">RECD!$MW$2:$MW$73</definedName>
    <definedName name="fx84w150_">RECD!$MX$2:$MX$73</definedName>
    <definedName name="fx84w175_">RECD!$MY$2:$MY$73</definedName>
    <definedName name="fx84w218_">RECD!$MZ$2:$MZ$73</definedName>
    <definedName name="fxl142k_">RECD!$NA$2:$NA$73</definedName>
    <definedName name="fxlv152_">RECD!$NB$2:$NB$73</definedName>
    <definedName name="fxm2_">RECD!$NC$2:$NC$73</definedName>
    <definedName name="fxs02196_">RECD!$ND$2:$ND$73</definedName>
    <definedName name="fxs03182_">RECD!$NE$2:$NE$73</definedName>
    <definedName name="fxs21158_">RECD!$NF$2:$NF$73</definedName>
    <definedName name="hq010_">RECD!$NG$2:$NG$73</definedName>
    <definedName name="hq07_">RECD!$NH$2:$NH$73</definedName>
    <definedName name="hq09_">RECD!$NI$2:$NI$73</definedName>
    <definedName name="hq1010_">RECD!$NJ$2:$NJ$73</definedName>
    <definedName name="hq108_">RECD!$NK$2:$NK$73</definedName>
    <definedName name="hq109_">RECD!$NL$2:$NL$73</definedName>
    <definedName name="hq1510_">RECD!$NM$2:$NM$73</definedName>
    <definedName name="hq1511_">RECD!$NN$2:$NN$73</definedName>
    <definedName name="hq1512_">RECD!$NO$2:$NO$73</definedName>
    <definedName name="hq158_">RECD!$NP$2:$NP$73</definedName>
    <definedName name="hq1585_">RECD!$NQ$2:$NQ$73</definedName>
    <definedName name="hq159b_">RECD!$NR$2:$NR$73</definedName>
    <definedName name="hq2010_">RECD!$NS$2:$NS$73</definedName>
    <definedName name="hq2012_">RECD!$NT$2:$NT$73</definedName>
    <definedName name="hq208_">RECD!$NU$2:$NU$73</definedName>
    <definedName name="hq209_">RECD!$NV$2:$NV$73</definedName>
    <definedName name="hq2090sm_">RECD!$NW$2:$NW$73</definedName>
    <definedName name="hq2195_">RECD!$NX$2:$NX$73</definedName>
    <definedName name="hq2510_">RECD!$NY$2:$NY$73</definedName>
    <definedName name="hq2511_">RECD!$NZ$2:$NZ$73</definedName>
    <definedName name="hq2512_">RECD!$OA$2:$OA$73</definedName>
    <definedName name="hq258_">RECD!$OB$2:$OB$73</definedName>
    <definedName name="hq259_">RECD!$OC$2:$OC$73</definedName>
    <definedName name="hq2590sm_">RECD!$OD$2:$OD$73</definedName>
    <definedName name="hq259b_">RECD!$OE$2:$OE$73</definedName>
    <definedName name="hq300gd2_">RECD!$OF$2:$OF$73</definedName>
    <definedName name="hq3010_">RECD!$OG$2:$OG$73</definedName>
    <definedName name="hq3011_">RECD!$OH$2:$OH$73</definedName>
    <definedName name="hq3012_">RECD!$OI$2:$OI$73</definedName>
    <definedName name="hq3013_">RECD!$OJ$2:$OJ$73</definedName>
    <definedName name="hq3014_">RECD!$OK$2:$OK$73</definedName>
    <definedName name="hq3015_">RECD!$OL$2:$OL$73</definedName>
    <definedName name="hq308_">RECD!$OM$2:$OM$73</definedName>
    <definedName name="hq309_">RECD!$ON$2:$ON$73</definedName>
    <definedName name="hq3510_">RECD!$OO$2:$OO$73</definedName>
    <definedName name="hq3512_">RECD!$OP$2:$OP$73</definedName>
    <definedName name="hq3513_">RECD!$OQ$2:$OQ$73</definedName>
    <definedName name="hq3514_">RECD!$OR$2:$OR$73</definedName>
    <definedName name="hq3518_">RECD!$OS$2:$OS$73</definedName>
    <definedName name="hq358_">RECD!$OT$2:$OT$73</definedName>
    <definedName name="hq359_">RECD!$OU$2:$OU$73</definedName>
    <definedName name="ht05_">RECD!$OV$2:$OV$73</definedName>
    <definedName name="ht08_">RECD!$OW$2:$OW$73</definedName>
    <definedName name="ht12_">RECD!$OX$2:$OX$73</definedName>
    <definedName name="ht22_">RECD!$OY$2:$OY$73</definedName>
    <definedName name="ht23_">RECD!$OZ$2:$OZ$73</definedName>
    <definedName name="l7769_">RECD!$PA$2:$PA$73</definedName>
    <definedName name="la2573a_">RECD!$PB$2:$PB$73</definedName>
    <definedName name="mh102_">RECD!$PC$2:$PC$73</definedName>
    <definedName name="mh104_">RECD!$PD$2:$PD$73</definedName>
    <definedName name="mh106_">RECD!$PE$2:$PE$73</definedName>
    <definedName name="mh108_">RECD!$PF$2:$PF$73</definedName>
    <definedName name="mh110_">RECD!$PG$2:$PG$73</definedName>
    <definedName name="mh112_">RECD!$PH$2:$PH$73</definedName>
    <definedName name="mh113_">RECD!$PI$2:$PI$73</definedName>
    <definedName name="mh114_">RECD!$PJ$2:$PJ$73</definedName>
    <definedName name="mh115_">RECD!$PK$2:$PK$73</definedName>
    <definedName name="mh116_">RECD!$PL$2:$PL$73</definedName>
    <definedName name="mh117_">RECD!$PM$2:$PM$73</definedName>
    <definedName name="mh120_">RECD!$PN$2:$PN$73</definedName>
    <definedName name="mh121_">RECD!$PO$2:$PO$73</definedName>
    <definedName name="mh122_">RECD!$PP$2:$PP$73</definedName>
    <definedName name="mh18_">RECD!$PQ$2:$PQ$73</definedName>
    <definedName name="mh20_">RECD!$PR$2:$PR$73</definedName>
    <definedName name="mh200_">RECD!$PS$2:$PS$73</definedName>
    <definedName name="mh201_">RECD!$PT$2:$PT$73</definedName>
    <definedName name="mh22_">RECD!$PU$2:$PU$73</definedName>
    <definedName name="mh23_">RECD!$PV$2:$PV$73</definedName>
    <definedName name="mh24_">RECD!$PW$2:$PW$73</definedName>
    <definedName name="mh25_">RECD!$PX$2:$PX$73</definedName>
    <definedName name="mh26_">RECD!$PY$2:$PY$73</definedName>
    <definedName name="mh27_">RECD!$PZ$2:$PZ$73</definedName>
    <definedName name="mh30_">RECD!$QA$2:$QA$73</definedName>
    <definedName name="mh32_">RECD!$QB$2:$QB$73</definedName>
    <definedName name="mh38_">RECD!$QC$2:$QC$73</definedName>
    <definedName name="mh42_">RECD!$QD$2:$QD$73</definedName>
    <definedName name="mh43_">RECD!$QE$2:$QE$73</definedName>
    <definedName name="mh44_">RECD!$QF$2:$QF$73</definedName>
    <definedName name="mh45_">RECD!$QG$2:$QG$73</definedName>
    <definedName name="mh46_">RECD!$QH$2:$QH$73</definedName>
    <definedName name="mh60_">RECD!$QI$2:$QI$73</definedName>
    <definedName name="mh61_">RECD!$QJ$2:$QJ$73</definedName>
    <definedName name="mh62_">RECD!$QK$2:$QK$73</definedName>
    <definedName name="mh64_">RECD!$QL$2:$QL$73</definedName>
    <definedName name="mh70_">RECD!$QM$2:$QM$73</definedName>
    <definedName name="mh78_">RECD!$QN$2:$QN$73</definedName>
    <definedName name="mh80_">RECD!$QO$2:$QO$73</definedName>
    <definedName name="mh81_">RECD!$QP$2:$QP$73</definedName>
    <definedName name="mh82_">RECD!$QQ$2:$QQ$73</definedName>
    <definedName name="mh83_">RECD!$QR$2:$QR$73</definedName>
    <definedName name="mh84_">RECD!$QS$2:$QS$73</definedName>
    <definedName name="mh91_">RECD!$QT$2:$QT$73</definedName>
    <definedName name="mh92_">RECD!$QU$2:$QU$73</definedName>
    <definedName name="mh93_">RECD!$QV$2:$QV$73</definedName>
    <definedName name="mh94_">RECD!$QW$2:$QW$73</definedName>
    <definedName name="mh95_">RECD!$QX$2:$QX$73</definedName>
    <definedName name="mrc_16_">RECD!$QY$2:$QY$73</definedName>
    <definedName name="mrc_20_">RECD!$QZ$2:$QZ$73</definedName>
    <definedName name="nlf0115_">RECD!$RA$2:$RA$73</definedName>
    <definedName name="nlf0215f_">RECD!$RB$2:$RB$73</definedName>
    <definedName name="nlf1015_">RECD!$RC$2:$RC$73</definedName>
    <definedName name="nlf414f_">RECD!$RD$2:$RD$73</definedName>
    <definedName name="nlf415_">RECD!$RE$2:$RE$73</definedName>
    <definedName name="nlf416_">RECD!$RF$2:$RF$73</definedName>
    <definedName name="psu_90_125wl_">RECD!$RG$2:$RG$73</definedName>
    <definedName name="psu94097_">RECD!$RH$2:$RH$73</definedName>
    <definedName name="re_num_">RECD!$A$2:$A$73</definedName>
    <definedName name="rg12_">RECD!$RM$2:$RM$73</definedName>
    <definedName name="rg12a_">RECD!$RN$2:$RN$73</definedName>
    <definedName name="rg12a189_">RECD!$RO$2:$RO$73</definedName>
    <definedName name="rg14_">RECD!$RP$2:$RP$73</definedName>
    <definedName name="rg1410_">RECD!$RQ$2:$RQ$73</definedName>
    <definedName name="rg149_">RECD!$RR$2:$RR$73</definedName>
    <definedName name="rg1495_">RECD!$RS$2:$RS$73</definedName>
    <definedName name="rg14a147_">RECD!$RT$2:$RT$73</definedName>
    <definedName name="rg15_">RECD!$RU$2:$RU$73</definedName>
    <definedName name="rg15a111_">RECD!$RV$2:$RV$73</definedName>
    <definedName name="rg15a213_">RECD!$RW$2:$RW$73</definedName>
    <definedName name="rg8_">RECD!$RX$2:$RX$73</definedName>
    <definedName name="s1010_">RECD!$RY$2:$RY$73</definedName>
    <definedName name="s1012_">RECD!$RZ$2:$RZ$73</definedName>
    <definedName name="s1014_">RECD!$SA$2:$SA$73</definedName>
    <definedName name="s1016_">RECD!$SB$2:$SB$73</definedName>
    <definedName name="s1020_">RECD!$SC$2:$SC$73</definedName>
    <definedName name="s1046_">RECD!$SD$2:$SD$73</definedName>
    <definedName name="s1048_">RECD!$SE$2:$SE$73</definedName>
    <definedName name="s1091_">RECD!$SF$2:$SF$73</definedName>
    <definedName name="s1210_">RECD!$SG$2:$SG$73</definedName>
    <definedName name="s1223_">RECD!$SH$2:$SH$73</definedName>
    <definedName name="s2027_">RECD!$SI$2:$SI$73</definedName>
    <definedName name="s2046_">RECD!$SJ$2:$SJ$73</definedName>
    <definedName name="s2048_">RECD!$SK$2:$SK$73</definedName>
    <definedName name="s2050_">RECD!$SL$2:$SL$73</definedName>
    <definedName name="s2055_">RECD!$SM$2:$SM$73</definedName>
    <definedName name="s2060_">RECD!$SN$2:$SN$73</definedName>
    <definedName name="s2062_">RECD!$SO$2:$SO$73</definedName>
    <definedName name="s2091_">RECD!$SP$2:$SP$73</definedName>
    <definedName name="s3002_">RECD!$SQ$2:$SQ$73</definedName>
    <definedName name="s3010_">RECD!$SR$2:$SR$73</definedName>
    <definedName name="s3014_">RECD!$SS$2:$SS$73</definedName>
    <definedName name="s3016_">RECD!$ST$2:$ST$73</definedName>
    <definedName name="s3021_">RECD!$SU$2:$SU$73</definedName>
    <definedName name="s3024_">RECD!$SV$2:$SV$73</definedName>
    <definedName name="s3025_">RECD!$SW$2:$SW$73</definedName>
    <definedName name="s4022_">RECD!$SX$2:$SX$73</definedName>
    <definedName name="s4053_">RECD!$SY$2:$SY$73</definedName>
    <definedName name="s4061_">RECD!$SZ$2:$SZ$73</definedName>
    <definedName name="s4062_">RECD!$TA$2:$TA$73</definedName>
    <definedName name="s4083_">RECD!$TB$2:$TB$73</definedName>
    <definedName name="s4110_">RECD!$TC$2:$TC$73</definedName>
    <definedName name="s4158_">RECD!$TD$2:$TD$73</definedName>
    <definedName name="s4180_">RECD!$TE$2:$TE$73</definedName>
    <definedName name="s4233_">RECD!$TF$2:$TF$73</definedName>
    <definedName name="s4310_">RECD!$TG$2:$TG$73</definedName>
    <definedName name="s4320_">RECD!$TH$2:$TH$73</definedName>
    <definedName name="s5010_">RECD!$TI$2:$TI$73</definedName>
    <definedName name="s5020_">RECD!$TJ$2:$TJ$73</definedName>
    <definedName name="s6061_">RECD!$TK$2:$TK$73</definedName>
    <definedName name="s6062_">RECD!$TL$2:$TL$73</definedName>
    <definedName name="s6063_">RECD!$TM$2:$TM$73</definedName>
    <definedName name="s7012_">RECD!$TN$2:$TN$73</definedName>
    <definedName name="s7055_">RECD!$TO$2:$TO$73</definedName>
    <definedName name="s7075_">RECD!$TP$2:$TP$73</definedName>
    <definedName name="s8025_">RECD!$TQ$2:$TQ$73</definedName>
    <definedName name="s8035_">RECD!$TR$2:$TR$73</definedName>
    <definedName name="s8036_">RECD!$TS$2:$TS$73</definedName>
    <definedName name="s8037_">RECD!$TT$2:$TT$73</definedName>
    <definedName name="s8038_">RECD!$TU$2:$TU$73</definedName>
    <definedName name="s8055_">RECD!$TV$2:$TV$73</definedName>
    <definedName name="s9000_">RECD!$TW$2:$TW$73</definedName>
    <definedName name="s9026_">RECD!$TX$2:$TX$73</definedName>
    <definedName name="s9027_">RECD!$TY$2:$TY$73</definedName>
    <definedName name="s9032_">RECD!$TZ$2:$TZ$73</definedName>
    <definedName name="s9033_">RECD!$UA$2:$UA$73</definedName>
    <definedName name="s9037_">RECD!$UB$2:$UB$73</definedName>
    <definedName name="sa7035_">RECD!$UC$2:$UC$73</definedName>
    <definedName name="sa7036_">RECD!$UD$2:$UD$73</definedName>
    <definedName name="sa7038_">RECD!$UE$2:$UE$73</definedName>
    <definedName name="sd2030_">RECD!$UF$2:$UF$73</definedName>
    <definedName name="sd2083_">RECD!$UG$2:$UG$73</definedName>
    <definedName name="sd5060_">RECD!$UH$2:$UH$73</definedName>
    <definedName name="sd6060_">RECD!$UI$2:$UI$73</definedName>
    <definedName name="sd6080_">RECD!$UJ$2:$UJ$73</definedName>
    <definedName name="sd7003_">RECD!$UK$2:$UK$73</definedName>
    <definedName name="sd7032_">RECD!$UL$2:$UL$73</definedName>
    <definedName name="sd7034_">RECD!$UM$2:$UM$73</definedName>
    <definedName name="sd7037_">RECD!$UN$2:$UN$73</definedName>
    <definedName name="sd7043_">RECD!$UO$2:$UO$73</definedName>
    <definedName name="sd7062_">RECD!$UP$2:$UP$73</definedName>
    <definedName name="sd7080_">RECD!$UQ$2:$UQ$73</definedName>
    <definedName name="sd7084_">RECD!$UR$2:$UR$73</definedName>
    <definedName name="sd7090_">RECD!$US$2:$US$73</definedName>
    <definedName name="sd8000_">RECD!$UT$2:$UT$73</definedName>
    <definedName name="sd8020_">RECD!$UU$2:$UU$73</definedName>
    <definedName name="sd8040_">RECD!$UV$2:$UV$73</definedName>
    <definedName name="sg6040_">RECD!$UW$2:$UW$73</definedName>
    <definedName name="sg6041_">RECD!$UX$2:$UX$73</definedName>
    <definedName name="sg6042_">RECD!$UY$2:$UY$73</definedName>
    <definedName name="sg6043_">RECD!$UZ$2:$UZ$73</definedName>
    <definedName name="sg6050_">RECD!$VA$2:$VA$73</definedName>
    <definedName name="sg6051_">RECD!$VB$2:$VB$73</definedName>
    <definedName name="sm701_">RECD!$VC$2:$VC$73</definedName>
    <definedName name="ste87151_">RECD!$VD$2:$VD$73</definedName>
    <definedName name="ste87391_">RECD!$VE$2:$VE$73</definedName>
    <definedName name="stf86361_">RECD!$VF$2:$VF$73</definedName>
    <definedName name="th25816_">RECD!$VG$2:$VG$73</definedName>
    <definedName name="ys915_">RECD!$VH$2:$VH$73</definedName>
    <definedName name="ys930_">RECD!$VI$2:$VI$73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3" l="1"/>
  <c r="J3" i="3"/>
  <c r="K3" i="3"/>
  <c r="I4" i="3"/>
  <c r="J4" i="3"/>
  <c r="K4" i="3"/>
  <c r="I5" i="3"/>
  <c r="J5" i="3"/>
  <c r="K5" i="3"/>
  <c r="I6" i="3"/>
  <c r="J6" i="3"/>
  <c r="K6" i="3"/>
  <c r="I7" i="3"/>
  <c r="J7" i="3"/>
  <c r="K7" i="3"/>
  <c r="I8" i="3"/>
  <c r="J8" i="3"/>
  <c r="K8" i="3"/>
  <c r="I9" i="3"/>
  <c r="J9" i="3"/>
  <c r="K9" i="3"/>
  <c r="I10" i="3"/>
  <c r="J10" i="3"/>
  <c r="K10" i="3"/>
  <c r="I11" i="3"/>
  <c r="J11" i="3"/>
  <c r="K11" i="3"/>
  <c r="I12" i="3"/>
  <c r="J12" i="3"/>
  <c r="K12" i="3"/>
  <c r="I13" i="3"/>
  <c r="J13" i="3"/>
  <c r="K13" i="3"/>
  <c r="I14" i="3"/>
  <c r="J14" i="3"/>
  <c r="K14" i="3"/>
  <c r="I15" i="3"/>
  <c r="J15" i="3"/>
  <c r="K15" i="3"/>
  <c r="J16" i="3"/>
  <c r="K16" i="3"/>
  <c r="I17" i="3"/>
  <c r="J17" i="3"/>
  <c r="K17" i="3"/>
  <c r="I18" i="3"/>
  <c r="J18" i="3"/>
  <c r="K18" i="3"/>
  <c r="I528" i="3"/>
  <c r="J528" i="3"/>
  <c r="K528" i="3"/>
  <c r="I20" i="3"/>
  <c r="J20" i="3"/>
  <c r="K20" i="3"/>
  <c r="I21" i="3"/>
  <c r="J21" i="3"/>
  <c r="K21" i="3"/>
  <c r="I22" i="3"/>
  <c r="J22" i="3"/>
  <c r="K22" i="3"/>
  <c r="I23" i="3"/>
  <c r="J23" i="3"/>
  <c r="K23" i="3"/>
  <c r="I24" i="3"/>
  <c r="J24" i="3"/>
  <c r="K24" i="3"/>
  <c r="I25" i="3"/>
  <c r="J25" i="3"/>
  <c r="K25" i="3"/>
  <c r="I532" i="3"/>
  <c r="J532" i="3"/>
  <c r="K532" i="3"/>
  <c r="I27" i="3"/>
  <c r="J27" i="3"/>
  <c r="K27" i="3"/>
  <c r="I28" i="3"/>
  <c r="J28" i="3"/>
  <c r="K28" i="3"/>
  <c r="I29" i="3"/>
  <c r="J29" i="3"/>
  <c r="K29" i="3"/>
  <c r="I30" i="3"/>
  <c r="J30" i="3"/>
  <c r="K30" i="3"/>
  <c r="I31" i="3"/>
  <c r="J31" i="3"/>
  <c r="K31" i="3"/>
  <c r="I32" i="3"/>
  <c r="J32" i="3"/>
  <c r="K32" i="3"/>
  <c r="I33" i="3"/>
  <c r="J33" i="3"/>
  <c r="K33" i="3"/>
  <c r="I34" i="3"/>
  <c r="J34" i="3"/>
  <c r="K34" i="3"/>
  <c r="I35" i="3"/>
  <c r="J35" i="3"/>
  <c r="K35" i="3"/>
  <c r="I503" i="3"/>
  <c r="J503" i="3"/>
  <c r="K503" i="3"/>
  <c r="I37" i="3"/>
  <c r="J37" i="3"/>
  <c r="K37" i="3"/>
  <c r="I38" i="3"/>
  <c r="J38" i="3"/>
  <c r="K38" i="3"/>
  <c r="I39" i="3"/>
  <c r="J39" i="3"/>
  <c r="K39" i="3"/>
  <c r="I40" i="3"/>
  <c r="J40" i="3"/>
  <c r="K40" i="3"/>
  <c r="I41" i="3"/>
  <c r="J41" i="3"/>
  <c r="K41" i="3"/>
  <c r="I42" i="3"/>
  <c r="J42" i="3"/>
  <c r="K42" i="3"/>
  <c r="I43" i="3"/>
  <c r="J43" i="3"/>
  <c r="K43" i="3"/>
  <c r="I527" i="3"/>
  <c r="J527" i="3"/>
  <c r="K527" i="3"/>
  <c r="I45" i="3"/>
  <c r="J45" i="3"/>
  <c r="K45" i="3"/>
  <c r="I46" i="3"/>
  <c r="J46" i="3"/>
  <c r="K46" i="3"/>
  <c r="I47" i="3"/>
  <c r="J47" i="3"/>
  <c r="K47" i="3"/>
  <c r="I48" i="3"/>
  <c r="J48" i="3"/>
  <c r="K48" i="3"/>
  <c r="I49" i="3"/>
  <c r="J49" i="3"/>
  <c r="K49" i="3"/>
  <c r="I356" i="3"/>
  <c r="J356" i="3"/>
  <c r="K356" i="3"/>
  <c r="I51" i="3"/>
  <c r="J51" i="3"/>
  <c r="K51" i="3"/>
  <c r="I52" i="3"/>
  <c r="J52" i="3"/>
  <c r="K52" i="3"/>
  <c r="I53" i="3"/>
  <c r="J53" i="3"/>
  <c r="K53" i="3"/>
  <c r="I54" i="3"/>
  <c r="J54" i="3"/>
  <c r="K54" i="3"/>
  <c r="I55" i="3"/>
  <c r="J55" i="3"/>
  <c r="K55" i="3"/>
  <c r="I56" i="3"/>
  <c r="J56" i="3"/>
  <c r="K56" i="3"/>
  <c r="I57" i="3"/>
  <c r="J57" i="3"/>
  <c r="K57" i="3"/>
  <c r="I386" i="3"/>
  <c r="J386" i="3"/>
  <c r="K386" i="3"/>
  <c r="I59" i="3"/>
  <c r="J59" i="3"/>
  <c r="K59" i="3"/>
  <c r="I60" i="3"/>
  <c r="J60" i="3"/>
  <c r="K60" i="3"/>
  <c r="I409" i="3"/>
  <c r="J409" i="3"/>
  <c r="K409" i="3"/>
  <c r="I62" i="3"/>
  <c r="J62" i="3"/>
  <c r="K62" i="3"/>
  <c r="I63" i="3"/>
  <c r="J63" i="3"/>
  <c r="K63" i="3"/>
  <c r="I64" i="3"/>
  <c r="J64" i="3"/>
  <c r="K64" i="3"/>
  <c r="I65" i="3"/>
  <c r="J65" i="3"/>
  <c r="K65" i="3"/>
  <c r="I66" i="3"/>
  <c r="J66" i="3"/>
  <c r="K66" i="3"/>
  <c r="I67" i="3"/>
  <c r="J67" i="3"/>
  <c r="K67" i="3"/>
  <c r="I68" i="3"/>
  <c r="J68" i="3"/>
  <c r="K68" i="3"/>
  <c r="I69" i="3"/>
  <c r="J69" i="3"/>
  <c r="K69" i="3"/>
  <c r="I70" i="3"/>
  <c r="J70" i="3"/>
  <c r="K70" i="3"/>
  <c r="I71" i="3"/>
  <c r="J71" i="3"/>
  <c r="K71" i="3"/>
  <c r="I72" i="3"/>
  <c r="J72" i="3"/>
  <c r="K72" i="3"/>
  <c r="I73" i="3"/>
  <c r="J73" i="3"/>
  <c r="K73" i="3"/>
  <c r="I438" i="3"/>
  <c r="J438" i="3"/>
  <c r="K438" i="3"/>
  <c r="I75" i="3"/>
  <c r="J75" i="3"/>
  <c r="K75" i="3"/>
  <c r="I76" i="3"/>
  <c r="J76" i="3"/>
  <c r="K76" i="3"/>
  <c r="I77" i="3"/>
  <c r="J77" i="3"/>
  <c r="K77" i="3"/>
  <c r="I78" i="3"/>
  <c r="J78" i="3"/>
  <c r="K78" i="3"/>
  <c r="I79" i="3"/>
  <c r="J79" i="3"/>
  <c r="K79" i="3"/>
  <c r="I80" i="3"/>
  <c r="J80" i="3"/>
  <c r="K80" i="3"/>
  <c r="I81" i="3"/>
  <c r="J81" i="3"/>
  <c r="K81" i="3"/>
  <c r="I82" i="3"/>
  <c r="J82" i="3"/>
  <c r="K82" i="3"/>
  <c r="I83" i="3"/>
  <c r="J83" i="3"/>
  <c r="K83" i="3"/>
  <c r="I84" i="3"/>
  <c r="J84" i="3"/>
  <c r="K84" i="3"/>
  <c r="I85" i="3"/>
  <c r="J85" i="3"/>
  <c r="K85" i="3"/>
  <c r="I86" i="3"/>
  <c r="J86" i="3"/>
  <c r="K86" i="3"/>
  <c r="I87" i="3"/>
  <c r="J87" i="3"/>
  <c r="K87" i="3"/>
  <c r="I88" i="3"/>
  <c r="J88" i="3"/>
  <c r="K88" i="3"/>
  <c r="I89" i="3"/>
  <c r="J89" i="3"/>
  <c r="K89" i="3"/>
  <c r="I90" i="3"/>
  <c r="J90" i="3"/>
  <c r="K90" i="3"/>
  <c r="I91" i="3"/>
  <c r="J91" i="3"/>
  <c r="K91" i="3"/>
  <c r="I92" i="3"/>
  <c r="J92" i="3"/>
  <c r="K92" i="3"/>
  <c r="I93" i="3"/>
  <c r="J93" i="3"/>
  <c r="K93" i="3"/>
  <c r="I94" i="3"/>
  <c r="J94" i="3"/>
  <c r="K94" i="3"/>
  <c r="I95" i="3"/>
  <c r="J95" i="3"/>
  <c r="K95" i="3"/>
  <c r="I96" i="3"/>
  <c r="J96" i="3"/>
  <c r="K96" i="3"/>
  <c r="I440" i="3"/>
  <c r="J440" i="3"/>
  <c r="K440" i="3"/>
  <c r="I98" i="3"/>
  <c r="J98" i="3"/>
  <c r="K98" i="3"/>
  <c r="I99" i="3"/>
  <c r="J99" i="3"/>
  <c r="K99" i="3"/>
  <c r="I100" i="3"/>
  <c r="J100" i="3"/>
  <c r="K100" i="3"/>
  <c r="I101" i="3"/>
  <c r="J101" i="3"/>
  <c r="K101" i="3"/>
  <c r="I102" i="3"/>
  <c r="J102" i="3"/>
  <c r="K102" i="3"/>
  <c r="I103" i="3"/>
  <c r="J103" i="3"/>
  <c r="K103" i="3"/>
  <c r="I104" i="3"/>
  <c r="J104" i="3"/>
  <c r="K104" i="3"/>
  <c r="I105" i="3"/>
  <c r="J105" i="3"/>
  <c r="K105" i="3"/>
  <c r="I106" i="3"/>
  <c r="J106" i="3"/>
  <c r="K106" i="3"/>
  <c r="I107" i="3"/>
  <c r="J107" i="3"/>
  <c r="K107" i="3"/>
  <c r="I108" i="3"/>
  <c r="J108" i="3"/>
  <c r="K108" i="3"/>
  <c r="I109" i="3"/>
  <c r="J109" i="3"/>
  <c r="K109" i="3"/>
  <c r="I110" i="3"/>
  <c r="J110" i="3"/>
  <c r="K110" i="3"/>
  <c r="I111" i="3"/>
  <c r="J111" i="3"/>
  <c r="K111" i="3"/>
  <c r="I112" i="3"/>
  <c r="J112" i="3"/>
  <c r="K112" i="3"/>
  <c r="I113" i="3"/>
  <c r="J113" i="3"/>
  <c r="K113" i="3"/>
  <c r="I114" i="3"/>
  <c r="J114" i="3"/>
  <c r="K114" i="3"/>
  <c r="I115" i="3"/>
  <c r="J115" i="3"/>
  <c r="K115" i="3"/>
  <c r="I116" i="3"/>
  <c r="J116" i="3"/>
  <c r="K116" i="3"/>
  <c r="I454" i="3"/>
  <c r="J454" i="3"/>
  <c r="K454" i="3"/>
  <c r="I118" i="3"/>
  <c r="J118" i="3"/>
  <c r="K118" i="3"/>
  <c r="I119" i="3"/>
  <c r="J119" i="3"/>
  <c r="K119" i="3"/>
  <c r="I120" i="3"/>
  <c r="J120" i="3"/>
  <c r="K120" i="3"/>
  <c r="I121" i="3"/>
  <c r="J121" i="3"/>
  <c r="K121" i="3"/>
  <c r="I122" i="3"/>
  <c r="J122" i="3"/>
  <c r="K122" i="3"/>
  <c r="I123" i="3"/>
  <c r="J123" i="3"/>
  <c r="K123" i="3"/>
  <c r="I124" i="3"/>
  <c r="J124" i="3"/>
  <c r="K124" i="3"/>
  <c r="I125" i="3"/>
  <c r="J125" i="3"/>
  <c r="K125" i="3"/>
  <c r="I126" i="3"/>
  <c r="J126" i="3"/>
  <c r="K126" i="3"/>
  <c r="I127" i="3"/>
  <c r="J127" i="3"/>
  <c r="K127" i="3"/>
  <c r="I128" i="3"/>
  <c r="J128" i="3"/>
  <c r="K128" i="3"/>
  <c r="I129" i="3"/>
  <c r="J129" i="3"/>
  <c r="K129" i="3"/>
  <c r="I130" i="3"/>
  <c r="J130" i="3"/>
  <c r="K130" i="3"/>
  <c r="I131" i="3"/>
  <c r="J131" i="3"/>
  <c r="K131" i="3"/>
  <c r="I132" i="3"/>
  <c r="J132" i="3"/>
  <c r="K132" i="3"/>
  <c r="I2" i="3"/>
  <c r="J2" i="3"/>
  <c r="K2" i="3"/>
  <c r="I134" i="3"/>
  <c r="J134" i="3"/>
  <c r="K134" i="3"/>
  <c r="I135" i="3"/>
  <c r="J135" i="3"/>
  <c r="K135" i="3"/>
  <c r="I136" i="3"/>
  <c r="J136" i="3"/>
  <c r="K136" i="3"/>
  <c r="I137" i="3"/>
  <c r="J137" i="3"/>
  <c r="K137" i="3"/>
  <c r="I138" i="3"/>
  <c r="J138" i="3"/>
  <c r="K138" i="3"/>
  <c r="I139" i="3"/>
  <c r="J139" i="3"/>
  <c r="K139" i="3"/>
  <c r="I140" i="3"/>
  <c r="J140" i="3"/>
  <c r="K140" i="3"/>
  <c r="I141" i="3"/>
  <c r="J141" i="3"/>
  <c r="K141" i="3"/>
  <c r="I142" i="3"/>
  <c r="J142" i="3"/>
  <c r="K142" i="3"/>
  <c r="I143" i="3"/>
  <c r="J143" i="3"/>
  <c r="K143" i="3"/>
  <c r="I144" i="3"/>
  <c r="J144" i="3"/>
  <c r="K144" i="3"/>
  <c r="I145" i="3"/>
  <c r="J145" i="3"/>
  <c r="K145" i="3"/>
  <c r="I146" i="3"/>
  <c r="J146" i="3"/>
  <c r="K146" i="3"/>
  <c r="I147" i="3"/>
  <c r="J147" i="3"/>
  <c r="K147" i="3"/>
  <c r="I148" i="3"/>
  <c r="J148" i="3"/>
  <c r="K148" i="3"/>
  <c r="I149" i="3"/>
  <c r="J149" i="3"/>
  <c r="K149" i="3"/>
  <c r="I150" i="3"/>
  <c r="J150" i="3"/>
  <c r="K150" i="3"/>
  <c r="I151" i="3"/>
  <c r="J151" i="3"/>
  <c r="K151" i="3"/>
  <c r="I486" i="3"/>
  <c r="J486" i="3"/>
  <c r="K486" i="3"/>
  <c r="I153" i="3"/>
  <c r="J153" i="3"/>
  <c r="K153" i="3"/>
  <c r="I154" i="3"/>
  <c r="J154" i="3"/>
  <c r="K154" i="3"/>
  <c r="I155" i="3"/>
  <c r="J155" i="3"/>
  <c r="K155" i="3"/>
  <c r="I156" i="3"/>
  <c r="J156" i="3"/>
  <c r="K156" i="3"/>
  <c r="I157" i="3"/>
  <c r="J157" i="3"/>
  <c r="K157" i="3"/>
  <c r="I158" i="3"/>
  <c r="J158" i="3"/>
  <c r="K158" i="3"/>
  <c r="I159" i="3"/>
  <c r="J159" i="3"/>
  <c r="K159" i="3"/>
  <c r="I160" i="3"/>
  <c r="J160" i="3"/>
  <c r="K160" i="3"/>
  <c r="I161" i="3"/>
  <c r="J161" i="3"/>
  <c r="K161" i="3"/>
  <c r="I162" i="3"/>
  <c r="J162" i="3"/>
  <c r="K162" i="3"/>
  <c r="I163" i="3"/>
  <c r="J163" i="3"/>
  <c r="K163" i="3"/>
  <c r="I164" i="3"/>
  <c r="J164" i="3"/>
  <c r="K164" i="3"/>
  <c r="I165" i="3"/>
  <c r="J165" i="3"/>
  <c r="K165" i="3"/>
  <c r="I166" i="3"/>
  <c r="J166" i="3"/>
  <c r="K166" i="3"/>
  <c r="I167" i="3"/>
  <c r="J167" i="3"/>
  <c r="K167" i="3"/>
  <c r="I168" i="3"/>
  <c r="J168" i="3"/>
  <c r="K168" i="3"/>
  <c r="I169" i="3"/>
  <c r="J169" i="3"/>
  <c r="K169" i="3"/>
  <c r="I170" i="3"/>
  <c r="J170" i="3"/>
  <c r="K170" i="3"/>
  <c r="I171" i="3"/>
  <c r="J171" i="3"/>
  <c r="K171" i="3"/>
  <c r="I172" i="3"/>
  <c r="J172" i="3"/>
  <c r="K172" i="3"/>
  <c r="I173" i="3"/>
  <c r="J173" i="3"/>
  <c r="K173" i="3"/>
  <c r="I174" i="3"/>
  <c r="J174" i="3"/>
  <c r="K174" i="3"/>
  <c r="I175" i="3"/>
  <c r="J175" i="3"/>
  <c r="K175" i="3"/>
  <c r="I176" i="3"/>
  <c r="J176" i="3"/>
  <c r="K176" i="3"/>
  <c r="I177" i="3"/>
  <c r="J177" i="3"/>
  <c r="K177" i="3"/>
  <c r="I178" i="3"/>
  <c r="J178" i="3"/>
  <c r="K178" i="3"/>
  <c r="I179" i="3"/>
  <c r="J179" i="3"/>
  <c r="K179" i="3"/>
  <c r="I180" i="3"/>
  <c r="J180" i="3"/>
  <c r="K180" i="3"/>
  <c r="I181" i="3"/>
  <c r="J181" i="3"/>
  <c r="K181" i="3"/>
  <c r="I182" i="3"/>
  <c r="J182" i="3"/>
  <c r="K182" i="3"/>
  <c r="I183" i="3"/>
  <c r="J183" i="3"/>
  <c r="K183" i="3"/>
  <c r="I19" i="3"/>
  <c r="J19" i="3"/>
  <c r="K19" i="3"/>
  <c r="I185" i="3"/>
  <c r="J185" i="3"/>
  <c r="K185" i="3"/>
  <c r="I186" i="3"/>
  <c r="J186" i="3"/>
  <c r="K186" i="3"/>
  <c r="I187" i="3"/>
  <c r="J187" i="3"/>
  <c r="K187" i="3"/>
  <c r="I188" i="3"/>
  <c r="J188" i="3"/>
  <c r="K188" i="3"/>
  <c r="I189" i="3"/>
  <c r="J189" i="3"/>
  <c r="K189" i="3"/>
  <c r="I190" i="3"/>
  <c r="J190" i="3"/>
  <c r="K190" i="3"/>
  <c r="I514" i="3"/>
  <c r="J514" i="3"/>
  <c r="K514" i="3"/>
  <c r="I192" i="3"/>
  <c r="J192" i="3"/>
  <c r="K192" i="3"/>
  <c r="I193" i="3"/>
  <c r="J193" i="3"/>
  <c r="K193" i="3"/>
  <c r="I194" i="3"/>
  <c r="J194" i="3"/>
  <c r="K194" i="3"/>
  <c r="I195" i="3"/>
  <c r="J195" i="3"/>
  <c r="K195" i="3"/>
  <c r="I196" i="3"/>
  <c r="J196" i="3"/>
  <c r="K196" i="3"/>
  <c r="I197" i="3"/>
  <c r="J197" i="3"/>
  <c r="K197" i="3"/>
  <c r="I198" i="3"/>
  <c r="J198" i="3"/>
  <c r="K198" i="3"/>
  <c r="I199" i="3"/>
  <c r="J199" i="3"/>
  <c r="K199" i="3"/>
  <c r="I200" i="3"/>
  <c r="J200" i="3"/>
  <c r="K200" i="3"/>
  <c r="I201" i="3"/>
  <c r="J201" i="3"/>
  <c r="K201" i="3"/>
  <c r="I202" i="3"/>
  <c r="J202" i="3"/>
  <c r="K202" i="3"/>
  <c r="I203" i="3"/>
  <c r="J203" i="3"/>
  <c r="K203" i="3"/>
  <c r="I204" i="3"/>
  <c r="J204" i="3"/>
  <c r="K204" i="3"/>
  <c r="I26" i="3"/>
  <c r="J26" i="3"/>
  <c r="K26" i="3"/>
  <c r="I206" i="3"/>
  <c r="J206" i="3"/>
  <c r="K206" i="3"/>
  <c r="I207" i="3"/>
  <c r="J207" i="3"/>
  <c r="K207" i="3"/>
  <c r="I208" i="3"/>
  <c r="J208" i="3"/>
  <c r="K208" i="3"/>
  <c r="I209" i="3"/>
  <c r="J209" i="3"/>
  <c r="K209" i="3"/>
  <c r="I210" i="3"/>
  <c r="J210" i="3"/>
  <c r="K210" i="3"/>
  <c r="I211" i="3"/>
  <c r="J211" i="3"/>
  <c r="K211" i="3"/>
  <c r="I212" i="3"/>
  <c r="J212" i="3"/>
  <c r="K212" i="3"/>
  <c r="I213" i="3"/>
  <c r="J213" i="3"/>
  <c r="K213" i="3"/>
  <c r="I214" i="3"/>
  <c r="J214" i="3"/>
  <c r="K214" i="3"/>
  <c r="I215" i="3"/>
  <c r="J215" i="3"/>
  <c r="K215" i="3"/>
  <c r="I216" i="3"/>
  <c r="J216" i="3"/>
  <c r="K216" i="3"/>
  <c r="I217" i="3"/>
  <c r="J217" i="3"/>
  <c r="K217" i="3"/>
  <c r="I218" i="3"/>
  <c r="J218" i="3"/>
  <c r="K218" i="3"/>
  <c r="I219" i="3"/>
  <c r="J219" i="3"/>
  <c r="K219" i="3"/>
  <c r="I220" i="3"/>
  <c r="J220" i="3"/>
  <c r="K220" i="3"/>
  <c r="I221" i="3"/>
  <c r="J221" i="3"/>
  <c r="K221" i="3"/>
  <c r="I222" i="3"/>
  <c r="J222" i="3"/>
  <c r="K222" i="3"/>
  <c r="I223" i="3"/>
  <c r="J223" i="3"/>
  <c r="K223" i="3"/>
  <c r="I224" i="3"/>
  <c r="J224" i="3"/>
  <c r="K224" i="3"/>
  <c r="I225" i="3"/>
  <c r="J225" i="3"/>
  <c r="K225" i="3"/>
  <c r="I226" i="3"/>
  <c r="J226" i="3"/>
  <c r="K226" i="3"/>
  <c r="I227" i="3"/>
  <c r="J227" i="3"/>
  <c r="K227" i="3"/>
  <c r="I228" i="3"/>
  <c r="J228" i="3"/>
  <c r="K228" i="3"/>
  <c r="I229" i="3"/>
  <c r="J229" i="3"/>
  <c r="K229" i="3"/>
  <c r="I230" i="3"/>
  <c r="J230" i="3"/>
  <c r="K230" i="3"/>
  <c r="I231" i="3"/>
  <c r="J231" i="3"/>
  <c r="K231" i="3"/>
  <c r="I232" i="3"/>
  <c r="J232" i="3"/>
  <c r="K232" i="3"/>
  <c r="I36" i="3"/>
  <c r="J36" i="3"/>
  <c r="K36" i="3"/>
  <c r="I234" i="3"/>
  <c r="J234" i="3"/>
  <c r="K234" i="3"/>
  <c r="I235" i="3"/>
  <c r="J235" i="3"/>
  <c r="K235" i="3"/>
  <c r="I502" i="3"/>
  <c r="J502" i="3"/>
  <c r="K502" i="3"/>
  <c r="I237" i="3"/>
  <c r="J237" i="3"/>
  <c r="K237" i="3"/>
  <c r="I238" i="3"/>
  <c r="J238" i="3"/>
  <c r="K238" i="3"/>
  <c r="I239" i="3"/>
  <c r="J239" i="3"/>
  <c r="K239" i="3"/>
  <c r="I240" i="3"/>
  <c r="J240" i="3"/>
  <c r="K240" i="3"/>
  <c r="I241" i="3"/>
  <c r="J241" i="3"/>
  <c r="K241" i="3"/>
  <c r="I242" i="3"/>
  <c r="J242" i="3"/>
  <c r="K242" i="3"/>
  <c r="I243" i="3"/>
  <c r="J243" i="3"/>
  <c r="K243" i="3"/>
  <c r="I244" i="3"/>
  <c r="J244" i="3"/>
  <c r="K244" i="3"/>
  <c r="I245" i="3"/>
  <c r="J245" i="3"/>
  <c r="K245" i="3"/>
  <c r="I246" i="3"/>
  <c r="J246" i="3"/>
  <c r="K246" i="3"/>
  <c r="I247" i="3"/>
  <c r="J247" i="3"/>
  <c r="K247" i="3"/>
  <c r="I248" i="3"/>
  <c r="J248" i="3"/>
  <c r="K248" i="3"/>
  <c r="I249" i="3"/>
  <c r="J249" i="3"/>
  <c r="K249" i="3"/>
  <c r="I250" i="3"/>
  <c r="J250" i="3"/>
  <c r="K250" i="3"/>
  <c r="I251" i="3"/>
  <c r="J251" i="3"/>
  <c r="K251" i="3"/>
  <c r="I252" i="3"/>
  <c r="J252" i="3"/>
  <c r="K252" i="3"/>
  <c r="I253" i="3"/>
  <c r="J253" i="3"/>
  <c r="K253" i="3"/>
  <c r="I254" i="3"/>
  <c r="J254" i="3"/>
  <c r="K254" i="3"/>
  <c r="I255" i="3"/>
  <c r="J255" i="3"/>
  <c r="K255" i="3"/>
  <c r="I256" i="3"/>
  <c r="J256" i="3"/>
  <c r="K256" i="3"/>
  <c r="I257" i="3"/>
  <c r="J257" i="3"/>
  <c r="K257" i="3"/>
  <c r="I258" i="3"/>
  <c r="J258" i="3"/>
  <c r="K258" i="3"/>
  <c r="I259" i="3"/>
  <c r="J259" i="3"/>
  <c r="K259" i="3"/>
  <c r="I260" i="3"/>
  <c r="J260" i="3"/>
  <c r="K260" i="3"/>
  <c r="I261" i="3"/>
  <c r="J261" i="3"/>
  <c r="K261" i="3"/>
  <c r="I262" i="3"/>
  <c r="J262" i="3"/>
  <c r="K262" i="3"/>
  <c r="I263" i="3"/>
  <c r="J263" i="3"/>
  <c r="K263" i="3"/>
  <c r="I264" i="3"/>
  <c r="J264" i="3"/>
  <c r="K264" i="3"/>
  <c r="I265" i="3"/>
  <c r="J265" i="3"/>
  <c r="K265" i="3"/>
  <c r="I266" i="3"/>
  <c r="J266" i="3"/>
  <c r="K266" i="3"/>
  <c r="I267" i="3"/>
  <c r="J267" i="3"/>
  <c r="K267" i="3"/>
  <c r="I268" i="3"/>
  <c r="J268" i="3"/>
  <c r="K268" i="3"/>
  <c r="I269" i="3"/>
  <c r="J269" i="3"/>
  <c r="K269" i="3"/>
  <c r="I270" i="3"/>
  <c r="J270" i="3"/>
  <c r="K270" i="3"/>
  <c r="I271" i="3"/>
  <c r="J271" i="3"/>
  <c r="K271" i="3"/>
  <c r="I272" i="3"/>
  <c r="J272" i="3"/>
  <c r="K272" i="3"/>
  <c r="I273" i="3"/>
  <c r="J273" i="3"/>
  <c r="K273" i="3"/>
  <c r="I274" i="3"/>
  <c r="J274" i="3"/>
  <c r="K274" i="3"/>
  <c r="I275" i="3"/>
  <c r="J275" i="3"/>
  <c r="K275" i="3"/>
  <c r="I276" i="3"/>
  <c r="J276" i="3"/>
  <c r="K276" i="3"/>
  <c r="I277" i="3"/>
  <c r="J277" i="3"/>
  <c r="K277" i="3"/>
  <c r="I278" i="3"/>
  <c r="J278" i="3"/>
  <c r="K278" i="3"/>
  <c r="I279" i="3"/>
  <c r="J279" i="3"/>
  <c r="K279" i="3"/>
  <c r="I280" i="3"/>
  <c r="J280" i="3"/>
  <c r="K280" i="3"/>
  <c r="I281" i="3"/>
  <c r="J281" i="3"/>
  <c r="K281" i="3"/>
  <c r="I282" i="3"/>
  <c r="J282" i="3"/>
  <c r="K282" i="3"/>
  <c r="I283" i="3"/>
  <c r="J283" i="3"/>
  <c r="K283" i="3"/>
  <c r="I471" i="3"/>
  <c r="J471" i="3"/>
  <c r="K471" i="3"/>
  <c r="I285" i="3"/>
  <c r="J285" i="3"/>
  <c r="K285" i="3"/>
  <c r="I286" i="3"/>
  <c r="J286" i="3"/>
  <c r="K286" i="3"/>
  <c r="I287" i="3"/>
  <c r="J287" i="3"/>
  <c r="K287" i="3"/>
  <c r="I288" i="3"/>
  <c r="J288" i="3"/>
  <c r="K288" i="3"/>
  <c r="I289" i="3"/>
  <c r="J289" i="3"/>
  <c r="K289" i="3"/>
  <c r="I290" i="3"/>
  <c r="J290" i="3"/>
  <c r="K290" i="3"/>
  <c r="I291" i="3"/>
  <c r="J291" i="3"/>
  <c r="K291" i="3"/>
  <c r="I382" i="3"/>
  <c r="J382" i="3"/>
  <c r="K382" i="3"/>
  <c r="I293" i="3"/>
  <c r="J293" i="3"/>
  <c r="K293" i="3"/>
  <c r="I294" i="3"/>
  <c r="J294" i="3"/>
  <c r="K294" i="3"/>
  <c r="I295" i="3"/>
  <c r="J295" i="3"/>
  <c r="K295" i="3"/>
  <c r="I296" i="3"/>
  <c r="J296" i="3"/>
  <c r="K296" i="3"/>
  <c r="I297" i="3"/>
  <c r="J297" i="3"/>
  <c r="K297" i="3"/>
  <c r="I298" i="3"/>
  <c r="J298" i="3"/>
  <c r="K298" i="3"/>
  <c r="I299" i="3"/>
  <c r="J299" i="3"/>
  <c r="K299" i="3"/>
  <c r="I300" i="3"/>
  <c r="J300" i="3"/>
  <c r="K300" i="3"/>
  <c r="I301" i="3"/>
  <c r="J301" i="3"/>
  <c r="K301" i="3"/>
  <c r="I302" i="3"/>
  <c r="J302" i="3"/>
  <c r="K302" i="3"/>
  <c r="I303" i="3"/>
  <c r="J303" i="3"/>
  <c r="K303" i="3"/>
  <c r="I304" i="3"/>
  <c r="J304" i="3"/>
  <c r="K304" i="3"/>
  <c r="I305" i="3"/>
  <c r="J305" i="3"/>
  <c r="K305" i="3"/>
  <c r="I306" i="3"/>
  <c r="J306" i="3"/>
  <c r="K306" i="3"/>
  <c r="I307" i="3"/>
  <c r="J307" i="3"/>
  <c r="K307" i="3"/>
  <c r="I308" i="3"/>
  <c r="J308" i="3"/>
  <c r="K308" i="3"/>
  <c r="I309" i="3"/>
  <c r="J309" i="3"/>
  <c r="K309" i="3"/>
  <c r="I310" i="3"/>
  <c r="J310" i="3"/>
  <c r="K310" i="3"/>
  <c r="I44" i="3"/>
  <c r="J44" i="3"/>
  <c r="K44" i="3"/>
  <c r="I312" i="3"/>
  <c r="J312" i="3"/>
  <c r="K312" i="3"/>
  <c r="I313" i="3"/>
  <c r="J313" i="3"/>
  <c r="K313" i="3"/>
  <c r="I314" i="3"/>
  <c r="J314" i="3"/>
  <c r="K314" i="3"/>
  <c r="I315" i="3"/>
  <c r="J315" i="3"/>
  <c r="K315" i="3"/>
  <c r="I316" i="3"/>
  <c r="J316" i="3"/>
  <c r="K316" i="3"/>
  <c r="I317" i="3"/>
  <c r="J317" i="3"/>
  <c r="K317" i="3"/>
  <c r="I318" i="3"/>
  <c r="J318" i="3"/>
  <c r="K318" i="3"/>
  <c r="I319" i="3"/>
  <c r="J319" i="3"/>
  <c r="K319" i="3"/>
  <c r="I320" i="3"/>
  <c r="J320" i="3"/>
  <c r="K320" i="3"/>
  <c r="I321" i="3"/>
  <c r="J321" i="3"/>
  <c r="K321" i="3"/>
  <c r="I322" i="3"/>
  <c r="J322" i="3"/>
  <c r="K322" i="3"/>
  <c r="I323" i="3"/>
  <c r="J323" i="3"/>
  <c r="K323" i="3"/>
  <c r="I481" i="3"/>
  <c r="J481" i="3"/>
  <c r="K481" i="3"/>
  <c r="I325" i="3"/>
  <c r="J325" i="3"/>
  <c r="K325" i="3"/>
  <c r="I326" i="3"/>
  <c r="J326" i="3"/>
  <c r="K326" i="3"/>
  <c r="I327" i="3"/>
  <c r="J327" i="3"/>
  <c r="K327" i="3"/>
  <c r="I328" i="3"/>
  <c r="J328" i="3"/>
  <c r="K328" i="3"/>
  <c r="I329" i="3"/>
  <c r="J329" i="3"/>
  <c r="K329" i="3"/>
  <c r="I330" i="3"/>
  <c r="J330" i="3"/>
  <c r="K330" i="3"/>
  <c r="I331" i="3"/>
  <c r="J331" i="3"/>
  <c r="K331" i="3"/>
  <c r="I332" i="3"/>
  <c r="J332" i="3"/>
  <c r="K332" i="3"/>
  <c r="I333" i="3"/>
  <c r="J333" i="3"/>
  <c r="K333" i="3"/>
  <c r="I334" i="3"/>
  <c r="J334" i="3"/>
  <c r="K334" i="3"/>
  <c r="I335" i="3"/>
  <c r="J335" i="3"/>
  <c r="K335" i="3"/>
  <c r="I336" i="3"/>
  <c r="J336" i="3"/>
  <c r="K336" i="3"/>
  <c r="I337" i="3"/>
  <c r="J337" i="3"/>
  <c r="K337" i="3"/>
  <c r="I50" i="3"/>
  <c r="J50" i="3"/>
  <c r="K50" i="3"/>
  <c r="I58" i="3"/>
  <c r="J58" i="3"/>
  <c r="K58" i="3"/>
  <c r="I61" i="3"/>
  <c r="J61" i="3"/>
  <c r="K61" i="3"/>
  <c r="I341" i="3"/>
  <c r="J341" i="3"/>
  <c r="K341" i="3"/>
  <c r="I342" i="3"/>
  <c r="J342" i="3"/>
  <c r="K342" i="3"/>
  <c r="I343" i="3"/>
  <c r="J343" i="3"/>
  <c r="K343" i="3"/>
  <c r="I344" i="3"/>
  <c r="J344" i="3"/>
  <c r="K344" i="3"/>
  <c r="I345" i="3"/>
  <c r="J345" i="3"/>
  <c r="K345" i="3"/>
  <c r="I346" i="3"/>
  <c r="J346" i="3"/>
  <c r="K346" i="3"/>
  <c r="I347" i="3"/>
  <c r="J347" i="3"/>
  <c r="K347" i="3"/>
  <c r="I348" i="3"/>
  <c r="J348" i="3"/>
  <c r="K348" i="3"/>
  <c r="I349" i="3"/>
  <c r="J349" i="3"/>
  <c r="K349" i="3"/>
  <c r="I350" i="3"/>
  <c r="J350" i="3"/>
  <c r="K350" i="3"/>
  <c r="I351" i="3"/>
  <c r="J351" i="3"/>
  <c r="K351" i="3"/>
  <c r="I352" i="3"/>
  <c r="J352" i="3"/>
  <c r="K352" i="3"/>
  <c r="I353" i="3"/>
  <c r="J353" i="3"/>
  <c r="K353" i="3"/>
  <c r="I354" i="3"/>
  <c r="J354" i="3"/>
  <c r="K354" i="3"/>
  <c r="I355" i="3"/>
  <c r="J355" i="3"/>
  <c r="K355" i="3"/>
  <c r="I74" i="3"/>
  <c r="J74" i="3"/>
  <c r="K74" i="3"/>
  <c r="I357" i="3"/>
  <c r="J357" i="3"/>
  <c r="K357" i="3"/>
  <c r="I358" i="3"/>
  <c r="J358" i="3"/>
  <c r="K358" i="3"/>
  <c r="I359" i="3"/>
  <c r="J359" i="3"/>
  <c r="K359" i="3"/>
  <c r="I360" i="3"/>
  <c r="J360" i="3"/>
  <c r="K360" i="3"/>
  <c r="I361" i="3"/>
  <c r="J361" i="3"/>
  <c r="K361" i="3"/>
  <c r="I362" i="3"/>
  <c r="J362" i="3"/>
  <c r="K362" i="3"/>
  <c r="I363" i="3"/>
  <c r="J363" i="3"/>
  <c r="K363" i="3"/>
  <c r="I364" i="3"/>
  <c r="J364" i="3"/>
  <c r="K364" i="3"/>
  <c r="I365" i="3"/>
  <c r="J365" i="3"/>
  <c r="K365" i="3"/>
  <c r="I366" i="3"/>
  <c r="J366" i="3"/>
  <c r="K366" i="3"/>
  <c r="I367" i="3"/>
  <c r="J367" i="3"/>
  <c r="K367" i="3"/>
  <c r="I368" i="3"/>
  <c r="J368" i="3"/>
  <c r="K368" i="3"/>
  <c r="I369" i="3"/>
  <c r="J369" i="3"/>
  <c r="K369" i="3"/>
  <c r="I370" i="3"/>
  <c r="J370" i="3"/>
  <c r="K370" i="3"/>
  <c r="I371" i="3"/>
  <c r="J371" i="3"/>
  <c r="K371" i="3"/>
  <c r="I372" i="3"/>
  <c r="J372" i="3"/>
  <c r="K372" i="3"/>
  <c r="I373" i="3"/>
  <c r="J373" i="3"/>
  <c r="K373" i="3"/>
  <c r="I374" i="3"/>
  <c r="J374" i="3"/>
  <c r="K374" i="3"/>
  <c r="I375" i="3"/>
  <c r="J375" i="3"/>
  <c r="K375" i="3"/>
  <c r="I376" i="3"/>
  <c r="J376" i="3"/>
  <c r="K376" i="3"/>
  <c r="I377" i="3"/>
  <c r="J377" i="3"/>
  <c r="K377" i="3"/>
  <c r="I378" i="3"/>
  <c r="J378" i="3"/>
  <c r="K378" i="3"/>
  <c r="I379" i="3"/>
  <c r="J379" i="3"/>
  <c r="K379" i="3"/>
  <c r="I380" i="3"/>
  <c r="J380" i="3"/>
  <c r="K380" i="3"/>
  <c r="I381" i="3"/>
  <c r="J381" i="3"/>
  <c r="K381" i="3"/>
  <c r="I97" i="3"/>
  <c r="J97" i="3"/>
  <c r="K97" i="3"/>
  <c r="I383" i="3"/>
  <c r="J383" i="3"/>
  <c r="K383" i="3"/>
  <c r="I384" i="3"/>
  <c r="J384" i="3"/>
  <c r="K384" i="3"/>
  <c r="I385" i="3"/>
  <c r="J385" i="3"/>
  <c r="K385" i="3"/>
  <c r="I506" i="3"/>
  <c r="J506" i="3"/>
  <c r="K506" i="3"/>
  <c r="I387" i="3"/>
  <c r="J387" i="3"/>
  <c r="K387" i="3"/>
  <c r="I388" i="3"/>
  <c r="J388" i="3"/>
  <c r="K388" i="3"/>
  <c r="I389" i="3"/>
  <c r="J389" i="3"/>
  <c r="K389" i="3"/>
  <c r="I390" i="3"/>
  <c r="J390" i="3"/>
  <c r="K390" i="3"/>
  <c r="I391" i="3"/>
  <c r="J391" i="3"/>
  <c r="K391" i="3"/>
  <c r="I392" i="3"/>
  <c r="J392" i="3"/>
  <c r="K392" i="3"/>
  <c r="I393" i="3"/>
  <c r="J393" i="3"/>
  <c r="K393" i="3"/>
  <c r="I394" i="3"/>
  <c r="J394" i="3"/>
  <c r="K394" i="3"/>
  <c r="I395" i="3"/>
  <c r="J395" i="3"/>
  <c r="K395" i="3"/>
  <c r="I396" i="3"/>
  <c r="J396" i="3"/>
  <c r="K396" i="3"/>
  <c r="I397" i="3"/>
  <c r="J397" i="3"/>
  <c r="K397" i="3"/>
  <c r="I398" i="3"/>
  <c r="J398" i="3"/>
  <c r="K398" i="3"/>
  <c r="I399" i="3"/>
  <c r="J399" i="3"/>
  <c r="K399" i="3"/>
  <c r="I400" i="3"/>
  <c r="J400" i="3"/>
  <c r="K400" i="3"/>
  <c r="I401" i="3"/>
  <c r="J401" i="3"/>
  <c r="K401" i="3"/>
  <c r="I402" i="3"/>
  <c r="J402" i="3"/>
  <c r="K402" i="3"/>
  <c r="I403" i="3"/>
  <c r="J403" i="3"/>
  <c r="K403" i="3"/>
  <c r="I404" i="3"/>
  <c r="J404" i="3"/>
  <c r="K404" i="3"/>
  <c r="I405" i="3"/>
  <c r="J405" i="3"/>
  <c r="K405" i="3"/>
  <c r="I406" i="3"/>
  <c r="J406" i="3"/>
  <c r="K406" i="3"/>
  <c r="I407" i="3"/>
  <c r="J407" i="3"/>
  <c r="K407" i="3"/>
  <c r="I408" i="3"/>
  <c r="J408" i="3"/>
  <c r="K408" i="3"/>
  <c r="I117" i="3"/>
  <c r="J117" i="3"/>
  <c r="K117" i="3"/>
  <c r="I410" i="3"/>
  <c r="J410" i="3"/>
  <c r="K410" i="3"/>
  <c r="I411" i="3"/>
  <c r="J411" i="3"/>
  <c r="K411" i="3"/>
  <c r="I412" i="3"/>
  <c r="J412" i="3"/>
  <c r="K412" i="3"/>
  <c r="I413" i="3"/>
  <c r="J413" i="3"/>
  <c r="K413" i="3"/>
  <c r="I414" i="3"/>
  <c r="J414" i="3"/>
  <c r="K414" i="3"/>
  <c r="I415" i="3"/>
  <c r="J415" i="3"/>
  <c r="K415" i="3"/>
  <c r="I416" i="3"/>
  <c r="J416" i="3"/>
  <c r="K416" i="3"/>
  <c r="I417" i="3"/>
  <c r="J417" i="3"/>
  <c r="K417" i="3"/>
  <c r="I418" i="3"/>
  <c r="J418" i="3"/>
  <c r="K418" i="3"/>
  <c r="I419" i="3"/>
  <c r="J419" i="3"/>
  <c r="K419" i="3"/>
  <c r="I420" i="3"/>
  <c r="J420" i="3"/>
  <c r="K420" i="3"/>
  <c r="I421" i="3"/>
  <c r="J421" i="3"/>
  <c r="K421" i="3"/>
  <c r="I422" i="3"/>
  <c r="J422" i="3"/>
  <c r="K422" i="3"/>
  <c r="I423" i="3"/>
  <c r="J423" i="3"/>
  <c r="K423" i="3"/>
  <c r="I424" i="3"/>
  <c r="J424" i="3"/>
  <c r="K424" i="3"/>
  <c r="I425" i="3"/>
  <c r="J425" i="3"/>
  <c r="K425" i="3"/>
  <c r="I426" i="3"/>
  <c r="J426" i="3"/>
  <c r="K426" i="3"/>
  <c r="I427" i="3"/>
  <c r="J427" i="3"/>
  <c r="K427" i="3"/>
  <c r="I428" i="3"/>
  <c r="J428" i="3"/>
  <c r="K428" i="3"/>
  <c r="I429" i="3"/>
  <c r="J429" i="3"/>
  <c r="K429" i="3"/>
  <c r="I430" i="3"/>
  <c r="J430" i="3"/>
  <c r="K430" i="3"/>
  <c r="I431" i="3"/>
  <c r="J431" i="3"/>
  <c r="K431" i="3"/>
  <c r="I432" i="3"/>
  <c r="J432" i="3"/>
  <c r="K432" i="3"/>
  <c r="I433" i="3"/>
  <c r="J433" i="3"/>
  <c r="K433" i="3"/>
  <c r="I434" i="3"/>
  <c r="J434" i="3"/>
  <c r="K434" i="3"/>
  <c r="I435" i="3"/>
  <c r="J435" i="3"/>
  <c r="K435" i="3"/>
  <c r="I436" i="3"/>
  <c r="J436" i="3"/>
  <c r="K436" i="3"/>
  <c r="I437" i="3"/>
  <c r="J437" i="3"/>
  <c r="K437" i="3"/>
  <c r="I133" i="3"/>
  <c r="J133" i="3"/>
  <c r="K133" i="3"/>
  <c r="I439" i="3"/>
  <c r="J439" i="3"/>
  <c r="K439" i="3"/>
  <c r="I152" i="3"/>
  <c r="J152" i="3"/>
  <c r="K152" i="3"/>
  <c r="I441" i="3"/>
  <c r="J441" i="3"/>
  <c r="K441" i="3"/>
  <c r="I442" i="3"/>
  <c r="J442" i="3"/>
  <c r="K442" i="3"/>
  <c r="I443" i="3"/>
  <c r="J443" i="3"/>
  <c r="K443" i="3"/>
  <c r="I444" i="3"/>
  <c r="J444" i="3"/>
  <c r="K444" i="3"/>
  <c r="I445" i="3"/>
  <c r="J445" i="3"/>
  <c r="K445" i="3"/>
  <c r="I446" i="3"/>
  <c r="J446" i="3"/>
  <c r="K446" i="3"/>
  <c r="I447" i="3"/>
  <c r="J447" i="3"/>
  <c r="K447" i="3"/>
  <c r="I448" i="3"/>
  <c r="J448" i="3"/>
  <c r="K448" i="3"/>
  <c r="I449" i="3"/>
  <c r="J449" i="3"/>
  <c r="K449" i="3"/>
  <c r="I450" i="3"/>
  <c r="J450" i="3"/>
  <c r="K450" i="3"/>
  <c r="I451" i="3"/>
  <c r="J451" i="3"/>
  <c r="K451" i="3"/>
  <c r="I452" i="3"/>
  <c r="J452" i="3"/>
  <c r="K452" i="3"/>
  <c r="I453" i="3"/>
  <c r="J453" i="3"/>
  <c r="K453" i="3"/>
  <c r="I184" i="3"/>
  <c r="J184" i="3"/>
  <c r="K184" i="3"/>
  <c r="I455" i="3"/>
  <c r="J455" i="3"/>
  <c r="K455" i="3"/>
  <c r="I456" i="3"/>
  <c r="J456" i="3"/>
  <c r="K456" i="3"/>
  <c r="I457" i="3"/>
  <c r="J457" i="3"/>
  <c r="K457" i="3"/>
  <c r="I458" i="3"/>
  <c r="J458" i="3"/>
  <c r="K458" i="3"/>
  <c r="I459" i="3"/>
  <c r="J459" i="3"/>
  <c r="K459" i="3"/>
  <c r="I460" i="3"/>
  <c r="J460" i="3"/>
  <c r="K460" i="3"/>
  <c r="I461" i="3"/>
  <c r="J461" i="3"/>
  <c r="K461" i="3"/>
  <c r="I462" i="3"/>
  <c r="J462" i="3"/>
  <c r="K462" i="3"/>
  <c r="I463" i="3"/>
  <c r="J463" i="3"/>
  <c r="K463" i="3"/>
  <c r="I464" i="3"/>
  <c r="J464" i="3"/>
  <c r="K464" i="3"/>
  <c r="I465" i="3"/>
  <c r="J465" i="3"/>
  <c r="K465" i="3"/>
  <c r="I466" i="3"/>
  <c r="J466" i="3"/>
  <c r="K466" i="3"/>
  <c r="I467" i="3"/>
  <c r="J467" i="3"/>
  <c r="K467" i="3"/>
  <c r="I468" i="3"/>
  <c r="J468" i="3"/>
  <c r="K468" i="3"/>
  <c r="I469" i="3"/>
  <c r="J469" i="3"/>
  <c r="K469" i="3"/>
  <c r="I470" i="3"/>
  <c r="J470" i="3"/>
  <c r="K470" i="3"/>
  <c r="I191" i="3"/>
  <c r="J191" i="3"/>
  <c r="K191" i="3"/>
  <c r="I472" i="3"/>
  <c r="J472" i="3"/>
  <c r="K472" i="3"/>
  <c r="I473" i="3"/>
  <c r="J473" i="3"/>
  <c r="K473" i="3"/>
  <c r="I474" i="3"/>
  <c r="J474" i="3"/>
  <c r="K474" i="3"/>
  <c r="I475" i="3"/>
  <c r="J475" i="3"/>
  <c r="K475" i="3"/>
  <c r="I476" i="3"/>
  <c r="J476" i="3"/>
  <c r="K476" i="3"/>
  <c r="I477" i="3"/>
  <c r="J477" i="3"/>
  <c r="K477" i="3"/>
  <c r="I478" i="3"/>
  <c r="J478" i="3"/>
  <c r="K478" i="3"/>
  <c r="I479" i="3"/>
  <c r="J479" i="3"/>
  <c r="K479" i="3"/>
  <c r="I480" i="3"/>
  <c r="J480" i="3"/>
  <c r="K480" i="3"/>
  <c r="I205" i="3"/>
  <c r="J205" i="3"/>
  <c r="K205" i="3"/>
  <c r="I482" i="3"/>
  <c r="J482" i="3"/>
  <c r="K482" i="3"/>
  <c r="I483" i="3"/>
  <c r="J483" i="3"/>
  <c r="K483" i="3"/>
  <c r="I484" i="3"/>
  <c r="J484" i="3"/>
  <c r="K484" i="3"/>
  <c r="I485" i="3"/>
  <c r="J485" i="3"/>
  <c r="K485" i="3"/>
  <c r="I233" i="3"/>
  <c r="J233" i="3"/>
  <c r="K233" i="3"/>
  <c r="I487" i="3"/>
  <c r="J487" i="3"/>
  <c r="K487" i="3"/>
  <c r="I488" i="3"/>
  <c r="J488" i="3"/>
  <c r="K488" i="3"/>
  <c r="I489" i="3"/>
  <c r="J489" i="3"/>
  <c r="K489" i="3"/>
  <c r="I490" i="3"/>
  <c r="J490" i="3"/>
  <c r="K490" i="3"/>
  <c r="I491" i="3"/>
  <c r="J491" i="3"/>
  <c r="K491" i="3"/>
  <c r="I492" i="3"/>
  <c r="J492" i="3"/>
  <c r="K492" i="3"/>
  <c r="I493" i="3"/>
  <c r="J493" i="3"/>
  <c r="K493" i="3"/>
  <c r="I494" i="3"/>
  <c r="J494" i="3"/>
  <c r="K494" i="3"/>
  <c r="I495" i="3"/>
  <c r="J495" i="3"/>
  <c r="K495" i="3"/>
  <c r="I496" i="3"/>
  <c r="J496" i="3"/>
  <c r="K496" i="3"/>
  <c r="I497" i="3"/>
  <c r="J497" i="3"/>
  <c r="K497" i="3"/>
  <c r="I498" i="3"/>
  <c r="J498" i="3"/>
  <c r="K498" i="3"/>
  <c r="I499" i="3"/>
  <c r="J499" i="3"/>
  <c r="K499" i="3"/>
  <c r="I500" i="3"/>
  <c r="J500" i="3"/>
  <c r="K500" i="3"/>
  <c r="I501" i="3"/>
  <c r="J501" i="3"/>
  <c r="K501" i="3"/>
  <c r="I236" i="3"/>
  <c r="J236" i="3"/>
  <c r="K236" i="3"/>
  <c r="I284" i="3"/>
  <c r="J284" i="3"/>
  <c r="K284" i="3"/>
  <c r="I504" i="3"/>
  <c r="J504" i="3"/>
  <c r="K504" i="3"/>
  <c r="I505" i="3"/>
  <c r="J505" i="3"/>
  <c r="K505" i="3"/>
  <c r="I292" i="3"/>
  <c r="J292" i="3"/>
  <c r="K292" i="3"/>
  <c r="I507" i="3"/>
  <c r="J507" i="3"/>
  <c r="K507" i="3"/>
  <c r="I508" i="3"/>
  <c r="J508" i="3"/>
  <c r="K508" i="3"/>
  <c r="I509" i="3"/>
  <c r="J509" i="3"/>
  <c r="K509" i="3"/>
  <c r="I510" i="3"/>
  <c r="J510" i="3"/>
  <c r="K510" i="3"/>
  <c r="I511" i="3"/>
  <c r="J511" i="3"/>
  <c r="K511" i="3"/>
  <c r="I512" i="3"/>
  <c r="J512" i="3"/>
  <c r="K512" i="3"/>
  <c r="I513" i="3"/>
  <c r="J513" i="3"/>
  <c r="K513" i="3"/>
  <c r="I311" i="3"/>
  <c r="J311" i="3"/>
  <c r="K311" i="3"/>
  <c r="I515" i="3"/>
  <c r="J515" i="3"/>
  <c r="K515" i="3"/>
  <c r="I516" i="3"/>
  <c r="J516" i="3"/>
  <c r="K516" i="3"/>
  <c r="I517" i="3"/>
  <c r="J517" i="3"/>
  <c r="K517" i="3"/>
  <c r="I518" i="3"/>
  <c r="J518" i="3"/>
  <c r="K518" i="3"/>
  <c r="I519" i="3"/>
  <c r="J519" i="3"/>
  <c r="K519" i="3"/>
  <c r="I520" i="3"/>
  <c r="J520" i="3"/>
  <c r="K520" i="3"/>
  <c r="I521" i="3"/>
  <c r="J521" i="3"/>
  <c r="K521" i="3"/>
  <c r="I522" i="3"/>
  <c r="J522" i="3"/>
  <c r="K522" i="3"/>
  <c r="I523" i="3"/>
  <c r="J523" i="3"/>
  <c r="K523" i="3"/>
  <c r="I524" i="3"/>
  <c r="J524" i="3"/>
  <c r="K524" i="3"/>
  <c r="I525" i="3"/>
  <c r="J525" i="3"/>
  <c r="K525" i="3"/>
  <c r="I526" i="3"/>
  <c r="J526" i="3"/>
  <c r="K526" i="3"/>
  <c r="I324" i="3"/>
  <c r="J324" i="3"/>
  <c r="K324" i="3"/>
  <c r="I338" i="3"/>
  <c r="J338" i="3"/>
  <c r="K338" i="3"/>
  <c r="I529" i="3"/>
  <c r="J529" i="3"/>
  <c r="K529" i="3"/>
  <c r="I530" i="3"/>
  <c r="J530" i="3"/>
  <c r="K530" i="3"/>
  <c r="I531" i="3"/>
  <c r="J531" i="3"/>
  <c r="K531" i="3"/>
  <c r="I339" i="3"/>
  <c r="J339" i="3"/>
  <c r="K339" i="3"/>
  <c r="I533" i="3"/>
  <c r="J533" i="3"/>
  <c r="K533" i="3"/>
  <c r="I534" i="3"/>
  <c r="J534" i="3"/>
  <c r="K534" i="3"/>
  <c r="I535" i="3"/>
  <c r="J535" i="3"/>
  <c r="K535" i="3"/>
  <c r="I536" i="3"/>
  <c r="J536" i="3"/>
  <c r="K536" i="3"/>
  <c r="I537" i="3"/>
  <c r="J537" i="3"/>
  <c r="K537" i="3"/>
  <c r="I538" i="3"/>
  <c r="J538" i="3"/>
  <c r="K538" i="3"/>
  <c r="I539" i="3"/>
  <c r="J539" i="3"/>
  <c r="K539" i="3"/>
  <c r="I540" i="3"/>
  <c r="J540" i="3"/>
  <c r="K540" i="3"/>
  <c r="I541" i="3"/>
  <c r="J541" i="3"/>
  <c r="K541" i="3"/>
  <c r="I542" i="3"/>
  <c r="J542" i="3"/>
  <c r="K542" i="3"/>
  <c r="I543" i="3"/>
  <c r="J543" i="3"/>
  <c r="K543" i="3"/>
  <c r="I544" i="3"/>
  <c r="J544" i="3"/>
  <c r="K544" i="3"/>
  <c r="I545" i="3"/>
  <c r="J545" i="3"/>
  <c r="K545" i="3"/>
  <c r="I546" i="3"/>
  <c r="J546" i="3"/>
  <c r="K546" i="3"/>
  <c r="I547" i="3"/>
  <c r="J547" i="3"/>
  <c r="K547" i="3"/>
  <c r="I548" i="3"/>
  <c r="J548" i="3"/>
  <c r="K548" i="3"/>
  <c r="I549" i="3"/>
  <c r="J549" i="3"/>
  <c r="K549" i="3"/>
  <c r="I550" i="3"/>
  <c r="J550" i="3"/>
  <c r="K550" i="3"/>
  <c r="I551" i="3"/>
  <c r="J551" i="3"/>
  <c r="K551" i="3"/>
  <c r="I552" i="3"/>
  <c r="J552" i="3"/>
  <c r="K552" i="3"/>
  <c r="I553" i="3"/>
  <c r="J553" i="3"/>
  <c r="K553" i="3"/>
  <c r="I554" i="3"/>
  <c r="J554" i="3"/>
  <c r="K554" i="3"/>
  <c r="I555" i="3"/>
  <c r="J555" i="3"/>
  <c r="K555" i="3"/>
  <c r="I556" i="3"/>
  <c r="J556" i="3"/>
  <c r="K556" i="3"/>
  <c r="I557" i="3"/>
  <c r="J557" i="3"/>
  <c r="K557" i="3"/>
  <c r="I558" i="3"/>
  <c r="J558" i="3"/>
  <c r="K558" i="3"/>
  <c r="I559" i="3"/>
  <c r="J559" i="3"/>
  <c r="K559" i="3"/>
  <c r="I560" i="3"/>
  <c r="J560" i="3"/>
  <c r="K560" i="3"/>
  <c r="I561" i="3"/>
  <c r="J561" i="3"/>
  <c r="K561" i="3"/>
  <c r="I562" i="3"/>
  <c r="J562" i="3"/>
  <c r="K562" i="3"/>
  <c r="I563" i="3"/>
  <c r="J563" i="3"/>
  <c r="K563" i="3"/>
  <c r="I564" i="3"/>
  <c r="J564" i="3"/>
  <c r="K564" i="3"/>
  <c r="I565" i="3"/>
  <c r="J565" i="3"/>
  <c r="K565" i="3"/>
  <c r="I566" i="3"/>
  <c r="J566" i="3"/>
  <c r="K566" i="3"/>
  <c r="I340" i="3"/>
  <c r="J340" i="3"/>
  <c r="K340" i="3"/>
  <c r="I568" i="3"/>
  <c r="J568" i="3"/>
  <c r="K568" i="3"/>
  <c r="I569" i="3"/>
  <c r="J569" i="3"/>
  <c r="K569" i="3"/>
  <c r="I570" i="3"/>
  <c r="J570" i="3"/>
  <c r="K570" i="3"/>
  <c r="I571" i="3"/>
  <c r="J571" i="3"/>
  <c r="K571" i="3"/>
  <c r="I572" i="3"/>
  <c r="J572" i="3"/>
  <c r="K572" i="3"/>
  <c r="I573" i="3"/>
  <c r="J573" i="3"/>
  <c r="K573" i="3"/>
  <c r="I574" i="3"/>
  <c r="J574" i="3"/>
  <c r="K574" i="3"/>
  <c r="I575" i="3"/>
  <c r="J575" i="3"/>
  <c r="K575" i="3"/>
  <c r="I576" i="3"/>
  <c r="J576" i="3"/>
  <c r="K576" i="3"/>
  <c r="I577" i="3"/>
  <c r="J577" i="3"/>
  <c r="K577" i="3"/>
  <c r="K567" i="3"/>
  <c r="J567" i="3"/>
  <c r="I567" i="3"/>
  <c r="H233" i="3" l="1"/>
  <c r="L233" i="3"/>
  <c r="M233" i="3"/>
  <c r="N233" i="3"/>
  <c r="O233" i="3"/>
  <c r="P233" i="3"/>
  <c r="Q233" i="3"/>
  <c r="R233" i="3"/>
  <c r="H324" i="3"/>
  <c r="L324" i="3"/>
  <c r="M324" i="3"/>
  <c r="N324" i="3"/>
  <c r="O324" i="3"/>
  <c r="P324" i="3"/>
  <c r="Q324" i="3"/>
  <c r="R324" i="3"/>
  <c r="H236" i="3"/>
  <c r="L236" i="3"/>
  <c r="M236" i="3"/>
  <c r="N236" i="3"/>
  <c r="O236" i="3"/>
  <c r="P236" i="3"/>
  <c r="Q236" i="3"/>
  <c r="R236" i="3"/>
  <c r="H311" i="3"/>
  <c r="L311" i="3"/>
  <c r="M311" i="3"/>
  <c r="N311" i="3"/>
  <c r="O311" i="3"/>
  <c r="P311" i="3"/>
  <c r="Q311" i="3"/>
  <c r="R311" i="3"/>
  <c r="H382" i="3"/>
  <c r="L382" i="3"/>
  <c r="M382" i="3"/>
  <c r="N382" i="3"/>
  <c r="O382" i="3"/>
  <c r="P382" i="3"/>
  <c r="Q382" i="3"/>
  <c r="R382" i="3"/>
  <c r="H184" i="3"/>
  <c r="L184" i="3"/>
  <c r="M184" i="3"/>
  <c r="N184" i="3"/>
  <c r="O184" i="3"/>
  <c r="P184" i="3"/>
  <c r="Q184" i="3"/>
  <c r="R184" i="3"/>
  <c r="H284" i="3"/>
  <c r="L284" i="3"/>
  <c r="M284" i="3"/>
  <c r="N284" i="3"/>
  <c r="O284" i="3"/>
  <c r="P284" i="3"/>
  <c r="Q284" i="3"/>
  <c r="R284" i="3"/>
  <c r="H338" i="3"/>
  <c r="L338" i="3"/>
  <c r="M338" i="3"/>
  <c r="N338" i="3"/>
  <c r="O338" i="3"/>
  <c r="P338" i="3"/>
  <c r="Q338" i="3"/>
  <c r="R338" i="3"/>
  <c r="H44" i="3"/>
  <c r="L44" i="3"/>
  <c r="M44" i="3"/>
  <c r="N44" i="3"/>
  <c r="O44" i="3"/>
  <c r="P44" i="3"/>
  <c r="Q44" i="3"/>
  <c r="R44" i="3"/>
  <c r="H152" i="3"/>
  <c r="L152" i="3"/>
  <c r="M152" i="3"/>
  <c r="N152" i="3"/>
  <c r="O152" i="3"/>
  <c r="P152" i="3"/>
  <c r="Q152" i="3"/>
  <c r="R152" i="3"/>
  <c r="H292" i="3"/>
  <c r="L292" i="3"/>
  <c r="M292" i="3"/>
  <c r="N292" i="3"/>
  <c r="O292" i="3"/>
  <c r="P292" i="3"/>
  <c r="Q292" i="3"/>
  <c r="R292" i="3"/>
  <c r="H339" i="3"/>
  <c r="L339" i="3"/>
  <c r="M339" i="3"/>
  <c r="N339" i="3"/>
  <c r="O339" i="3"/>
  <c r="P339" i="3"/>
  <c r="Q339" i="3"/>
  <c r="R339" i="3"/>
  <c r="H456" i="3"/>
  <c r="L456" i="3"/>
  <c r="M456" i="3"/>
  <c r="N456" i="3"/>
  <c r="O456" i="3"/>
  <c r="P456" i="3"/>
  <c r="Q456" i="3"/>
  <c r="R456" i="3"/>
  <c r="H474" i="3"/>
  <c r="L474" i="3"/>
  <c r="M474" i="3"/>
  <c r="N474" i="3"/>
  <c r="O474" i="3"/>
  <c r="P474" i="3"/>
  <c r="Q474" i="3"/>
  <c r="R474" i="3"/>
  <c r="H462" i="3"/>
  <c r="L462" i="3"/>
  <c r="M462" i="3"/>
  <c r="N462" i="3"/>
  <c r="O462" i="3"/>
  <c r="P462" i="3"/>
  <c r="Q462" i="3"/>
  <c r="R462" i="3"/>
  <c r="H470" i="3"/>
  <c r="L470" i="3"/>
  <c r="M470" i="3"/>
  <c r="N470" i="3"/>
  <c r="O470" i="3"/>
  <c r="P470" i="3"/>
  <c r="Q470" i="3"/>
  <c r="R470" i="3"/>
  <c r="H413" i="3"/>
  <c r="L413" i="3"/>
  <c r="M413" i="3"/>
  <c r="N413" i="3"/>
  <c r="O413" i="3"/>
  <c r="P413" i="3"/>
  <c r="Q413" i="3"/>
  <c r="R413" i="3"/>
  <c r="H422" i="3"/>
  <c r="L422" i="3"/>
  <c r="M422" i="3"/>
  <c r="N422" i="3"/>
  <c r="O422" i="3"/>
  <c r="P422" i="3"/>
  <c r="Q422" i="3"/>
  <c r="R422" i="3"/>
  <c r="H147" i="3"/>
  <c r="L147" i="3"/>
  <c r="M147" i="3"/>
  <c r="N147" i="3"/>
  <c r="O147" i="3"/>
  <c r="P147" i="3"/>
  <c r="Q147" i="3"/>
  <c r="R147" i="3"/>
  <c r="H420" i="3"/>
  <c r="L420" i="3"/>
  <c r="M420" i="3"/>
  <c r="N420" i="3"/>
  <c r="O420" i="3"/>
  <c r="P420" i="3"/>
  <c r="Q420" i="3"/>
  <c r="R420" i="3"/>
  <c r="H26" i="3"/>
  <c r="L26" i="3"/>
  <c r="M26" i="3"/>
  <c r="N26" i="3"/>
  <c r="O26" i="3"/>
  <c r="P26" i="3"/>
  <c r="Q26" i="3"/>
  <c r="R26" i="3"/>
  <c r="H463" i="3"/>
  <c r="L463" i="3"/>
  <c r="M463" i="3"/>
  <c r="N463" i="3"/>
  <c r="O463" i="3"/>
  <c r="P463" i="3"/>
  <c r="Q463" i="3"/>
  <c r="R463" i="3"/>
  <c r="H117" i="3"/>
  <c r="L117" i="3"/>
  <c r="M117" i="3"/>
  <c r="N117" i="3"/>
  <c r="O117" i="3"/>
  <c r="P117" i="3"/>
  <c r="Q117" i="3"/>
  <c r="R117" i="3"/>
  <c r="H538" i="3"/>
  <c r="L538" i="3"/>
  <c r="M538" i="3"/>
  <c r="N538" i="3"/>
  <c r="O538" i="3"/>
  <c r="P538" i="3"/>
  <c r="Q538" i="3"/>
  <c r="R538" i="3"/>
  <c r="H539" i="3"/>
  <c r="L539" i="3"/>
  <c r="M539" i="3"/>
  <c r="N539" i="3"/>
  <c r="O539" i="3"/>
  <c r="P539" i="3"/>
  <c r="Q539" i="3"/>
  <c r="R539" i="3"/>
  <c r="H80" i="3"/>
  <c r="L80" i="3"/>
  <c r="M80" i="3"/>
  <c r="N80" i="3"/>
  <c r="O80" i="3"/>
  <c r="P80" i="3"/>
  <c r="Q80" i="3"/>
  <c r="R80" i="3"/>
  <c r="H90" i="3"/>
  <c r="L90" i="3"/>
  <c r="M90" i="3"/>
  <c r="N90" i="3"/>
  <c r="O90" i="3"/>
  <c r="P90" i="3"/>
  <c r="Q90" i="3"/>
  <c r="R90" i="3"/>
  <c r="H318" i="3"/>
  <c r="L318" i="3"/>
  <c r="M318" i="3"/>
  <c r="N318" i="3"/>
  <c r="O318" i="3"/>
  <c r="P318" i="3"/>
  <c r="Q318" i="3"/>
  <c r="R318" i="3"/>
  <c r="H221" i="3"/>
  <c r="L221" i="3"/>
  <c r="M221" i="3"/>
  <c r="N221" i="3"/>
  <c r="O221" i="3"/>
  <c r="P221" i="3"/>
  <c r="Q221" i="3"/>
  <c r="R221" i="3"/>
  <c r="H192" i="3"/>
  <c r="L192" i="3"/>
  <c r="M192" i="3"/>
  <c r="N192" i="3"/>
  <c r="O192" i="3"/>
  <c r="P192" i="3"/>
  <c r="Q192" i="3"/>
  <c r="R192" i="3"/>
  <c r="H469" i="3"/>
  <c r="L469" i="3"/>
  <c r="M469" i="3"/>
  <c r="N469" i="3"/>
  <c r="O469" i="3"/>
  <c r="P469" i="3"/>
  <c r="Q469" i="3"/>
  <c r="R469" i="3"/>
  <c r="H534" i="3"/>
  <c r="L534" i="3"/>
  <c r="M534" i="3"/>
  <c r="N534" i="3"/>
  <c r="O534" i="3"/>
  <c r="P534" i="3"/>
  <c r="Q534" i="3"/>
  <c r="R534" i="3"/>
  <c r="H560" i="3"/>
  <c r="L560" i="3"/>
  <c r="M560" i="3"/>
  <c r="N560" i="3"/>
  <c r="O560" i="3"/>
  <c r="P560" i="3"/>
  <c r="Q560" i="3"/>
  <c r="R560" i="3"/>
  <c r="H457" i="3"/>
  <c r="L457" i="3"/>
  <c r="M457" i="3"/>
  <c r="N457" i="3"/>
  <c r="O457" i="3"/>
  <c r="P457" i="3"/>
  <c r="Q457" i="3"/>
  <c r="R457" i="3"/>
  <c r="H153" i="3"/>
  <c r="L153" i="3"/>
  <c r="M153" i="3"/>
  <c r="N153" i="3"/>
  <c r="O153" i="3"/>
  <c r="P153" i="3"/>
  <c r="Q153" i="3"/>
  <c r="R153" i="3"/>
  <c r="H85" i="3"/>
  <c r="L85" i="3"/>
  <c r="M85" i="3"/>
  <c r="N85" i="3"/>
  <c r="O85" i="3"/>
  <c r="P85" i="3"/>
  <c r="Q85" i="3"/>
  <c r="R85" i="3"/>
  <c r="H504" i="3"/>
  <c r="L504" i="3"/>
  <c r="M504" i="3"/>
  <c r="N504" i="3"/>
  <c r="O504" i="3"/>
  <c r="P504" i="3"/>
  <c r="Q504" i="3"/>
  <c r="R504" i="3"/>
  <c r="H458" i="3"/>
  <c r="L458" i="3"/>
  <c r="M458" i="3"/>
  <c r="N458" i="3"/>
  <c r="O458" i="3"/>
  <c r="P458" i="3"/>
  <c r="Q458" i="3"/>
  <c r="R458" i="3"/>
  <c r="H22" i="3"/>
  <c r="L22" i="3"/>
  <c r="M22" i="3"/>
  <c r="N22" i="3"/>
  <c r="O22" i="3"/>
  <c r="P22" i="3"/>
  <c r="Q22" i="3"/>
  <c r="R22" i="3"/>
  <c r="H441" i="3"/>
  <c r="L441" i="3"/>
  <c r="M441" i="3"/>
  <c r="N441" i="3"/>
  <c r="O441" i="3"/>
  <c r="P441" i="3"/>
  <c r="Q441" i="3"/>
  <c r="R441" i="3"/>
  <c r="H529" i="3"/>
  <c r="L529" i="3"/>
  <c r="M529" i="3"/>
  <c r="N529" i="3"/>
  <c r="O529" i="3"/>
  <c r="P529" i="3"/>
  <c r="Q529" i="3"/>
  <c r="R529" i="3"/>
  <c r="H417" i="3"/>
  <c r="L417" i="3"/>
  <c r="M417" i="3"/>
  <c r="N417" i="3"/>
  <c r="O417" i="3"/>
  <c r="P417" i="3"/>
  <c r="Q417" i="3"/>
  <c r="R417" i="3"/>
  <c r="H455" i="3"/>
  <c r="L455" i="3"/>
  <c r="M455" i="3"/>
  <c r="N455" i="3"/>
  <c r="O455" i="3"/>
  <c r="P455" i="3"/>
  <c r="Q455" i="3"/>
  <c r="R455" i="3"/>
  <c r="H566" i="3"/>
  <c r="L566" i="3"/>
  <c r="M566" i="3"/>
  <c r="N566" i="3"/>
  <c r="O566" i="3"/>
  <c r="P566" i="3"/>
  <c r="Q566" i="3"/>
  <c r="R566" i="3"/>
  <c r="H544" i="3"/>
  <c r="L544" i="3"/>
  <c r="M544" i="3"/>
  <c r="N544" i="3"/>
  <c r="O544" i="3"/>
  <c r="P544" i="3"/>
  <c r="Q544" i="3"/>
  <c r="R544" i="3"/>
  <c r="H553" i="3"/>
  <c r="L553" i="3"/>
  <c r="M553" i="3"/>
  <c r="N553" i="3"/>
  <c r="O553" i="3"/>
  <c r="P553" i="3"/>
  <c r="Q553" i="3"/>
  <c r="R553" i="3"/>
  <c r="H512" i="3"/>
  <c r="L512" i="3"/>
  <c r="M512" i="3"/>
  <c r="N512" i="3"/>
  <c r="O512" i="3"/>
  <c r="P512" i="3"/>
  <c r="Q512" i="3"/>
  <c r="R512" i="3"/>
  <c r="H500" i="3"/>
  <c r="L500" i="3"/>
  <c r="M500" i="3"/>
  <c r="N500" i="3"/>
  <c r="O500" i="3"/>
  <c r="P500" i="3"/>
  <c r="Q500" i="3"/>
  <c r="R500" i="3"/>
  <c r="H251" i="3"/>
  <c r="L251" i="3"/>
  <c r="M251" i="3"/>
  <c r="N251" i="3"/>
  <c r="O251" i="3"/>
  <c r="P251" i="3"/>
  <c r="Q251" i="3"/>
  <c r="R251" i="3"/>
  <c r="H262" i="3"/>
  <c r="L262" i="3"/>
  <c r="M262" i="3"/>
  <c r="N262" i="3"/>
  <c r="O262" i="3"/>
  <c r="P262" i="3"/>
  <c r="Q262" i="3"/>
  <c r="R262" i="3"/>
  <c r="H540" i="3"/>
  <c r="L540" i="3"/>
  <c r="M540" i="3"/>
  <c r="N540" i="3"/>
  <c r="O540" i="3"/>
  <c r="P540" i="3"/>
  <c r="Q540" i="3"/>
  <c r="R540" i="3"/>
  <c r="H185" i="3"/>
  <c r="L185" i="3"/>
  <c r="M185" i="3"/>
  <c r="N185" i="3"/>
  <c r="O185" i="3"/>
  <c r="P185" i="3"/>
  <c r="Q185" i="3"/>
  <c r="R185" i="3"/>
  <c r="H141" i="3"/>
  <c r="L141" i="3"/>
  <c r="M141" i="3"/>
  <c r="N141" i="3"/>
  <c r="O141" i="3"/>
  <c r="P141" i="3"/>
  <c r="Q141" i="3"/>
  <c r="R141" i="3"/>
  <c r="H134" i="3"/>
  <c r="L134" i="3"/>
  <c r="M134" i="3"/>
  <c r="N134" i="3"/>
  <c r="O134" i="3"/>
  <c r="P134" i="3"/>
  <c r="Q134" i="3"/>
  <c r="R134" i="3"/>
  <c r="H78" i="3"/>
  <c r="L78" i="3"/>
  <c r="M78" i="3"/>
  <c r="N78" i="3"/>
  <c r="O78" i="3"/>
  <c r="P78" i="3"/>
  <c r="Q78" i="3"/>
  <c r="R78" i="3"/>
  <c r="H24" i="3"/>
  <c r="L24" i="3"/>
  <c r="M24" i="3"/>
  <c r="N24" i="3"/>
  <c r="O24" i="3"/>
  <c r="P24" i="3"/>
  <c r="Q24" i="3"/>
  <c r="R24" i="3"/>
  <c r="H178" i="3"/>
  <c r="L178" i="3"/>
  <c r="M178" i="3"/>
  <c r="N178" i="3"/>
  <c r="O178" i="3"/>
  <c r="P178" i="3"/>
  <c r="Q178" i="3"/>
  <c r="R178" i="3"/>
  <c r="H508" i="3"/>
  <c r="L508" i="3"/>
  <c r="M508" i="3"/>
  <c r="N508" i="3"/>
  <c r="O508" i="3"/>
  <c r="P508" i="3"/>
  <c r="Q508" i="3"/>
  <c r="R508" i="3"/>
  <c r="H30" i="3"/>
  <c r="L30" i="3"/>
  <c r="M30" i="3"/>
  <c r="N30" i="3"/>
  <c r="O30" i="3"/>
  <c r="P30" i="3"/>
  <c r="Q30" i="3"/>
  <c r="R30" i="3"/>
  <c r="H154" i="3"/>
  <c r="L154" i="3"/>
  <c r="M154" i="3"/>
  <c r="N154" i="3"/>
  <c r="O154" i="3"/>
  <c r="P154" i="3"/>
  <c r="Q154" i="3"/>
  <c r="R154" i="3"/>
  <c r="H127" i="3"/>
  <c r="L127" i="3"/>
  <c r="M127" i="3"/>
  <c r="N127" i="3"/>
  <c r="O127" i="3"/>
  <c r="P127" i="3"/>
  <c r="Q127" i="3"/>
  <c r="R127" i="3"/>
  <c r="H122" i="3"/>
  <c r="L122" i="3"/>
  <c r="M122" i="3"/>
  <c r="N122" i="3"/>
  <c r="O122" i="3"/>
  <c r="P122" i="3"/>
  <c r="Q122" i="3"/>
  <c r="R122" i="3"/>
  <c r="H144" i="3"/>
  <c r="L144" i="3"/>
  <c r="M144" i="3"/>
  <c r="N144" i="3"/>
  <c r="O144" i="3"/>
  <c r="P144" i="3"/>
  <c r="Q144" i="3"/>
  <c r="R144" i="3"/>
  <c r="H116" i="3"/>
  <c r="L116" i="3"/>
  <c r="M116" i="3"/>
  <c r="N116" i="3"/>
  <c r="O116" i="3"/>
  <c r="P116" i="3"/>
  <c r="Q116" i="3"/>
  <c r="R116" i="3"/>
  <c r="H81" i="3"/>
  <c r="L81" i="3"/>
  <c r="M81" i="3"/>
  <c r="N81" i="3"/>
  <c r="O81" i="3"/>
  <c r="P81" i="3"/>
  <c r="Q81" i="3"/>
  <c r="R81" i="3"/>
  <c r="H96" i="3"/>
  <c r="L96" i="3"/>
  <c r="M96" i="3"/>
  <c r="N96" i="3"/>
  <c r="O96" i="3"/>
  <c r="P96" i="3"/>
  <c r="Q96" i="3"/>
  <c r="R96" i="3"/>
  <c r="H145" i="3"/>
  <c r="L145" i="3"/>
  <c r="M145" i="3"/>
  <c r="N145" i="3"/>
  <c r="O145" i="3"/>
  <c r="P145" i="3"/>
  <c r="Q145" i="3"/>
  <c r="R145" i="3"/>
  <c r="H572" i="3"/>
  <c r="L572" i="3"/>
  <c r="M572" i="3"/>
  <c r="N572" i="3"/>
  <c r="O572" i="3"/>
  <c r="P572" i="3"/>
  <c r="Q572" i="3"/>
  <c r="R572" i="3"/>
  <c r="H10" i="3"/>
  <c r="L10" i="3"/>
  <c r="M10" i="3"/>
  <c r="N10" i="3"/>
  <c r="O10" i="3"/>
  <c r="P10" i="3"/>
  <c r="Q10" i="3"/>
  <c r="R10" i="3"/>
  <c r="H186" i="3"/>
  <c r="L186" i="3"/>
  <c r="M186" i="3"/>
  <c r="N186" i="3"/>
  <c r="O186" i="3"/>
  <c r="P186" i="3"/>
  <c r="Q186" i="3"/>
  <c r="R186" i="3"/>
  <c r="H39" i="3"/>
  <c r="L39" i="3"/>
  <c r="M39" i="3"/>
  <c r="N39" i="3"/>
  <c r="O39" i="3"/>
  <c r="P39" i="3"/>
  <c r="Q39" i="3"/>
  <c r="R39" i="3"/>
  <c r="H40" i="3"/>
  <c r="L40" i="3"/>
  <c r="M40" i="3"/>
  <c r="N40" i="3"/>
  <c r="O40" i="3"/>
  <c r="P40" i="3"/>
  <c r="Q40" i="3"/>
  <c r="R40" i="3"/>
  <c r="H56" i="3"/>
  <c r="L56" i="3"/>
  <c r="M56" i="3"/>
  <c r="N56" i="3"/>
  <c r="O56" i="3"/>
  <c r="P56" i="3"/>
  <c r="Q56" i="3"/>
  <c r="R56" i="3"/>
  <c r="H71" i="3"/>
  <c r="L71" i="3"/>
  <c r="M71" i="3"/>
  <c r="N71" i="3"/>
  <c r="O71" i="3"/>
  <c r="P71" i="3"/>
  <c r="Q71" i="3"/>
  <c r="R71" i="3"/>
  <c r="H63" i="3"/>
  <c r="L63" i="3"/>
  <c r="M63" i="3"/>
  <c r="N63" i="3"/>
  <c r="O63" i="3"/>
  <c r="P63" i="3"/>
  <c r="Q63" i="3"/>
  <c r="R63" i="3"/>
  <c r="H101" i="3"/>
  <c r="L101" i="3"/>
  <c r="M101" i="3"/>
  <c r="N101" i="3"/>
  <c r="O101" i="3"/>
  <c r="P101" i="3"/>
  <c r="Q101" i="3"/>
  <c r="R101" i="3"/>
  <c r="H94" i="3"/>
  <c r="L94" i="3"/>
  <c r="M94" i="3"/>
  <c r="N94" i="3"/>
  <c r="O94" i="3"/>
  <c r="P94" i="3"/>
  <c r="Q94" i="3"/>
  <c r="R94" i="3"/>
  <c r="H174" i="3"/>
  <c r="L174" i="3"/>
  <c r="M174" i="3"/>
  <c r="N174" i="3"/>
  <c r="O174" i="3"/>
  <c r="P174" i="3"/>
  <c r="Q174" i="3"/>
  <c r="R174" i="3"/>
  <c r="H135" i="3"/>
  <c r="L135" i="3"/>
  <c r="M135" i="3"/>
  <c r="N135" i="3"/>
  <c r="O135" i="3"/>
  <c r="P135" i="3"/>
  <c r="Q135" i="3"/>
  <c r="R135" i="3"/>
  <c r="H378" i="3"/>
  <c r="L378" i="3"/>
  <c r="M378" i="3"/>
  <c r="N378" i="3"/>
  <c r="O378" i="3"/>
  <c r="P378" i="3"/>
  <c r="Q378" i="3"/>
  <c r="R378" i="3"/>
  <c r="H252" i="3"/>
  <c r="L252" i="3"/>
  <c r="M252" i="3"/>
  <c r="N252" i="3"/>
  <c r="O252" i="3"/>
  <c r="P252" i="3"/>
  <c r="Q252" i="3"/>
  <c r="R252" i="3"/>
  <c r="H279" i="3"/>
  <c r="L279" i="3"/>
  <c r="M279" i="3"/>
  <c r="N279" i="3"/>
  <c r="O279" i="3"/>
  <c r="P279" i="3"/>
  <c r="Q279" i="3"/>
  <c r="R279" i="3"/>
  <c r="H333" i="3"/>
  <c r="L333" i="3"/>
  <c r="M333" i="3"/>
  <c r="N333" i="3"/>
  <c r="O333" i="3"/>
  <c r="P333" i="3"/>
  <c r="Q333" i="3"/>
  <c r="R333" i="3"/>
  <c r="H401" i="3"/>
  <c r="L401" i="3"/>
  <c r="M401" i="3"/>
  <c r="N401" i="3"/>
  <c r="O401" i="3"/>
  <c r="P401" i="3"/>
  <c r="Q401" i="3"/>
  <c r="R401" i="3"/>
  <c r="H452" i="3"/>
  <c r="L452" i="3"/>
  <c r="M452" i="3"/>
  <c r="N452" i="3"/>
  <c r="O452" i="3"/>
  <c r="P452" i="3"/>
  <c r="Q452" i="3"/>
  <c r="R452" i="3"/>
  <c r="H496" i="3"/>
  <c r="L496" i="3"/>
  <c r="M496" i="3"/>
  <c r="N496" i="3"/>
  <c r="O496" i="3"/>
  <c r="P496" i="3"/>
  <c r="Q496" i="3"/>
  <c r="R496" i="3"/>
  <c r="H430" i="3"/>
  <c r="L430" i="3"/>
  <c r="M430" i="3"/>
  <c r="N430" i="3"/>
  <c r="O430" i="3"/>
  <c r="P430" i="3"/>
  <c r="Q430" i="3"/>
  <c r="R430" i="3"/>
  <c r="H247" i="3"/>
  <c r="L247" i="3"/>
  <c r="M247" i="3"/>
  <c r="N247" i="3"/>
  <c r="O247" i="3"/>
  <c r="P247" i="3"/>
  <c r="Q247" i="3"/>
  <c r="R247" i="3"/>
  <c r="H270" i="3"/>
  <c r="L270" i="3"/>
  <c r="M270" i="3"/>
  <c r="N270" i="3"/>
  <c r="O270" i="3"/>
  <c r="P270" i="3"/>
  <c r="Q270" i="3"/>
  <c r="R270" i="3"/>
  <c r="H257" i="3"/>
  <c r="L257" i="3"/>
  <c r="M257" i="3"/>
  <c r="N257" i="3"/>
  <c r="O257" i="3"/>
  <c r="P257" i="3"/>
  <c r="Q257" i="3"/>
  <c r="R257" i="3"/>
  <c r="H271" i="3"/>
  <c r="L271" i="3"/>
  <c r="M271" i="3"/>
  <c r="N271" i="3"/>
  <c r="O271" i="3"/>
  <c r="P271" i="3"/>
  <c r="Q271" i="3"/>
  <c r="R271" i="3"/>
  <c r="H237" i="3"/>
  <c r="L237" i="3"/>
  <c r="M237" i="3"/>
  <c r="N237" i="3"/>
  <c r="O237" i="3"/>
  <c r="P237" i="3"/>
  <c r="Q237" i="3"/>
  <c r="R237" i="3"/>
  <c r="H209" i="3"/>
  <c r="L209" i="3"/>
  <c r="M209" i="3"/>
  <c r="N209" i="3"/>
  <c r="O209" i="3"/>
  <c r="P209" i="3"/>
  <c r="Q209" i="3"/>
  <c r="R209" i="3"/>
  <c r="H248" i="3"/>
  <c r="L248" i="3"/>
  <c r="M248" i="3"/>
  <c r="N248" i="3"/>
  <c r="O248" i="3"/>
  <c r="P248" i="3"/>
  <c r="Q248" i="3"/>
  <c r="R248" i="3"/>
  <c r="H211" i="3"/>
  <c r="L211" i="3"/>
  <c r="M211" i="3"/>
  <c r="N211" i="3"/>
  <c r="O211" i="3"/>
  <c r="P211" i="3"/>
  <c r="Q211" i="3"/>
  <c r="R211" i="3"/>
  <c r="H169" i="3"/>
  <c r="L169" i="3"/>
  <c r="M169" i="3"/>
  <c r="N169" i="3"/>
  <c r="O169" i="3"/>
  <c r="P169" i="3"/>
  <c r="Q169" i="3"/>
  <c r="R169" i="3"/>
  <c r="H345" i="3"/>
  <c r="L345" i="3"/>
  <c r="M345" i="3"/>
  <c r="N345" i="3"/>
  <c r="O345" i="3"/>
  <c r="P345" i="3"/>
  <c r="Q345" i="3"/>
  <c r="R345" i="3"/>
  <c r="H285" i="3"/>
  <c r="L285" i="3"/>
  <c r="M285" i="3"/>
  <c r="N285" i="3"/>
  <c r="O285" i="3"/>
  <c r="P285" i="3"/>
  <c r="Q285" i="3"/>
  <c r="R285" i="3"/>
  <c r="H299" i="3"/>
  <c r="L299" i="3"/>
  <c r="M299" i="3"/>
  <c r="N299" i="3"/>
  <c r="O299" i="3"/>
  <c r="P299" i="3"/>
  <c r="Q299" i="3"/>
  <c r="R299" i="3"/>
  <c r="H224" i="3"/>
  <c r="L224" i="3"/>
  <c r="M224" i="3"/>
  <c r="N224" i="3"/>
  <c r="O224" i="3"/>
  <c r="P224" i="3"/>
  <c r="Q224" i="3"/>
  <c r="R224" i="3"/>
  <c r="H414" i="3"/>
  <c r="L414" i="3"/>
  <c r="M414" i="3"/>
  <c r="N414" i="3"/>
  <c r="O414" i="3"/>
  <c r="P414" i="3"/>
  <c r="Q414" i="3"/>
  <c r="R414" i="3"/>
  <c r="H419" i="3"/>
  <c r="L419" i="3"/>
  <c r="M419" i="3"/>
  <c r="N419" i="3"/>
  <c r="O419" i="3"/>
  <c r="P419" i="3"/>
  <c r="Q419" i="3"/>
  <c r="R419" i="3"/>
  <c r="H355" i="3"/>
  <c r="L355" i="3"/>
  <c r="M355" i="3"/>
  <c r="N355" i="3"/>
  <c r="O355" i="3"/>
  <c r="P355" i="3"/>
  <c r="Q355" i="3"/>
  <c r="R355" i="3"/>
  <c r="H371" i="3"/>
  <c r="L371" i="3"/>
  <c r="M371" i="3"/>
  <c r="N371" i="3"/>
  <c r="O371" i="3"/>
  <c r="P371" i="3"/>
  <c r="Q371" i="3"/>
  <c r="R371" i="3"/>
  <c r="H376" i="3"/>
  <c r="L376" i="3"/>
  <c r="M376" i="3"/>
  <c r="N376" i="3"/>
  <c r="O376" i="3"/>
  <c r="P376" i="3"/>
  <c r="Q376" i="3"/>
  <c r="R376" i="3"/>
  <c r="H372" i="3"/>
  <c r="L372" i="3"/>
  <c r="M372" i="3"/>
  <c r="N372" i="3"/>
  <c r="O372" i="3"/>
  <c r="P372" i="3"/>
  <c r="Q372" i="3"/>
  <c r="R372" i="3"/>
  <c r="H366" i="3"/>
  <c r="L366" i="3"/>
  <c r="M366" i="3"/>
  <c r="N366" i="3"/>
  <c r="O366" i="3"/>
  <c r="P366" i="3"/>
  <c r="Q366" i="3"/>
  <c r="R366" i="3"/>
  <c r="H346" i="3"/>
  <c r="L346" i="3"/>
  <c r="M346" i="3"/>
  <c r="N346" i="3"/>
  <c r="O346" i="3"/>
  <c r="P346" i="3"/>
  <c r="Q346" i="3"/>
  <c r="R346" i="3"/>
  <c r="H562" i="3"/>
  <c r="L562" i="3"/>
  <c r="M562" i="3"/>
  <c r="N562" i="3"/>
  <c r="O562" i="3"/>
  <c r="P562" i="3"/>
  <c r="Q562" i="3"/>
  <c r="R562" i="3"/>
  <c r="H395" i="3"/>
  <c r="L395" i="3"/>
  <c r="M395" i="3"/>
  <c r="N395" i="3"/>
  <c r="O395" i="3"/>
  <c r="P395" i="3"/>
  <c r="Q395" i="3"/>
  <c r="R395" i="3"/>
  <c r="H362" i="3"/>
  <c r="L362" i="3"/>
  <c r="M362" i="3"/>
  <c r="N362" i="3"/>
  <c r="O362" i="3"/>
  <c r="P362" i="3"/>
  <c r="Q362" i="3"/>
  <c r="R362" i="3"/>
  <c r="H347" i="3"/>
  <c r="L347" i="3"/>
  <c r="M347" i="3"/>
  <c r="N347" i="3"/>
  <c r="O347" i="3"/>
  <c r="P347" i="3"/>
  <c r="Q347" i="3"/>
  <c r="R347" i="3"/>
  <c r="H276" i="3"/>
  <c r="L276" i="3"/>
  <c r="M276" i="3"/>
  <c r="N276" i="3"/>
  <c r="O276" i="3"/>
  <c r="P276" i="3"/>
  <c r="Q276" i="3"/>
  <c r="R276" i="3"/>
  <c r="H189" i="3"/>
  <c r="L189" i="3"/>
  <c r="M189" i="3"/>
  <c r="N189" i="3"/>
  <c r="O189" i="3"/>
  <c r="P189" i="3"/>
  <c r="Q189" i="3"/>
  <c r="R189" i="3"/>
  <c r="H180" i="3"/>
  <c r="L180" i="3"/>
  <c r="M180" i="3"/>
  <c r="N180" i="3"/>
  <c r="O180" i="3"/>
  <c r="P180" i="3"/>
  <c r="Q180" i="3"/>
  <c r="R180" i="3"/>
  <c r="H217" i="3"/>
  <c r="L217" i="3"/>
  <c r="M217" i="3"/>
  <c r="N217" i="3"/>
  <c r="O217" i="3"/>
  <c r="P217" i="3"/>
  <c r="Q217" i="3"/>
  <c r="R217" i="3"/>
  <c r="H130" i="3"/>
  <c r="L130" i="3"/>
  <c r="M130" i="3"/>
  <c r="N130" i="3"/>
  <c r="O130" i="3"/>
  <c r="P130" i="3"/>
  <c r="Q130" i="3"/>
  <c r="R130" i="3"/>
  <c r="H386" i="3"/>
  <c r="L386" i="3"/>
  <c r="M386" i="3"/>
  <c r="N386" i="3"/>
  <c r="O386" i="3"/>
  <c r="P386" i="3"/>
  <c r="Q386" i="3"/>
  <c r="R386" i="3"/>
  <c r="H64" i="3"/>
  <c r="L64" i="3"/>
  <c r="M64" i="3"/>
  <c r="N64" i="3"/>
  <c r="O64" i="3"/>
  <c r="P64" i="3"/>
  <c r="Q64" i="3"/>
  <c r="R64" i="3"/>
  <c r="H216" i="3"/>
  <c r="L216" i="3"/>
  <c r="M216" i="3"/>
  <c r="N216" i="3"/>
  <c r="O216" i="3"/>
  <c r="P216" i="3"/>
  <c r="Q216" i="3"/>
  <c r="R216" i="3"/>
  <c r="H218" i="3"/>
  <c r="L218" i="3"/>
  <c r="M218" i="3"/>
  <c r="N218" i="3"/>
  <c r="O218" i="3"/>
  <c r="P218" i="3"/>
  <c r="Q218" i="3"/>
  <c r="R218" i="3"/>
  <c r="H157" i="3"/>
  <c r="L157" i="3"/>
  <c r="M157" i="3"/>
  <c r="N157" i="3"/>
  <c r="O157" i="3"/>
  <c r="P157" i="3"/>
  <c r="Q157" i="3"/>
  <c r="R157" i="3"/>
  <c r="H102" i="3"/>
  <c r="L102" i="3"/>
  <c r="M102" i="3"/>
  <c r="N102" i="3"/>
  <c r="O102" i="3"/>
  <c r="P102" i="3"/>
  <c r="Q102" i="3"/>
  <c r="R102" i="3"/>
  <c r="H41" i="3"/>
  <c r="L41" i="3"/>
  <c r="M41" i="3"/>
  <c r="N41" i="3"/>
  <c r="O41" i="3"/>
  <c r="P41" i="3"/>
  <c r="Q41" i="3"/>
  <c r="R41" i="3"/>
  <c r="H149" i="3"/>
  <c r="L149" i="3"/>
  <c r="M149" i="3"/>
  <c r="N149" i="3"/>
  <c r="O149" i="3"/>
  <c r="P149" i="3"/>
  <c r="Q149" i="3"/>
  <c r="R149" i="3"/>
  <c r="H115" i="3"/>
  <c r="L115" i="3"/>
  <c r="M115" i="3"/>
  <c r="N115" i="3"/>
  <c r="O115" i="3"/>
  <c r="P115" i="3"/>
  <c r="Q115" i="3"/>
  <c r="R115" i="3"/>
  <c r="H33" i="3"/>
  <c r="L33" i="3"/>
  <c r="M33" i="3"/>
  <c r="N33" i="3"/>
  <c r="O33" i="3"/>
  <c r="P33" i="3"/>
  <c r="Q33" i="3"/>
  <c r="R33" i="3"/>
  <c r="H37" i="3"/>
  <c r="L37" i="3"/>
  <c r="M37" i="3"/>
  <c r="N37" i="3"/>
  <c r="O37" i="3"/>
  <c r="P37" i="3"/>
  <c r="Q37" i="3"/>
  <c r="R37" i="3"/>
  <c r="H442" i="3"/>
  <c r="L442" i="3"/>
  <c r="M442" i="3"/>
  <c r="N442" i="3"/>
  <c r="O442" i="3"/>
  <c r="P442" i="3"/>
  <c r="Q442" i="3"/>
  <c r="R442" i="3"/>
  <c r="H437" i="3"/>
  <c r="L437" i="3"/>
  <c r="M437" i="3"/>
  <c r="N437" i="3"/>
  <c r="O437" i="3"/>
  <c r="P437" i="3"/>
  <c r="Q437" i="3"/>
  <c r="R437" i="3"/>
  <c r="H467" i="3"/>
  <c r="L467" i="3"/>
  <c r="M467" i="3"/>
  <c r="N467" i="3"/>
  <c r="O467" i="3"/>
  <c r="P467" i="3"/>
  <c r="Q467" i="3"/>
  <c r="R467" i="3"/>
  <c r="H3" i="3"/>
  <c r="L3" i="3"/>
  <c r="M3" i="3"/>
  <c r="N3" i="3"/>
  <c r="O3" i="3"/>
  <c r="P3" i="3"/>
  <c r="Q3" i="3"/>
  <c r="R3" i="3"/>
  <c r="H32" i="3"/>
  <c r="L32" i="3"/>
  <c r="M32" i="3"/>
  <c r="N32" i="3"/>
  <c r="O32" i="3"/>
  <c r="P32" i="3"/>
  <c r="Q32" i="3"/>
  <c r="R32" i="3"/>
  <c r="H20" i="3"/>
  <c r="L20" i="3"/>
  <c r="M20" i="3"/>
  <c r="N20" i="3"/>
  <c r="O20" i="3"/>
  <c r="P20" i="3"/>
  <c r="Q20" i="3"/>
  <c r="R20" i="3"/>
  <c r="H567" i="3"/>
  <c r="L567" i="3"/>
  <c r="M567" i="3"/>
  <c r="N567" i="3"/>
  <c r="O567" i="3"/>
  <c r="P567" i="3"/>
  <c r="Q567" i="3"/>
  <c r="R567" i="3"/>
  <c r="H5" i="3"/>
  <c r="L5" i="3"/>
  <c r="M5" i="3"/>
  <c r="N5" i="3"/>
  <c r="O5" i="3"/>
  <c r="P5" i="3"/>
  <c r="Q5" i="3"/>
  <c r="R5" i="3"/>
  <c r="H197" i="3"/>
  <c r="L197" i="3"/>
  <c r="M197" i="3"/>
  <c r="N197" i="3"/>
  <c r="O197" i="3"/>
  <c r="P197" i="3"/>
  <c r="Q197" i="3"/>
  <c r="R197" i="3"/>
  <c r="H239" i="3"/>
  <c r="L239" i="3"/>
  <c r="M239" i="3"/>
  <c r="N239" i="3"/>
  <c r="O239" i="3"/>
  <c r="P239" i="3"/>
  <c r="Q239" i="3"/>
  <c r="R239" i="3"/>
  <c r="H293" i="3"/>
  <c r="L293" i="3"/>
  <c r="M293" i="3"/>
  <c r="N293" i="3"/>
  <c r="O293" i="3"/>
  <c r="P293" i="3"/>
  <c r="Q293" i="3"/>
  <c r="R293" i="3"/>
  <c r="H277" i="3"/>
  <c r="L277" i="3"/>
  <c r="M277" i="3"/>
  <c r="N277" i="3"/>
  <c r="O277" i="3"/>
  <c r="P277" i="3"/>
  <c r="Q277" i="3"/>
  <c r="R277" i="3"/>
  <c r="H219" i="3"/>
  <c r="L219" i="3"/>
  <c r="M219" i="3"/>
  <c r="N219" i="3"/>
  <c r="O219" i="3"/>
  <c r="P219" i="3"/>
  <c r="Q219" i="3"/>
  <c r="R219" i="3"/>
  <c r="H206" i="3"/>
  <c r="L206" i="3"/>
  <c r="M206" i="3"/>
  <c r="N206" i="3"/>
  <c r="O206" i="3"/>
  <c r="P206" i="3"/>
  <c r="Q206" i="3"/>
  <c r="R206" i="3"/>
  <c r="H212" i="3"/>
  <c r="L212" i="3"/>
  <c r="M212" i="3"/>
  <c r="N212" i="3"/>
  <c r="O212" i="3"/>
  <c r="P212" i="3"/>
  <c r="Q212" i="3"/>
  <c r="R212" i="3"/>
  <c r="H158" i="3"/>
  <c r="L158" i="3"/>
  <c r="M158" i="3"/>
  <c r="N158" i="3"/>
  <c r="O158" i="3"/>
  <c r="P158" i="3"/>
  <c r="Q158" i="3"/>
  <c r="R158" i="3"/>
  <c r="H160" i="3"/>
  <c r="L160" i="3"/>
  <c r="M160" i="3"/>
  <c r="N160" i="3"/>
  <c r="O160" i="3"/>
  <c r="P160" i="3"/>
  <c r="Q160" i="3"/>
  <c r="R160" i="3"/>
  <c r="H535" i="3"/>
  <c r="L535" i="3"/>
  <c r="M535" i="3"/>
  <c r="N535" i="3"/>
  <c r="O535" i="3"/>
  <c r="P535" i="3"/>
  <c r="Q535" i="3"/>
  <c r="R535" i="3"/>
  <c r="H515" i="3"/>
  <c r="L515" i="3"/>
  <c r="M515" i="3"/>
  <c r="N515" i="3"/>
  <c r="O515" i="3"/>
  <c r="P515" i="3"/>
  <c r="Q515" i="3"/>
  <c r="R515" i="3"/>
  <c r="H551" i="3"/>
  <c r="L551" i="3"/>
  <c r="M551" i="3"/>
  <c r="N551" i="3"/>
  <c r="O551" i="3"/>
  <c r="P551" i="3"/>
  <c r="Q551" i="3"/>
  <c r="R551" i="3"/>
  <c r="H29" i="3"/>
  <c r="L29" i="3"/>
  <c r="M29" i="3"/>
  <c r="N29" i="3"/>
  <c r="O29" i="3"/>
  <c r="P29" i="3"/>
  <c r="Q29" i="3"/>
  <c r="R29" i="3"/>
  <c r="H46" i="3"/>
  <c r="L46" i="3"/>
  <c r="M46" i="3"/>
  <c r="N46" i="3"/>
  <c r="O46" i="3"/>
  <c r="P46" i="3"/>
  <c r="Q46" i="3"/>
  <c r="R46" i="3"/>
  <c r="H65" i="3"/>
  <c r="L65" i="3"/>
  <c r="M65" i="3"/>
  <c r="N65" i="3"/>
  <c r="O65" i="3"/>
  <c r="P65" i="3"/>
  <c r="Q65" i="3"/>
  <c r="R65" i="3"/>
  <c r="H69" i="3"/>
  <c r="L69" i="3"/>
  <c r="M69" i="3"/>
  <c r="N69" i="3"/>
  <c r="O69" i="3"/>
  <c r="P69" i="3"/>
  <c r="Q69" i="3"/>
  <c r="R69" i="3"/>
  <c r="H82" i="3"/>
  <c r="L82" i="3"/>
  <c r="M82" i="3"/>
  <c r="N82" i="3"/>
  <c r="O82" i="3"/>
  <c r="P82" i="3"/>
  <c r="Q82" i="3"/>
  <c r="R82" i="3"/>
  <c r="H84" i="3"/>
  <c r="L84" i="3"/>
  <c r="M84" i="3"/>
  <c r="N84" i="3"/>
  <c r="O84" i="3"/>
  <c r="P84" i="3"/>
  <c r="Q84" i="3"/>
  <c r="R84" i="3"/>
  <c r="H396" i="3"/>
  <c r="L396" i="3"/>
  <c r="M396" i="3"/>
  <c r="N396" i="3"/>
  <c r="O396" i="3"/>
  <c r="P396" i="3"/>
  <c r="Q396" i="3"/>
  <c r="R396" i="3"/>
  <c r="H263" i="3"/>
  <c r="L263" i="3"/>
  <c r="M263" i="3"/>
  <c r="N263" i="3"/>
  <c r="O263" i="3"/>
  <c r="P263" i="3"/>
  <c r="Q263" i="3"/>
  <c r="R263" i="3"/>
  <c r="H464" i="3"/>
  <c r="L464" i="3"/>
  <c r="M464" i="3"/>
  <c r="N464" i="3"/>
  <c r="O464" i="3"/>
  <c r="P464" i="3"/>
  <c r="Q464" i="3"/>
  <c r="R464" i="3"/>
  <c r="H443" i="3"/>
  <c r="L443" i="3"/>
  <c r="M443" i="3"/>
  <c r="N443" i="3"/>
  <c r="O443" i="3"/>
  <c r="P443" i="3"/>
  <c r="Q443" i="3"/>
  <c r="R443" i="3"/>
  <c r="H294" i="3"/>
  <c r="L294" i="3"/>
  <c r="M294" i="3"/>
  <c r="N294" i="3"/>
  <c r="O294" i="3"/>
  <c r="P294" i="3"/>
  <c r="Q294" i="3"/>
  <c r="R294" i="3"/>
  <c r="H466" i="3"/>
  <c r="L466" i="3"/>
  <c r="M466" i="3"/>
  <c r="N466" i="3"/>
  <c r="O466" i="3"/>
  <c r="P466" i="3"/>
  <c r="Q466" i="3"/>
  <c r="R466" i="3"/>
  <c r="H51" i="3"/>
  <c r="L51" i="3"/>
  <c r="M51" i="3"/>
  <c r="N51" i="3"/>
  <c r="O51" i="3"/>
  <c r="P51" i="3"/>
  <c r="Q51" i="3"/>
  <c r="R51" i="3"/>
  <c r="H55" i="3"/>
  <c r="L55" i="3"/>
  <c r="M55" i="3"/>
  <c r="N55" i="3"/>
  <c r="O55" i="3"/>
  <c r="P55" i="3"/>
  <c r="Q55" i="3"/>
  <c r="R55" i="3"/>
  <c r="H60" i="3"/>
  <c r="L60" i="3"/>
  <c r="M60" i="3"/>
  <c r="N60" i="3"/>
  <c r="O60" i="3"/>
  <c r="P60" i="3"/>
  <c r="Q60" i="3"/>
  <c r="R60" i="3"/>
  <c r="H47" i="3"/>
  <c r="L47" i="3"/>
  <c r="M47" i="3"/>
  <c r="N47" i="3"/>
  <c r="O47" i="3"/>
  <c r="P47" i="3"/>
  <c r="Q47" i="3"/>
  <c r="R47" i="3"/>
  <c r="H93" i="3"/>
  <c r="L93" i="3"/>
  <c r="M93" i="3"/>
  <c r="N93" i="3"/>
  <c r="O93" i="3"/>
  <c r="P93" i="3"/>
  <c r="Q93" i="3"/>
  <c r="R93" i="3"/>
  <c r="H390" i="3"/>
  <c r="L390" i="3"/>
  <c r="M390" i="3"/>
  <c r="N390" i="3"/>
  <c r="O390" i="3"/>
  <c r="P390" i="3"/>
  <c r="Q390" i="3"/>
  <c r="R390" i="3"/>
  <c r="H6" i="3"/>
  <c r="L6" i="3"/>
  <c r="M6" i="3"/>
  <c r="N6" i="3"/>
  <c r="O6" i="3"/>
  <c r="P6" i="3"/>
  <c r="Q6" i="3"/>
  <c r="R6" i="3"/>
  <c r="H449" i="3"/>
  <c r="L449" i="3"/>
  <c r="M449" i="3"/>
  <c r="N449" i="3"/>
  <c r="O449" i="3"/>
  <c r="P449" i="3"/>
  <c r="Q449" i="3"/>
  <c r="R449" i="3"/>
  <c r="H472" i="3"/>
  <c r="L472" i="3"/>
  <c r="M472" i="3"/>
  <c r="N472" i="3"/>
  <c r="O472" i="3"/>
  <c r="P472" i="3"/>
  <c r="Q472" i="3"/>
  <c r="R472" i="3"/>
  <c r="H530" i="3"/>
  <c r="L530" i="3"/>
  <c r="M530" i="3"/>
  <c r="N530" i="3"/>
  <c r="O530" i="3"/>
  <c r="P530" i="3"/>
  <c r="Q530" i="3"/>
  <c r="R530" i="3"/>
  <c r="H391" i="3"/>
  <c r="L391" i="3"/>
  <c r="M391" i="3"/>
  <c r="N391" i="3"/>
  <c r="O391" i="3"/>
  <c r="P391" i="3"/>
  <c r="Q391" i="3"/>
  <c r="R391" i="3"/>
  <c r="H131" i="3"/>
  <c r="L131" i="3"/>
  <c r="M131" i="3"/>
  <c r="N131" i="3"/>
  <c r="O131" i="3"/>
  <c r="P131" i="3"/>
  <c r="Q131" i="3"/>
  <c r="R131" i="3"/>
  <c r="H325" i="3"/>
  <c r="L325" i="3"/>
  <c r="M325" i="3"/>
  <c r="N325" i="3"/>
  <c r="O325" i="3"/>
  <c r="P325" i="3"/>
  <c r="Q325" i="3"/>
  <c r="R325" i="3"/>
  <c r="H310" i="3"/>
  <c r="L310" i="3"/>
  <c r="M310" i="3"/>
  <c r="N310" i="3"/>
  <c r="O310" i="3"/>
  <c r="P310" i="3"/>
  <c r="Q310" i="3"/>
  <c r="R310" i="3"/>
  <c r="H290" i="3"/>
  <c r="L290" i="3"/>
  <c r="M290" i="3"/>
  <c r="N290" i="3"/>
  <c r="O290" i="3"/>
  <c r="P290" i="3"/>
  <c r="Q290" i="3"/>
  <c r="R290" i="3"/>
  <c r="H213" i="3"/>
  <c r="L213" i="3"/>
  <c r="M213" i="3"/>
  <c r="N213" i="3"/>
  <c r="O213" i="3"/>
  <c r="P213" i="3"/>
  <c r="Q213" i="3"/>
  <c r="R213" i="3"/>
  <c r="H272" i="3"/>
  <c r="L272" i="3"/>
  <c r="M272" i="3"/>
  <c r="N272" i="3"/>
  <c r="O272" i="3"/>
  <c r="P272" i="3"/>
  <c r="Q272" i="3"/>
  <c r="R272" i="3"/>
  <c r="H244" i="3"/>
  <c r="L244" i="3"/>
  <c r="M244" i="3"/>
  <c r="N244" i="3"/>
  <c r="O244" i="3"/>
  <c r="P244" i="3"/>
  <c r="Q244" i="3"/>
  <c r="R244" i="3"/>
  <c r="H198" i="3"/>
  <c r="L198" i="3"/>
  <c r="M198" i="3"/>
  <c r="N198" i="3"/>
  <c r="O198" i="3"/>
  <c r="P198" i="3"/>
  <c r="Q198" i="3"/>
  <c r="R198" i="3"/>
  <c r="H193" i="3"/>
  <c r="L193" i="3"/>
  <c r="M193" i="3"/>
  <c r="N193" i="3"/>
  <c r="O193" i="3"/>
  <c r="P193" i="3"/>
  <c r="Q193" i="3"/>
  <c r="R193" i="3"/>
  <c r="H165" i="3"/>
  <c r="L165" i="3"/>
  <c r="M165" i="3"/>
  <c r="N165" i="3"/>
  <c r="O165" i="3"/>
  <c r="P165" i="3"/>
  <c r="Q165" i="3"/>
  <c r="R165" i="3"/>
  <c r="H161" i="3"/>
  <c r="L161" i="3"/>
  <c r="M161" i="3"/>
  <c r="N161" i="3"/>
  <c r="O161" i="3"/>
  <c r="P161" i="3"/>
  <c r="Q161" i="3"/>
  <c r="R161" i="3"/>
  <c r="H124" i="3"/>
  <c r="L124" i="3"/>
  <c r="M124" i="3"/>
  <c r="N124" i="3"/>
  <c r="O124" i="3"/>
  <c r="P124" i="3"/>
  <c r="Q124" i="3"/>
  <c r="R124" i="3"/>
  <c r="H138" i="3"/>
  <c r="L138" i="3"/>
  <c r="M138" i="3"/>
  <c r="N138" i="3"/>
  <c r="O138" i="3"/>
  <c r="P138" i="3"/>
  <c r="Q138" i="3"/>
  <c r="R138" i="3"/>
  <c r="H108" i="3"/>
  <c r="L108" i="3"/>
  <c r="M108" i="3"/>
  <c r="N108" i="3"/>
  <c r="O108" i="3"/>
  <c r="P108" i="3"/>
  <c r="Q108" i="3"/>
  <c r="R108" i="3"/>
  <c r="H182" i="3"/>
  <c r="L182" i="3"/>
  <c r="M182" i="3"/>
  <c r="N182" i="3"/>
  <c r="O182" i="3"/>
  <c r="P182" i="3"/>
  <c r="Q182" i="3"/>
  <c r="R182" i="3"/>
  <c r="H159" i="3"/>
  <c r="L159" i="3"/>
  <c r="M159" i="3"/>
  <c r="N159" i="3"/>
  <c r="O159" i="3"/>
  <c r="P159" i="3"/>
  <c r="Q159" i="3"/>
  <c r="R159" i="3"/>
  <c r="H162" i="3"/>
  <c r="L162" i="3"/>
  <c r="M162" i="3"/>
  <c r="N162" i="3"/>
  <c r="O162" i="3"/>
  <c r="P162" i="3"/>
  <c r="Q162" i="3"/>
  <c r="R162" i="3"/>
  <c r="H95" i="3"/>
  <c r="L95" i="3"/>
  <c r="M95" i="3"/>
  <c r="N95" i="3"/>
  <c r="O95" i="3"/>
  <c r="P95" i="3"/>
  <c r="Q95" i="3"/>
  <c r="R95" i="3"/>
  <c r="H87" i="3"/>
  <c r="L87" i="3"/>
  <c r="M87" i="3"/>
  <c r="N87" i="3"/>
  <c r="O87" i="3"/>
  <c r="P87" i="3"/>
  <c r="Q87" i="3"/>
  <c r="R87" i="3"/>
  <c r="H83" i="3"/>
  <c r="L83" i="3"/>
  <c r="M83" i="3"/>
  <c r="N83" i="3"/>
  <c r="O83" i="3"/>
  <c r="P83" i="3"/>
  <c r="Q83" i="3"/>
  <c r="R83" i="3"/>
  <c r="H77" i="3"/>
  <c r="L77" i="3"/>
  <c r="M77" i="3"/>
  <c r="N77" i="3"/>
  <c r="O77" i="3"/>
  <c r="P77" i="3"/>
  <c r="Q77" i="3"/>
  <c r="R77" i="3"/>
  <c r="H107" i="3"/>
  <c r="L107" i="3"/>
  <c r="M107" i="3"/>
  <c r="N107" i="3"/>
  <c r="O107" i="3"/>
  <c r="P107" i="3"/>
  <c r="Q107" i="3"/>
  <c r="R107" i="3"/>
  <c r="H8" i="3"/>
  <c r="L8" i="3"/>
  <c r="M8" i="3"/>
  <c r="N8" i="3"/>
  <c r="O8" i="3"/>
  <c r="P8" i="3"/>
  <c r="Q8" i="3"/>
  <c r="R8" i="3"/>
  <c r="H179" i="3"/>
  <c r="L179" i="3"/>
  <c r="M179" i="3"/>
  <c r="N179" i="3"/>
  <c r="O179" i="3"/>
  <c r="P179" i="3"/>
  <c r="Q179" i="3"/>
  <c r="R179" i="3"/>
  <c r="H421" i="3"/>
  <c r="L421" i="3"/>
  <c r="M421" i="3"/>
  <c r="N421" i="3"/>
  <c r="O421" i="3"/>
  <c r="P421" i="3"/>
  <c r="Q421" i="3"/>
  <c r="R421" i="3"/>
  <c r="H342" i="3"/>
  <c r="L342" i="3"/>
  <c r="M342" i="3"/>
  <c r="N342" i="3"/>
  <c r="O342" i="3"/>
  <c r="P342" i="3"/>
  <c r="Q342" i="3"/>
  <c r="R342" i="3"/>
  <c r="H384" i="3"/>
  <c r="L384" i="3"/>
  <c r="M384" i="3"/>
  <c r="N384" i="3"/>
  <c r="O384" i="3"/>
  <c r="P384" i="3"/>
  <c r="Q384" i="3"/>
  <c r="R384" i="3"/>
  <c r="H415" i="3"/>
  <c r="L415" i="3"/>
  <c r="M415" i="3"/>
  <c r="N415" i="3"/>
  <c r="O415" i="3"/>
  <c r="P415" i="3"/>
  <c r="Q415" i="3"/>
  <c r="R415" i="3"/>
  <c r="H300" i="3"/>
  <c r="L300" i="3"/>
  <c r="M300" i="3"/>
  <c r="N300" i="3"/>
  <c r="O300" i="3"/>
  <c r="P300" i="3"/>
  <c r="Q300" i="3"/>
  <c r="R300" i="3"/>
  <c r="H229" i="3"/>
  <c r="L229" i="3"/>
  <c r="M229" i="3"/>
  <c r="N229" i="3"/>
  <c r="O229" i="3"/>
  <c r="P229" i="3"/>
  <c r="Q229" i="3"/>
  <c r="R229" i="3"/>
  <c r="H66" i="3"/>
  <c r="L66" i="3"/>
  <c r="M66" i="3"/>
  <c r="N66" i="3"/>
  <c r="O66" i="3"/>
  <c r="P66" i="3"/>
  <c r="Q66" i="3"/>
  <c r="R66" i="3"/>
  <c r="H89" i="3"/>
  <c r="L89" i="3"/>
  <c r="M89" i="3"/>
  <c r="N89" i="3"/>
  <c r="O89" i="3"/>
  <c r="P89" i="3"/>
  <c r="Q89" i="3"/>
  <c r="R89" i="3"/>
  <c r="H99" i="3"/>
  <c r="L99" i="3"/>
  <c r="M99" i="3"/>
  <c r="N99" i="3"/>
  <c r="O99" i="3"/>
  <c r="P99" i="3"/>
  <c r="Q99" i="3"/>
  <c r="R99" i="3"/>
  <c r="H255" i="3"/>
  <c r="L255" i="3"/>
  <c r="M255" i="3"/>
  <c r="N255" i="3"/>
  <c r="O255" i="3"/>
  <c r="P255" i="3"/>
  <c r="Q255" i="3"/>
  <c r="R255" i="3"/>
  <c r="H264" i="3"/>
  <c r="L264" i="3"/>
  <c r="M264" i="3"/>
  <c r="N264" i="3"/>
  <c r="O264" i="3"/>
  <c r="P264" i="3"/>
  <c r="Q264" i="3"/>
  <c r="R264" i="3"/>
  <c r="H319" i="3"/>
  <c r="L319" i="3"/>
  <c r="M319" i="3"/>
  <c r="N319" i="3"/>
  <c r="O319" i="3"/>
  <c r="P319" i="3"/>
  <c r="Q319" i="3"/>
  <c r="R319" i="3"/>
  <c r="H506" i="3"/>
  <c r="L506" i="3"/>
  <c r="M506" i="3"/>
  <c r="N506" i="3"/>
  <c r="O506" i="3"/>
  <c r="P506" i="3"/>
  <c r="Q506" i="3"/>
  <c r="R506" i="3"/>
  <c r="H150" i="3"/>
  <c r="L150" i="3"/>
  <c r="M150" i="3"/>
  <c r="N150" i="3"/>
  <c r="O150" i="3"/>
  <c r="P150" i="3"/>
  <c r="Q150" i="3"/>
  <c r="R150" i="3"/>
  <c r="H552" i="3"/>
  <c r="L552" i="3"/>
  <c r="M552" i="3"/>
  <c r="N552" i="3"/>
  <c r="O552" i="3"/>
  <c r="P552" i="3"/>
  <c r="Q552" i="3"/>
  <c r="R552" i="3"/>
  <c r="H163" i="3"/>
  <c r="L163" i="3"/>
  <c r="M163" i="3"/>
  <c r="N163" i="3"/>
  <c r="O163" i="3"/>
  <c r="P163" i="3"/>
  <c r="Q163" i="3"/>
  <c r="R163" i="3"/>
  <c r="H440" i="3"/>
  <c r="L440" i="3"/>
  <c r="M440" i="3"/>
  <c r="N440" i="3"/>
  <c r="O440" i="3"/>
  <c r="P440" i="3"/>
  <c r="Q440" i="3"/>
  <c r="R440" i="3"/>
  <c r="H54" i="3"/>
  <c r="L54" i="3"/>
  <c r="M54" i="3"/>
  <c r="N54" i="3"/>
  <c r="O54" i="3"/>
  <c r="P54" i="3"/>
  <c r="Q54" i="3"/>
  <c r="R54" i="3"/>
  <c r="H57" i="3"/>
  <c r="L57" i="3"/>
  <c r="M57" i="3"/>
  <c r="N57" i="3"/>
  <c r="O57" i="3"/>
  <c r="P57" i="3"/>
  <c r="Q57" i="3"/>
  <c r="R57" i="3"/>
  <c r="H52" i="3"/>
  <c r="L52" i="3"/>
  <c r="M52" i="3"/>
  <c r="N52" i="3"/>
  <c r="O52" i="3"/>
  <c r="P52" i="3"/>
  <c r="Q52" i="3"/>
  <c r="R52" i="3"/>
  <c r="H423" i="3"/>
  <c r="L423" i="3"/>
  <c r="M423" i="3"/>
  <c r="N423" i="3"/>
  <c r="O423" i="3"/>
  <c r="P423" i="3"/>
  <c r="Q423" i="3"/>
  <c r="R423" i="3"/>
  <c r="H475" i="3"/>
  <c r="L475" i="3"/>
  <c r="M475" i="3"/>
  <c r="N475" i="3"/>
  <c r="O475" i="3"/>
  <c r="P475" i="3"/>
  <c r="Q475" i="3"/>
  <c r="R475" i="3"/>
  <c r="H286" i="3"/>
  <c r="L286" i="3"/>
  <c r="M286" i="3"/>
  <c r="N286" i="3"/>
  <c r="O286" i="3"/>
  <c r="P286" i="3"/>
  <c r="Q286" i="3"/>
  <c r="R286" i="3"/>
  <c r="H348" i="3"/>
  <c r="L348" i="3"/>
  <c r="M348" i="3"/>
  <c r="N348" i="3"/>
  <c r="O348" i="3"/>
  <c r="P348" i="3"/>
  <c r="Q348" i="3"/>
  <c r="R348" i="3"/>
  <c r="H177" i="3"/>
  <c r="L177" i="3"/>
  <c r="M177" i="3"/>
  <c r="N177" i="3"/>
  <c r="O177" i="3"/>
  <c r="P177" i="3"/>
  <c r="Q177" i="3"/>
  <c r="R177" i="3"/>
  <c r="H424" i="3"/>
  <c r="L424" i="3"/>
  <c r="M424" i="3"/>
  <c r="N424" i="3"/>
  <c r="O424" i="3"/>
  <c r="P424" i="3"/>
  <c r="Q424" i="3"/>
  <c r="R424" i="3"/>
  <c r="H367" i="3"/>
  <c r="L367" i="3"/>
  <c r="M367" i="3"/>
  <c r="N367" i="3"/>
  <c r="O367" i="3"/>
  <c r="P367" i="3"/>
  <c r="Q367" i="3"/>
  <c r="R367" i="3"/>
  <c r="H352" i="3"/>
  <c r="L352" i="3"/>
  <c r="M352" i="3"/>
  <c r="N352" i="3"/>
  <c r="O352" i="3"/>
  <c r="P352" i="3"/>
  <c r="Q352" i="3"/>
  <c r="R352" i="3"/>
  <c r="H444" i="3"/>
  <c r="L444" i="3"/>
  <c r="M444" i="3"/>
  <c r="N444" i="3"/>
  <c r="O444" i="3"/>
  <c r="P444" i="3"/>
  <c r="Q444" i="3"/>
  <c r="R444" i="3"/>
  <c r="H28" i="3"/>
  <c r="L28" i="3"/>
  <c r="M28" i="3"/>
  <c r="N28" i="3"/>
  <c r="O28" i="3"/>
  <c r="P28" i="3"/>
  <c r="Q28" i="3"/>
  <c r="R28" i="3"/>
  <c r="H459" i="3"/>
  <c r="L459" i="3"/>
  <c r="M459" i="3"/>
  <c r="N459" i="3"/>
  <c r="O459" i="3"/>
  <c r="P459" i="3"/>
  <c r="Q459" i="3"/>
  <c r="R459" i="3"/>
  <c r="H357" i="3"/>
  <c r="L357" i="3"/>
  <c r="M357" i="3"/>
  <c r="N357" i="3"/>
  <c r="O357" i="3"/>
  <c r="P357" i="3"/>
  <c r="Q357" i="3"/>
  <c r="R357" i="3"/>
  <c r="H200" i="3"/>
  <c r="L200" i="3"/>
  <c r="M200" i="3"/>
  <c r="N200" i="3"/>
  <c r="O200" i="3"/>
  <c r="P200" i="3"/>
  <c r="Q200" i="3"/>
  <c r="R200" i="3"/>
  <c r="H343" i="3"/>
  <c r="L343" i="3"/>
  <c r="M343" i="3"/>
  <c r="N343" i="3"/>
  <c r="O343" i="3"/>
  <c r="P343" i="3"/>
  <c r="Q343" i="3"/>
  <c r="R343" i="3"/>
  <c r="H524" i="3"/>
  <c r="L524" i="3"/>
  <c r="M524" i="3"/>
  <c r="N524" i="3"/>
  <c r="O524" i="3"/>
  <c r="P524" i="3"/>
  <c r="Q524" i="3"/>
  <c r="R524" i="3"/>
  <c r="H379" i="3"/>
  <c r="L379" i="3"/>
  <c r="M379" i="3"/>
  <c r="N379" i="3"/>
  <c r="O379" i="3"/>
  <c r="P379" i="3"/>
  <c r="Q379" i="3"/>
  <c r="R379" i="3"/>
  <c r="H519" i="3"/>
  <c r="L519" i="3"/>
  <c r="M519" i="3"/>
  <c r="N519" i="3"/>
  <c r="O519" i="3"/>
  <c r="P519" i="3"/>
  <c r="Q519" i="3"/>
  <c r="R519" i="3"/>
  <c r="H199" i="3"/>
  <c r="L199" i="3"/>
  <c r="M199" i="3"/>
  <c r="N199" i="3"/>
  <c r="O199" i="3"/>
  <c r="P199" i="3"/>
  <c r="Q199" i="3"/>
  <c r="R199" i="3"/>
  <c r="H75" i="3"/>
  <c r="L75" i="3"/>
  <c r="M75" i="3"/>
  <c r="N75" i="3"/>
  <c r="O75" i="3"/>
  <c r="P75" i="3"/>
  <c r="Q75" i="3"/>
  <c r="R75" i="3"/>
  <c r="H100" i="3"/>
  <c r="L100" i="3"/>
  <c r="M100" i="3"/>
  <c r="N100" i="3"/>
  <c r="O100" i="3"/>
  <c r="P100" i="3"/>
  <c r="Q100" i="3"/>
  <c r="R100" i="3"/>
  <c r="H509" i="3"/>
  <c r="L509" i="3"/>
  <c r="M509" i="3"/>
  <c r="N509" i="3"/>
  <c r="O509" i="3"/>
  <c r="P509" i="3"/>
  <c r="Q509" i="3"/>
  <c r="R509" i="3"/>
  <c r="H545" i="3"/>
  <c r="L545" i="3"/>
  <c r="M545" i="3"/>
  <c r="N545" i="3"/>
  <c r="O545" i="3"/>
  <c r="P545" i="3"/>
  <c r="Q545" i="3"/>
  <c r="R545" i="3"/>
  <c r="H542" i="3"/>
  <c r="L542" i="3"/>
  <c r="M542" i="3"/>
  <c r="N542" i="3"/>
  <c r="O542" i="3"/>
  <c r="P542" i="3"/>
  <c r="Q542" i="3"/>
  <c r="R542" i="3"/>
  <c r="H370" i="3"/>
  <c r="L370" i="3"/>
  <c r="M370" i="3"/>
  <c r="N370" i="3"/>
  <c r="O370" i="3"/>
  <c r="P370" i="3"/>
  <c r="Q370" i="3"/>
  <c r="R370" i="3"/>
  <c r="H326" i="3"/>
  <c r="L326" i="3"/>
  <c r="M326" i="3"/>
  <c r="N326" i="3"/>
  <c r="O326" i="3"/>
  <c r="P326" i="3"/>
  <c r="Q326" i="3"/>
  <c r="R326" i="3"/>
  <c r="H550" i="3"/>
  <c r="L550" i="3"/>
  <c r="M550" i="3"/>
  <c r="N550" i="3"/>
  <c r="O550" i="3"/>
  <c r="P550" i="3"/>
  <c r="Q550" i="3"/>
  <c r="R550" i="3"/>
  <c r="H358" i="3"/>
  <c r="L358" i="3"/>
  <c r="M358" i="3"/>
  <c r="N358" i="3"/>
  <c r="O358" i="3"/>
  <c r="P358" i="3"/>
  <c r="Q358" i="3"/>
  <c r="R358" i="3"/>
  <c r="H225" i="3"/>
  <c r="L225" i="3"/>
  <c r="M225" i="3"/>
  <c r="N225" i="3"/>
  <c r="O225" i="3"/>
  <c r="P225" i="3"/>
  <c r="Q225" i="3"/>
  <c r="R225" i="3"/>
  <c r="H146" i="3"/>
  <c r="L146" i="3"/>
  <c r="M146" i="3"/>
  <c r="N146" i="3"/>
  <c r="O146" i="3"/>
  <c r="P146" i="3"/>
  <c r="Q146" i="3"/>
  <c r="R146" i="3"/>
  <c r="H53" i="3"/>
  <c r="L53" i="3"/>
  <c r="M53" i="3"/>
  <c r="N53" i="3"/>
  <c r="O53" i="3"/>
  <c r="P53" i="3"/>
  <c r="Q53" i="3"/>
  <c r="R53" i="3"/>
  <c r="H76" i="3"/>
  <c r="L76" i="3"/>
  <c r="M76" i="3"/>
  <c r="N76" i="3"/>
  <c r="O76" i="3"/>
  <c r="P76" i="3"/>
  <c r="Q76" i="3"/>
  <c r="R76" i="3"/>
  <c r="H38" i="3"/>
  <c r="L38" i="3"/>
  <c r="M38" i="3"/>
  <c r="N38" i="3"/>
  <c r="O38" i="3"/>
  <c r="P38" i="3"/>
  <c r="Q38" i="3"/>
  <c r="R38" i="3"/>
  <c r="H23" i="3"/>
  <c r="L23" i="3"/>
  <c r="M23" i="3"/>
  <c r="N23" i="3"/>
  <c r="O23" i="3"/>
  <c r="P23" i="3"/>
  <c r="Q23" i="3"/>
  <c r="R23" i="3"/>
  <c r="H21" i="3"/>
  <c r="L21" i="3"/>
  <c r="M21" i="3"/>
  <c r="N21" i="3"/>
  <c r="O21" i="3"/>
  <c r="P21" i="3"/>
  <c r="Q21" i="3"/>
  <c r="R21" i="3"/>
  <c r="H16" i="3"/>
  <c r="L16" i="3"/>
  <c r="M16" i="3"/>
  <c r="N16" i="3"/>
  <c r="O16" i="3"/>
  <c r="P16" i="3"/>
  <c r="Q16" i="3"/>
  <c r="R16" i="3"/>
  <c r="H97" i="3"/>
  <c r="L97" i="3"/>
  <c r="M97" i="3"/>
  <c r="N97" i="3"/>
  <c r="O97" i="3"/>
  <c r="P97" i="3"/>
  <c r="Q97" i="3"/>
  <c r="R97" i="3"/>
  <c r="H571" i="3"/>
  <c r="L571" i="3"/>
  <c r="M571" i="3"/>
  <c r="N571" i="3"/>
  <c r="O571" i="3"/>
  <c r="P571" i="3"/>
  <c r="Q571" i="3"/>
  <c r="R571" i="3"/>
  <c r="H568" i="3"/>
  <c r="L568" i="3"/>
  <c r="M568" i="3"/>
  <c r="N568" i="3"/>
  <c r="O568" i="3"/>
  <c r="P568" i="3"/>
  <c r="Q568" i="3"/>
  <c r="R568" i="3"/>
  <c r="H468" i="3"/>
  <c r="L468" i="3"/>
  <c r="M468" i="3"/>
  <c r="N468" i="3"/>
  <c r="O468" i="3"/>
  <c r="P468" i="3"/>
  <c r="Q468" i="3"/>
  <c r="R468" i="3"/>
  <c r="H402" i="3"/>
  <c r="L402" i="3"/>
  <c r="M402" i="3"/>
  <c r="N402" i="3"/>
  <c r="O402" i="3"/>
  <c r="P402" i="3"/>
  <c r="Q402" i="3"/>
  <c r="R402" i="3"/>
  <c r="H565" i="3"/>
  <c r="L565" i="3"/>
  <c r="M565" i="3"/>
  <c r="N565" i="3"/>
  <c r="O565" i="3"/>
  <c r="P565" i="3"/>
  <c r="Q565" i="3"/>
  <c r="R565" i="3"/>
  <c r="H431" i="3"/>
  <c r="L431" i="3"/>
  <c r="M431" i="3"/>
  <c r="N431" i="3"/>
  <c r="O431" i="3"/>
  <c r="P431" i="3"/>
  <c r="Q431" i="3"/>
  <c r="R431" i="3"/>
  <c r="H520" i="3"/>
  <c r="L520" i="3"/>
  <c r="M520" i="3"/>
  <c r="N520" i="3"/>
  <c r="O520" i="3"/>
  <c r="P520" i="3"/>
  <c r="Q520" i="3"/>
  <c r="R520" i="3"/>
  <c r="H432" i="3"/>
  <c r="L432" i="3"/>
  <c r="M432" i="3"/>
  <c r="N432" i="3"/>
  <c r="O432" i="3"/>
  <c r="P432" i="3"/>
  <c r="Q432" i="3"/>
  <c r="R432" i="3"/>
  <c r="H406" i="3"/>
  <c r="L406" i="3"/>
  <c r="M406" i="3"/>
  <c r="N406" i="3"/>
  <c r="O406" i="3"/>
  <c r="P406" i="3"/>
  <c r="Q406" i="3"/>
  <c r="R406" i="3"/>
  <c r="H301" i="3"/>
  <c r="L301" i="3"/>
  <c r="M301" i="3"/>
  <c r="N301" i="3"/>
  <c r="O301" i="3"/>
  <c r="P301" i="3"/>
  <c r="Q301" i="3"/>
  <c r="R301" i="3"/>
  <c r="H265" i="3"/>
  <c r="L265" i="3"/>
  <c r="M265" i="3"/>
  <c r="N265" i="3"/>
  <c r="O265" i="3"/>
  <c r="P265" i="3"/>
  <c r="Q265" i="3"/>
  <c r="R265" i="3"/>
  <c r="H425" i="3"/>
  <c r="L425" i="3"/>
  <c r="M425" i="3"/>
  <c r="N425" i="3"/>
  <c r="O425" i="3"/>
  <c r="P425" i="3"/>
  <c r="Q425" i="3"/>
  <c r="R425" i="3"/>
  <c r="H121" i="3"/>
  <c r="L121" i="3"/>
  <c r="M121" i="3"/>
  <c r="N121" i="3"/>
  <c r="O121" i="3"/>
  <c r="P121" i="3"/>
  <c r="Q121" i="3"/>
  <c r="R121" i="3"/>
  <c r="H409" i="3"/>
  <c r="L409" i="3"/>
  <c r="M409" i="3"/>
  <c r="N409" i="3"/>
  <c r="O409" i="3"/>
  <c r="P409" i="3"/>
  <c r="Q409" i="3"/>
  <c r="R409" i="3"/>
  <c r="H35" i="3"/>
  <c r="L35" i="3"/>
  <c r="M35" i="3"/>
  <c r="N35" i="3"/>
  <c r="O35" i="3"/>
  <c r="P35" i="3"/>
  <c r="Q35" i="3"/>
  <c r="R35" i="3"/>
  <c r="H373" i="3"/>
  <c r="L373" i="3"/>
  <c r="M373" i="3"/>
  <c r="N373" i="3"/>
  <c r="O373" i="3"/>
  <c r="P373" i="3"/>
  <c r="Q373" i="3"/>
  <c r="R373" i="3"/>
  <c r="H334" i="3"/>
  <c r="L334" i="3"/>
  <c r="M334" i="3"/>
  <c r="N334" i="3"/>
  <c r="O334" i="3"/>
  <c r="P334" i="3"/>
  <c r="Q334" i="3"/>
  <c r="R334" i="3"/>
  <c r="H73" i="3"/>
  <c r="L73" i="3"/>
  <c r="M73" i="3"/>
  <c r="N73" i="3"/>
  <c r="O73" i="3"/>
  <c r="P73" i="3"/>
  <c r="Q73" i="3"/>
  <c r="R73" i="3"/>
  <c r="H91" i="3"/>
  <c r="L91" i="3"/>
  <c r="M91" i="3"/>
  <c r="N91" i="3"/>
  <c r="O91" i="3"/>
  <c r="P91" i="3"/>
  <c r="Q91" i="3"/>
  <c r="R91" i="3"/>
  <c r="H238" i="3"/>
  <c r="L238" i="3"/>
  <c r="M238" i="3"/>
  <c r="N238" i="3"/>
  <c r="O238" i="3"/>
  <c r="P238" i="3"/>
  <c r="Q238" i="3"/>
  <c r="R238" i="3"/>
  <c r="H214" i="3"/>
  <c r="L214" i="3"/>
  <c r="M214" i="3"/>
  <c r="N214" i="3"/>
  <c r="O214" i="3"/>
  <c r="P214" i="3"/>
  <c r="Q214" i="3"/>
  <c r="R214" i="3"/>
  <c r="H7" i="3"/>
  <c r="L7" i="3"/>
  <c r="M7" i="3"/>
  <c r="N7" i="3"/>
  <c r="O7" i="3"/>
  <c r="P7" i="3"/>
  <c r="Q7" i="3"/>
  <c r="R7" i="3"/>
  <c r="H418" i="3"/>
  <c r="L418" i="3"/>
  <c r="M418" i="3"/>
  <c r="N418" i="3"/>
  <c r="O418" i="3"/>
  <c r="P418" i="3"/>
  <c r="Q418" i="3"/>
  <c r="R418" i="3"/>
  <c r="H170" i="3"/>
  <c r="L170" i="3"/>
  <c r="M170" i="3"/>
  <c r="N170" i="3"/>
  <c r="O170" i="3"/>
  <c r="P170" i="3"/>
  <c r="Q170" i="3"/>
  <c r="R170" i="3"/>
  <c r="H226" i="3"/>
  <c r="L226" i="3"/>
  <c r="M226" i="3"/>
  <c r="N226" i="3"/>
  <c r="O226" i="3"/>
  <c r="P226" i="3"/>
  <c r="Q226" i="3"/>
  <c r="R226" i="3"/>
  <c r="H312" i="3"/>
  <c r="L312" i="3"/>
  <c r="M312" i="3"/>
  <c r="N312" i="3"/>
  <c r="O312" i="3"/>
  <c r="P312" i="3"/>
  <c r="Q312" i="3"/>
  <c r="R312" i="3"/>
  <c r="H151" i="3"/>
  <c r="L151" i="3"/>
  <c r="M151" i="3"/>
  <c r="N151" i="3"/>
  <c r="O151" i="3"/>
  <c r="P151" i="3"/>
  <c r="Q151" i="3"/>
  <c r="R151" i="3"/>
  <c r="H527" i="3"/>
  <c r="L527" i="3"/>
  <c r="M527" i="3"/>
  <c r="N527" i="3"/>
  <c r="O527" i="3"/>
  <c r="P527" i="3"/>
  <c r="Q527" i="3"/>
  <c r="R527" i="3"/>
  <c r="H128" i="3"/>
  <c r="L128" i="3"/>
  <c r="M128" i="3"/>
  <c r="N128" i="3"/>
  <c r="O128" i="3"/>
  <c r="P128" i="3"/>
  <c r="Q128" i="3"/>
  <c r="R128" i="3"/>
  <c r="H327" i="3"/>
  <c r="L327" i="3"/>
  <c r="M327" i="3"/>
  <c r="N327" i="3"/>
  <c r="O327" i="3"/>
  <c r="P327" i="3"/>
  <c r="Q327" i="3"/>
  <c r="R327" i="3"/>
  <c r="H231" i="3"/>
  <c r="L231" i="3"/>
  <c r="M231" i="3"/>
  <c r="N231" i="3"/>
  <c r="O231" i="3"/>
  <c r="P231" i="3"/>
  <c r="Q231" i="3"/>
  <c r="R231" i="3"/>
  <c r="H112" i="3"/>
  <c r="L112" i="3"/>
  <c r="M112" i="3"/>
  <c r="N112" i="3"/>
  <c r="O112" i="3"/>
  <c r="P112" i="3"/>
  <c r="Q112" i="3"/>
  <c r="R112" i="3"/>
  <c r="H220" i="3"/>
  <c r="L220" i="3"/>
  <c r="M220" i="3"/>
  <c r="N220" i="3"/>
  <c r="O220" i="3"/>
  <c r="P220" i="3"/>
  <c r="Q220" i="3"/>
  <c r="R220" i="3"/>
  <c r="H258" i="3"/>
  <c r="L258" i="3"/>
  <c r="M258" i="3"/>
  <c r="N258" i="3"/>
  <c r="O258" i="3"/>
  <c r="P258" i="3"/>
  <c r="Q258" i="3"/>
  <c r="R258" i="3"/>
  <c r="H245" i="3"/>
  <c r="L245" i="3"/>
  <c r="M245" i="3"/>
  <c r="N245" i="3"/>
  <c r="O245" i="3"/>
  <c r="P245" i="3"/>
  <c r="Q245" i="3"/>
  <c r="R245" i="3"/>
  <c r="H222" i="3"/>
  <c r="L222" i="3"/>
  <c r="M222" i="3"/>
  <c r="N222" i="3"/>
  <c r="O222" i="3"/>
  <c r="P222" i="3"/>
  <c r="Q222" i="3"/>
  <c r="R222" i="3"/>
  <c r="H187" i="3"/>
  <c r="L187" i="3"/>
  <c r="M187" i="3"/>
  <c r="N187" i="3"/>
  <c r="O187" i="3"/>
  <c r="P187" i="3"/>
  <c r="Q187" i="3"/>
  <c r="R187" i="3"/>
  <c r="H532" i="3"/>
  <c r="L532" i="3"/>
  <c r="M532" i="3"/>
  <c r="N532" i="3"/>
  <c r="O532" i="3"/>
  <c r="P532" i="3"/>
  <c r="Q532" i="3"/>
  <c r="R532" i="3"/>
  <c r="H17" i="3"/>
  <c r="L17" i="3"/>
  <c r="M17" i="3"/>
  <c r="N17" i="3"/>
  <c r="O17" i="3"/>
  <c r="P17" i="3"/>
  <c r="Q17" i="3"/>
  <c r="R17" i="3"/>
  <c r="H13" i="3"/>
  <c r="L13" i="3"/>
  <c r="M13" i="3"/>
  <c r="N13" i="3"/>
  <c r="O13" i="3"/>
  <c r="P13" i="3"/>
  <c r="Q13" i="3"/>
  <c r="R13" i="3"/>
  <c r="H528" i="3"/>
  <c r="L528" i="3"/>
  <c r="M528" i="3"/>
  <c r="N528" i="3"/>
  <c r="O528" i="3"/>
  <c r="P528" i="3"/>
  <c r="Q528" i="3"/>
  <c r="R528" i="3"/>
  <c r="H167" i="3"/>
  <c r="L167" i="3"/>
  <c r="M167" i="3"/>
  <c r="N167" i="3"/>
  <c r="O167" i="3"/>
  <c r="P167" i="3"/>
  <c r="Q167" i="3"/>
  <c r="R167" i="3"/>
  <c r="H155" i="3"/>
  <c r="L155" i="3"/>
  <c r="M155" i="3"/>
  <c r="N155" i="3"/>
  <c r="O155" i="3"/>
  <c r="P155" i="3"/>
  <c r="Q155" i="3"/>
  <c r="R155" i="3"/>
  <c r="H171" i="3"/>
  <c r="L171" i="3"/>
  <c r="M171" i="3"/>
  <c r="N171" i="3"/>
  <c r="O171" i="3"/>
  <c r="P171" i="3"/>
  <c r="Q171" i="3"/>
  <c r="R171" i="3"/>
  <c r="H118" i="3"/>
  <c r="L118" i="3"/>
  <c r="M118" i="3"/>
  <c r="N118" i="3"/>
  <c r="O118" i="3"/>
  <c r="P118" i="3"/>
  <c r="Q118" i="3"/>
  <c r="R118" i="3"/>
  <c r="H105" i="3"/>
  <c r="L105" i="3"/>
  <c r="M105" i="3"/>
  <c r="N105" i="3"/>
  <c r="O105" i="3"/>
  <c r="P105" i="3"/>
  <c r="Q105" i="3"/>
  <c r="R105" i="3"/>
  <c r="H249" i="3"/>
  <c r="L249" i="3"/>
  <c r="M249" i="3"/>
  <c r="N249" i="3"/>
  <c r="O249" i="3"/>
  <c r="P249" i="3"/>
  <c r="Q249" i="3"/>
  <c r="R249" i="3"/>
  <c r="H19" i="3"/>
  <c r="L19" i="3"/>
  <c r="M19" i="3"/>
  <c r="N19" i="3"/>
  <c r="O19" i="3"/>
  <c r="P19" i="3"/>
  <c r="Q19" i="3"/>
  <c r="R19" i="3"/>
  <c r="H156" i="3"/>
  <c r="L156" i="3"/>
  <c r="M156" i="3"/>
  <c r="N156" i="3"/>
  <c r="O156" i="3"/>
  <c r="P156" i="3"/>
  <c r="Q156" i="3"/>
  <c r="R156" i="3"/>
  <c r="H139" i="3"/>
  <c r="L139" i="3"/>
  <c r="M139" i="3"/>
  <c r="N139" i="3"/>
  <c r="O139" i="3"/>
  <c r="P139" i="3"/>
  <c r="Q139" i="3"/>
  <c r="R139" i="3"/>
  <c r="H142" i="3"/>
  <c r="L142" i="3"/>
  <c r="M142" i="3"/>
  <c r="N142" i="3"/>
  <c r="O142" i="3"/>
  <c r="P142" i="3"/>
  <c r="Q142" i="3"/>
  <c r="R142" i="3"/>
  <c r="H111" i="3"/>
  <c r="L111" i="3"/>
  <c r="M111" i="3"/>
  <c r="N111" i="3"/>
  <c r="O111" i="3"/>
  <c r="P111" i="3"/>
  <c r="Q111" i="3"/>
  <c r="R111" i="3"/>
  <c r="H98" i="3"/>
  <c r="L98" i="3"/>
  <c r="M98" i="3"/>
  <c r="N98" i="3"/>
  <c r="O98" i="3"/>
  <c r="P98" i="3"/>
  <c r="Q98" i="3"/>
  <c r="R98" i="3"/>
  <c r="H486" i="3"/>
  <c r="L486" i="3"/>
  <c r="M486" i="3"/>
  <c r="N486" i="3"/>
  <c r="O486" i="3"/>
  <c r="P486" i="3"/>
  <c r="Q486" i="3"/>
  <c r="R486" i="3"/>
  <c r="H383" i="3"/>
  <c r="L383" i="3"/>
  <c r="M383" i="3"/>
  <c r="N383" i="3"/>
  <c r="O383" i="3"/>
  <c r="P383" i="3"/>
  <c r="Q383" i="3"/>
  <c r="R383" i="3"/>
  <c r="H320" i="3"/>
  <c r="L320" i="3"/>
  <c r="M320" i="3"/>
  <c r="N320" i="3"/>
  <c r="O320" i="3"/>
  <c r="P320" i="3"/>
  <c r="Q320" i="3"/>
  <c r="R320" i="3"/>
  <c r="H18" i="3"/>
  <c r="L18" i="3"/>
  <c r="M18" i="3"/>
  <c r="N18" i="3"/>
  <c r="O18" i="3"/>
  <c r="P18" i="3"/>
  <c r="Q18" i="3"/>
  <c r="R18" i="3"/>
  <c r="H2" i="3"/>
  <c r="L2" i="3"/>
  <c r="M2" i="3"/>
  <c r="N2" i="3"/>
  <c r="O2" i="3"/>
  <c r="P2" i="3"/>
  <c r="Q2" i="3"/>
  <c r="R2" i="3"/>
  <c r="H356" i="3"/>
  <c r="L356" i="3"/>
  <c r="M356" i="3"/>
  <c r="N356" i="3"/>
  <c r="O356" i="3"/>
  <c r="P356" i="3"/>
  <c r="Q356" i="3"/>
  <c r="R356" i="3"/>
  <c r="H295" i="3"/>
  <c r="L295" i="3"/>
  <c r="M295" i="3"/>
  <c r="N295" i="3"/>
  <c r="O295" i="3"/>
  <c r="P295" i="3"/>
  <c r="Q295" i="3"/>
  <c r="R295" i="3"/>
  <c r="H313" i="3"/>
  <c r="L313" i="3"/>
  <c r="M313" i="3"/>
  <c r="N313" i="3"/>
  <c r="O313" i="3"/>
  <c r="P313" i="3"/>
  <c r="Q313" i="3"/>
  <c r="R313" i="3"/>
  <c r="H316" i="3"/>
  <c r="L316" i="3"/>
  <c r="M316" i="3"/>
  <c r="N316" i="3"/>
  <c r="O316" i="3"/>
  <c r="P316" i="3"/>
  <c r="Q316" i="3"/>
  <c r="R316" i="3"/>
  <c r="H317" i="3"/>
  <c r="L317" i="3"/>
  <c r="M317" i="3"/>
  <c r="N317" i="3"/>
  <c r="O317" i="3"/>
  <c r="P317" i="3"/>
  <c r="Q317" i="3"/>
  <c r="R317" i="3"/>
  <c r="H45" i="3"/>
  <c r="L45" i="3"/>
  <c r="M45" i="3"/>
  <c r="N45" i="3"/>
  <c r="O45" i="3"/>
  <c r="P45" i="3"/>
  <c r="Q45" i="3"/>
  <c r="R45" i="3"/>
  <c r="H88" i="3"/>
  <c r="L88" i="3"/>
  <c r="M88" i="3"/>
  <c r="N88" i="3"/>
  <c r="O88" i="3"/>
  <c r="P88" i="3"/>
  <c r="Q88" i="3"/>
  <c r="R88" i="3"/>
  <c r="H330" i="3"/>
  <c r="L330" i="3"/>
  <c r="M330" i="3"/>
  <c r="N330" i="3"/>
  <c r="O330" i="3"/>
  <c r="P330" i="3"/>
  <c r="Q330" i="3"/>
  <c r="R330" i="3"/>
  <c r="H314" i="3"/>
  <c r="L314" i="3"/>
  <c r="M314" i="3"/>
  <c r="N314" i="3"/>
  <c r="O314" i="3"/>
  <c r="P314" i="3"/>
  <c r="Q314" i="3"/>
  <c r="R314" i="3"/>
  <c r="H42" i="3"/>
  <c r="L42" i="3"/>
  <c r="M42" i="3"/>
  <c r="N42" i="3"/>
  <c r="O42" i="3"/>
  <c r="P42" i="3"/>
  <c r="Q42" i="3"/>
  <c r="R42" i="3"/>
  <c r="H34" i="3"/>
  <c r="L34" i="3"/>
  <c r="M34" i="3"/>
  <c r="N34" i="3"/>
  <c r="O34" i="3"/>
  <c r="P34" i="3"/>
  <c r="Q34" i="3"/>
  <c r="R34" i="3"/>
  <c r="H31" i="3"/>
  <c r="L31" i="3"/>
  <c r="M31" i="3"/>
  <c r="N31" i="3"/>
  <c r="O31" i="3"/>
  <c r="P31" i="3"/>
  <c r="Q31" i="3"/>
  <c r="R31" i="3"/>
  <c r="H321" i="3"/>
  <c r="L321" i="3"/>
  <c r="M321" i="3"/>
  <c r="N321" i="3"/>
  <c r="O321" i="3"/>
  <c r="P321" i="3"/>
  <c r="Q321" i="3"/>
  <c r="R321" i="3"/>
  <c r="H554" i="3"/>
  <c r="L554" i="3"/>
  <c r="M554" i="3"/>
  <c r="N554" i="3"/>
  <c r="O554" i="3"/>
  <c r="P554" i="3"/>
  <c r="Q554" i="3"/>
  <c r="R554" i="3"/>
  <c r="H536" i="3"/>
  <c r="L536" i="3"/>
  <c r="M536" i="3"/>
  <c r="N536" i="3"/>
  <c r="O536" i="3"/>
  <c r="P536" i="3"/>
  <c r="Q536" i="3"/>
  <c r="R536" i="3"/>
  <c r="H497" i="3"/>
  <c r="L497" i="3"/>
  <c r="M497" i="3"/>
  <c r="N497" i="3"/>
  <c r="O497" i="3"/>
  <c r="P497" i="3"/>
  <c r="Q497" i="3"/>
  <c r="R497" i="3"/>
  <c r="H548" i="3"/>
  <c r="L548" i="3"/>
  <c r="M548" i="3"/>
  <c r="N548" i="3"/>
  <c r="O548" i="3"/>
  <c r="P548" i="3"/>
  <c r="Q548" i="3"/>
  <c r="R548" i="3"/>
  <c r="H4" i="3"/>
  <c r="L4" i="3"/>
  <c r="M4" i="3"/>
  <c r="N4" i="3"/>
  <c r="O4" i="3"/>
  <c r="P4" i="3"/>
  <c r="Q4" i="3"/>
  <c r="R4" i="3"/>
  <c r="H62" i="3"/>
  <c r="L62" i="3"/>
  <c r="M62" i="3"/>
  <c r="N62" i="3"/>
  <c r="O62" i="3"/>
  <c r="P62" i="3"/>
  <c r="Q62" i="3"/>
  <c r="R62" i="3"/>
  <c r="H25" i="3"/>
  <c r="L25" i="3"/>
  <c r="M25" i="3"/>
  <c r="N25" i="3"/>
  <c r="O25" i="3"/>
  <c r="P25" i="3"/>
  <c r="Q25" i="3"/>
  <c r="R25" i="3"/>
  <c r="H453" i="3"/>
  <c r="L453" i="3"/>
  <c r="M453" i="3"/>
  <c r="N453" i="3"/>
  <c r="O453" i="3"/>
  <c r="P453" i="3"/>
  <c r="Q453" i="3"/>
  <c r="R453" i="3"/>
  <c r="H403" i="3"/>
  <c r="L403" i="3"/>
  <c r="M403" i="3"/>
  <c r="N403" i="3"/>
  <c r="O403" i="3"/>
  <c r="P403" i="3"/>
  <c r="Q403" i="3"/>
  <c r="R403" i="3"/>
  <c r="H404" i="3"/>
  <c r="L404" i="3"/>
  <c r="M404" i="3"/>
  <c r="N404" i="3"/>
  <c r="O404" i="3"/>
  <c r="P404" i="3"/>
  <c r="Q404" i="3"/>
  <c r="R404" i="3"/>
  <c r="H322" i="3"/>
  <c r="L322" i="3"/>
  <c r="M322" i="3"/>
  <c r="N322" i="3"/>
  <c r="O322" i="3"/>
  <c r="P322" i="3"/>
  <c r="Q322" i="3"/>
  <c r="R322" i="3"/>
  <c r="H183" i="3"/>
  <c r="L183" i="3"/>
  <c r="M183" i="3"/>
  <c r="N183" i="3"/>
  <c r="O183" i="3"/>
  <c r="P183" i="3"/>
  <c r="Q183" i="3"/>
  <c r="R183" i="3"/>
  <c r="H175" i="3"/>
  <c r="L175" i="3"/>
  <c r="M175" i="3"/>
  <c r="N175" i="3"/>
  <c r="O175" i="3"/>
  <c r="P175" i="3"/>
  <c r="Q175" i="3"/>
  <c r="R175" i="3"/>
  <c r="H164" i="3"/>
  <c r="L164" i="3"/>
  <c r="M164" i="3"/>
  <c r="N164" i="3"/>
  <c r="O164" i="3"/>
  <c r="P164" i="3"/>
  <c r="Q164" i="3"/>
  <c r="R164" i="3"/>
  <c r="H103" i="3"/>
  <c r="L103" i="3"/>
  <c r="M103" i="3"/>
  <c r="N103" i="3"/>
  <c r="O103" i="3"/>
  <c r="P103" i="3"/>
  <c r="Q103" i="3"/>
  <c r="R103" i="3"/>
  <c r="H191" i="3"/>
  <c r="L191" i="3"/>
  <c r="M191" i="3"/>
  <c r="N191" i="3"/>
  <c r="O191" i="3"/>
  <c r="P191" i="3"/>
  <c r="Q191" i="3"/>
  <c r="R191" i="3"/>
  <c r="H68" i="3"/>
  <c r="L68" i="3"/>
  <c r="M68" i="3"/>
  <c r="N68" i="3"/>
  <c r="O68" i="3"/>
  <c r="P68" i="3"/>
  <c r="Q68" i="3"/>
  <c r="R68" i="3"/>
  <c r="H27" i="3"/>
  <c r="L27" i="3"/>
  <c r="M27" i="3"/>
  <c r="N27" i="3"/>
  <c r="O27" i="3"/>
  <c r="P27" i="3"/>
  <c r="Q27" i="3"/>
  <c r="R27" i="3"/>
  <c r="H14" i="3"/>
  <c r="L14" i="3"/>
  <c r="M14" i="3"/>
  <c r="N14" i="3"/>
  <c r="O14" i="3"/>
  <c r="P14" i="3"/>
  <c r="Q14" i="3"/>
  <c r="R14" i="3"/>
  <c r="H11" i="3"/>
  <c r="L11" i="3"/>
  <c r="M11" i="3"/>
  <c r="N11" i="3"/>
  <c r="O11" i="3"/>
  <c r="P11" i="3"/>
  <c r="Q11" i="3"/>
  <c r="R11" i="3"/>
  <c r="H9" i="3"/>
  <c r="L9" i="3"/>
  <c r="M9" i="3"/>
  <c r="N9" i="3"/>
  <c r="O9" i="3"/>
  <c r="P9" i="3"/>
  <c r="Q9" i="3"/>
  <c r="R9" i="3"/>
  <c r="H412" i="3"/>
  <c r="L412" i="3"/>
  <c r="M412" i="3"/>
  <c r="N412" i="3"/>
  <c r="O412" i="3"/>
  <c r="P412" i="3"/>
  <c r="Q412" i="3"/>
  <c r="R412" i="3"/>
  <c r="H510" i="3"/>
  <c r="L510" i="3"/>
  <c r="M510" i="3"/>
  <c r="N510" i="3"/>
  <c r="O510" i="3"/>
  <c r="P510" i="3"/>
  <c r="Q510" i="3"/>
  <c r="R510" i="3"/>
  <c r="H446" i="3"/>
  <c r="L446" i="3"/>
  <c r="M446" i="3"/>
  <c r="N446" i="3"/>
  <c r="O446" i="3"/>
  <c r="P446" i="3"/>
  <c r="Q446" i="3"/>
  <c r="R446" i="3"/>
  <c r="H479" i="3"/>
  <c r="L479" i="3"/>
  <c r="M479" i="3"/>
  <c r="N479" i="3"/>
  <c r="O479" i="3"/>
  <c r="P479" i="3"/>
  <c r="Q479" i="3"/>
  <c r="R479" i="3"/>
  <c r="H380" i="3"/>
  <c r="L380" i="3"/>
  <c r="M380" i="3"/>
  <c r="N380" i="3"/>
  <c r="O380" i="3"/>
  <c r="P380" i="3"/>
  <c r="Q380" i="3"/>
  <c r="R380" i="3"/>
  <c r="H555" i="3"/>
  <c r="L555" i="3"/>
  <c r="M555" i="3"/>
  <c r="N555" i="3"/>
  <c r="O555" i="3"/>
  <c r="P555" i="3"/>
  <c r="Q555" i="3"/>
  <c r="R555" i="3"/>
  <c r="H400" i="3"/>
  <c r="L400" i="3"/>
  <c r="M400" i="3"/>
  <c r="N400" i="3"/>
  <c r="O400" i="3"/>
  <c r="P400" i="3"/>
  <c r="Q400" i="3"/>
  <c r="R400" i="3"/>
  <c r="H353" i="3"/>
  <c r="L353" i="3"/>
  <c r="M353" i="3"/>
  <c r="N353" i="3"/>
  <c r="O353" i="3"/>
  <c r="P353" i="3"/>
  <c r="Q353" i="3"/>
  <c r="R353" i="3"/>
  <c r="H113" i="3"/>
  <c r="L113" i="3"/>
  <c r="M113" i="3"/>
  <c r="N113" i="3"/>
  <c r="O113" i="3"/>
  <c r="P113" i="3"/>
  <c r="Q113" i="3"/>
  <c r="R113" i="3"/>
  <c r="H563" i="3"/>
  <c r="L563" i="3"/>
  <c r="M563" i="3"/>
  <c r="N563" i="3"/>
  <c r="O563" i="3"/>
  <c r="P563" i="3"/>
  <c r="Q563" i="3"/>
  <c r="R563" i="3"/>
  <c r="H349" i="3"/>
  <c r="L349" i="3"/>
  <c r="M349" i="3"/>
  <c r="N349" i="3"/>
  <c r="O349" i="3"/>
  <c r="P349" i="3"/>
  <c r="Q349" i="3"/>
  <c r="R349" i="3"/>
  <c r="H335" i="3"/>
  <c r="L335" i="3"/>
  <c r="M335" i="3"/>
  <c r="N335" i="3"/>
  <c r="O335" i="3"/>
  <c r="P335" i="3"/>
  <c r="Q335" i="3"/>
  <c r="R335" i="3"/>
  <c r="H104" i="3"/>
  <c r="L104" i="3"/>
  <c r="M104" i="3"/>
  <c r="N104" i="3"/>
  <c r="O104" i="3"/>
  <c r="P104" i="3"/>
  <c r="Q104" i="3"/>
  <c r="R104" i="3"/>
  <c r="H328" i="3"/>
  <c r="L328" i="3"/>
  <c r="M328" i="3"/>
  <c r="N328" i="3"/>
  <c r="O328" i="3"/>
  <c r="P328" i="3"/>
  <c r="Q328" i="3"/>
  <c r="R328" i="3"/>
  <c r="H256" i="3"/>
  <c r="L256" i="3"/>
  <c r="M256" i="3"/>
  <c r="N256" i="3"/>
  <c r="O256" i="3"/>
  <c r="P256" i="3"/>
  <c r="Q256" i="3"/>
  <c r="R256" i="3"/>
  <c r="H235" i="3"/>
  <c r="L235" i="3"/>
  <c r="M235" i="3"/>
  <c r="N235" i="3"/>
  <c r="O235" i="3"/>
  <c r="P235" i="3"/>
  <c r="Q235" i="3"/>
  <c r="R235" i="3"/>
  <c r="H240" i="3"/>
  <c r="L240" i="3"/>
  <c r="M240" i="3"/>
  <c r="N240" i="3"/>
  <c r="O240" i="3"/>
  <c r="P240" i="3"/>
  <c r="Q240" i="3"/>
  <c r="R240" i="3"/>
  <c r="H195" i="3"/>
  <c r="L195" i="3"/>
  <c r="M195" i="3"/>
  <c r="N195" i="3"/>
  <c r="O195" i="3"/>
  <c r="P195" i="3"/>
  <c r="Q195" i="3"/>
  <c r="R195" i="3"/>
  <c r="H123" i="3"/>
  <c r="L123" i="3"/>
  <c r="M123" i="3"/>
  <c r="N123" i="3"/>
  <c r="O123" i="3"/>
  <c r="P123" i="3"/>
  <c r="Q123" i="3"/>
  <c r="R123" i="3"/>
  <c r="H223" i="3"/>
  <c r="L223" i="3"/>
  <c r="M223" i="3"/>
  <c r="N223" i="3"/>
  <c r="O223" i="3"/>
  <c r="P223" i="3"/>
  <c r="Q223" i="3"/>
  <c r="R223" i="3"/>
  <c r="H303" i="3"/>
  <c r="L303" i="3"/>
  <c r="M303" i="3"/>
  <c r="N303" i="3"/>
  <c r="O303" i="3"/>
  <c r="P303" i="3"/>
  <c r="Q303" i="3"/>
  <c r="R303" i="3"/>
  <c r="H570" i="3"/>
  <c r="L570" i="3"/>
  <c r="M570" i="3"/>
  <c r="N570" i="3"/>
  <c r="O570" i="3"/>
  <c r="P570" i="3"/>
  <c r="Q570" i="3"/>
  <c r="R570" i="3"/>
  <c r="H12" i="3"/>
  <c r="L12" i="3"/>
  <c r="M12" i="3"/>
  <c r="N12" i="3"/>
  <c r="O12" i="3"/>
  <c r="P12" i="3"/>
  <c r="Q12" i="3"/>
  <c r="R12" i="3"/>
  <c r="H241" i="3"/>
  <c r="L241" i="3"/>
  <c r="M241" i="3"/>
  <c r="N241" i="3"/>
  <c r="O241" i="3"/>
  <c r="P241" i="3"/>
  <c r="Q241" i="3"/>
  <c r="R241" i="3"/>
  <c r="H79" i="3"/>
  <c r="L79" i="3"/>
  <c r="M79" i="3"/>
  <c r="N79" i="3"/>
  <c r="O79" i="3"/>
  <c r="P79" i="3"/>
  <c r="Q79" i="3"/>
  <c r="R79" i="3"/>
  <c r="H501" i="3"/>
  <c r="L501" i="3"/>
  <c r="M501" i="3"/>
  <c r="N501" i="3"/>
  <c r="O501" i="3"/>
  <c r="P501" i="3"/>
  <c r="Q501" i="3"/>
  <c r="R501" i="3"/>
  <c r="H557" i="3"/>
  <c r="L557" i="3"/>
  <c r="M557" i="3"/>
  <c r="N557" i="3"/>
  <c r="O557" i="3"/>
  <c r="P557" i="3"/>
  <c r="Q557" i="3"/>
  <c r="R557" i="3"/>
  <c r="H546" i="3"/>
  <c r="L546" i="3"/>
  <c r="M546" i="3"/>
  <c r="N546" i="3"/>
  <c r="O546" i="3"/>
  <c r="P546" i="3"/>
  <c r="Q546" i="3"/>
  <c r="R546" i="3"/>
  <c r="H492" i="3"/>
  <c r="L492" i="3"/>
  <c r="M492" i="3"/>
  <c r="N492" i="3"/>
  <c r="O492" i="3"/>
  <c r="P492" i="3"/>
  <c r="Q492" i="3"/>
  <c r="R492" i="3"/>
  <c r="H537" i="3"/>
  <c r="L537" i="3"/>
  <c r="M537" i="3"/>
  <c r="N537" i="3"/>
  <c r="O537" i="3"/>
  <c r="P537" i="3"/>
  <c r="Q537" i="3"/>
  <c r="R537" i="3"/>
  <c r="H516" i="3"/>
  <c r="L516" i="3"/>
  <c r="M516" i="3"/>
  <c r="N516" i="3"/>
  <c r="O516" i="3"/>
  <c r="P516" i="3"/>
  <c r="Q516" i="3"/>
  <c r="R516" i="3"/>
  <c r="H477" i="3"/>
  <c r="L477" i="3"/>
  <c r="M477" i="3"/>
  <c r="N477" i="3"/>
  <c r="O477" i="3"/>
  <c r="P477" i="3"/>
  <c r="Q477" i="3"/>
  <c r="R477" i="3"/>
  <c r="H460" i="3"/>
  <c r="L460" i="3"/>
  <c r="M460" i="3"/>
  <c r="N460" i="3"/>
  <c r="O460" i="3"/>
  <c r="P460" i="3"/>
  <c r="Q460" i="3"/>
  <c r="R460" i="3"/>
  <c r="H426" i="3"/>
  <c r="L426" i="3"/>
  <c r="M426" i="3"/>
  <c r="N426" i="3"/>
  <c r="O426" i="3"/>
  <c r="P426" i="3"/>
  <c r="Q426" i="3"/>
  <c r="R426" i="3"/>
  <c r="H407" i="3"/>
  <c r="L407" i="3"/>
  <c r="M407" i="3"/>
  <c r="N407" i="3"/>
  <c r="O407" i="3"/>
  <c r="P407" i="3"/>
  <c r="Q407" i="3"/>
  <c r="R407" i="3"/>
  <c r="H531" i="3"/>
  <c r="L531" i="3"/>
  <c r="M531" i="3"/>
  <c r="N531" i="3"/>
  <c r="O531" i="3"/>
  <c r="P531" i="3"/>
  <c r="Q531" i="3"/>
  <c r="R531" i="3"/>
  <c r="H491" i="3"/>
  <c r="L491" i="3"/>
  <c r="M491" i="3"/>
  <c r="N491" i="3"/>
  <c r="O491" i="3"/>
  <c r="P491" i="3"/>
  <c r="Q491" i="3"/>
  <c r="R491" i="3"/>
  <c r="H465" i="3"/>
  <c r="L465" i="3"/>
  <c r="M465" i="3"/>
  <c r="N465" i="3"/>
  <c r="O465" i="3"/>
  <c r="P465" i="3"/>
  <c r="Q465" i="3"/>
  <c r="R465" i="3"/>
  <c r="H416" i="3"/>
  <c r="L416" i="3"/>
  <c r="M416" i="3"/>
  <c r="N416" i="3"/>
  <c r="O416" i="3"/>
  <c r="P416" i="3"/>
  <c r="Q416" i="3"/>
  <c r="R416" i="3"/>
  <c r="H505" i="3"/>
  <c r="L505" i="3"/>
  <c r="M505" i="3"/>
  <c r="N505" i="3"/>
  <c r="O505" i="3"/>
  <c r="P505" i="3"/>
  <c r="Q505" i="3"/>
  <c r="R505" i="3"/>
  <c r="H480" i="3"/>
  <c r="L480" i="3"/>
  <c r="M480" i="3"/>
  <c r="N480" i="3"/>
  <c r="O480" i="3"/>
  <c r="P480" i="3"/>
  <c r="Q480" i="3"/>
  <c r="R480" i="3"/>
  <c r="H427" i="3"/>
  <c r="L427" i="3"/>
  <c r="M427" i="3"/>
  <c r="N427" i="3"/>
  <c r="O427" i="3"/>
  <c r="P427" i="3"/>
  <c r="Q427" i="3"/>
  <c r="R427" i="3"/>
  <c r="H498" i="3"/>
  <c r="L498" i="3"/>
  <c r="M498" i="3"/>
  <c r="N498" i="3"/>
  <c r="O498" i="3"/>
  <c r="P498" i="3"/>
  <c r="Q498" i="3"/>
  <c r="R498" i="3"/>
  <c r="H445" i="3"/>
  <c r="L445" i="3"/>
  <c r="M445" i="3"/>
  <c r="N445" i="3"/>
  <c r="O445" i="3"/>
  <c r="P445" i="3"/>
  <c r="Q445" i="3"/>
  <c r="R445" i="3"/>
  <c r="H450" i="3"/>
  <c r="L450" i="3"/>
  <c r="M450" i="3"/>
  <c r="N450" i="3"/>
  <c r="O450" i="3"/>
  <c r="P450" i="3"/>
  <c r="Q450" i="3"/>
  <c r="R450" i="3"/>
  <c r="H408" i="3"/>
  <c r="L408" i="3"/>
  <c r="M408" i="3"/>
  <c r="N408" i="3"/>
  <c r="O408" i="3"/>
  <c r="P408" i="3"/>
  <c r="Q408" i="3"/>
  <c r="R408" i="3"/>
  <c r="H448" i="3"/>
  <c r="L448" i="3"/>
  <c r="M448" i="3"/>
  <c r="N448" i="3"/>
  <c r="O448" i="3"/>
  <c r="P448" i="3"/>
  <c r="Q448" i="3"/>
  <c r="R448" i="3"/>
  <c r="H487" i="3"/>
  <c r="L487" i="3"/>
  <c r="M487" i="3"/>
  <c r="N487" i="3"/>
  <c r="O487" i="3"/>
  <c r="P487" i="3"/>
  <c r="Q487" i="3"/>
  <c r="R487" i="3"/>
  <c r="H488" i="3"/>
  <c r="L488" i="3"/>
  <c r="M488" i="3"/>
  <c r="N488" i="3"/>
  <c r="O488" i="3"/>
  <c r="P488" i="3"/>
  <c r="Q488" i="3"/>
  <c r="R488" i="3"/>
  <c r="H489" i="3"/>
  <c r="L489" i="3"/>
  <c r="M489" i="3"/>
  <c r="N489" i="3"/>
  <c r="O489" i="3"/>
  <c r="P489" i="3"/>
  <c r="Q489" i="3"/>
  <c r="R489" i="3"/>
  <c r="H119" i="3"/>
  <c r="L119" i="3"/>
  <c r="M119" i="3"/>
  <c r="N119" i="3"/>
  <c r="O119" i="3"/>
  <c r="P119" i="3"/>
  <c r="Q119" i="3"/>
  <c r="R119" i="3"/>
  <c r="H433" i="3"/>
  <c r="L433" i="3"/>
  <c r="M433" i="3"/>
  <c r="N433" i="3"/>
  <c r="O433" i="3"/>
  <c r="P433" i="3"/>
  <c r="Q433" i="3"/>
  <c r="R433" i="3"/>
  <c r="H405" i="3"/>
  <c r="L405" i="3"/>
  <c r="M405" i="3"/>
  <c r="N405" i="3"/>
  <c r="O405" i="3"/>
  <c r="P405" i="3"/>
  <c r="Q405" i="3"/>
  <c r="R405" i="3"/>
  <c r="H397" i="3"/>
  <c r="L397" i="3"/>
  <c r="M397" i="3"/>
  <c r="N397" i="3"/>
  <c r="O397" i="3"/>
  <c r="P397" i="3"/>
  <c r="Q397" i="3"/>
  <c r="R397" i="3"/>
  <c r="H359" i="3"/>
  <c r="L359" i="3"/>
  <c r="M359" i="3"/>
  <c r="N359" i="3"/>
  <c r="O359" i="3"/>
  <c r="P359" i="3"/>
  <c r="Q359" i="3"/>
  <c r="R359" i="3"/>
  <c r="H336" i="3"/>
  <c r="L336" i="3"/>
  <c r="M336" i="3"/>
  <c r="N336" i="3"/>
  <c r="O336" i="3"/>
  <c r="P336" i="3"/>
  <c r="Q336" i="3"/>
  <c r="R336" i="3"/>
  <c r="H306" i="3"/>
  <c r="L306" i="3"/>
  <c r="M306" i="3"/>
  <c r="N306" i="3"/>
  <c r="O306" i="3"/>
  <c r="P306" i="3"/>
  <c r="Q306" i="3"/>
  <c r="R306" i="3"/>
  <c r="H304" i="3"/>
  <c r="L304" i="3"/>
  <c r="M304" i="3"/>
  <c r="N304" i="3"/>
  <c r="O304" i="3"/>
  <c r="P304" i="3"/>
  <c r="Q304" i="3"/>
  <c r="R304" i="3"/>
  <c r="H274" i="3"/>
  <c r="L274" i="3"/>
  <c r="M274" i="3"/>
  <c r="N274" i="3"/>
  <c r="O274" i="3"/>
  <c r="P274" i="3"/>
  <c r="Q274" i="3"/>
  <c r="R274" i="3"/>
  <c r="H410" i="3"/>
  <c r="L410" i="3"/>
  <c r="M410" i="3"/>
  <c r="N410" i="3"/>
  <c r="O410" i="3"/>
  <c r="P410" i="3"/>
  <c r="Q410" i="3"/>
  <c r="R410" i="3"/>
  <c r="H363" i="3"/>
  <c r="L363" i="3"/>
  <c r="M363" i="3"/>
  <c r="N363" i="3"/>
  <c r="O363" i="3"/>
  <c r="P363" i="3"/>
  <c r="Q363" i="3"/>
  <c r="R363" i="3"/>
  <c r="H331" i="3"/>
  <c r="L331" i="3"/>
  <c r="M331" i="3"/>
  <c r="N331" i="3"/>
  <c r="O331" i="3"/>
  <c r="P331" i="3"/>
  <c r="Q331" i="3"/>
  <c r="R331" i="3"/>
  <c r="H230" i="3"/>
  <c r="L230" i="3"/>
  <c r="M230" i="3"/>
  <c r="N230" i="3"/>
  <c r="O230" i="3"/>
  <c r="P230" i="3"/>
  <c r="Q230" i="3"/>
  <c r="R230" i="3"/>
  <c r="H172" i="3"/>
  <c r="L172" i="3"/>
  <c r="M172" i="3"/>
  <c r="N172" i="3"/>
  <c r="O172" i="3"/>
  <c r="P172" i="3"/>
  <c r="Q172" i="3"/>
  <c r="R172" i="3"/>
  <c r="H190" i="3"/>
  <c r="L190" i="3"/>
  <c r="M190" i="3"/>
  <c r="N190" i="3"/>
  <c r="O190" i="3"/>
  <c r="P190" i="3"/>
  <c r="Q190" i="3"/>
  <c r="R190" i="3"/>
  <c r="H514" i="3"/>
  <c r="L514" i="3"/>
  <c r="M514" i="3"/>
  <c r="N514" i="3"/>
  <c r="O514" i="3"/>
  <c r="P514" i="3"/>
  <c r="Q514" i="3"/>
  <c r="R514" i="3"/>
  <c r="H133" i="3"/>
  <c r="L133" i="3"/>
  <c r="M133" i="3"/>
  <c r="N133" i="3"/>
  <c r="O133" i="3"/>
  <c r="P133" i="3"/>
  <c r="Q133" i="3"/>
  <c r="R133" i="3"/>
  <c r="H569" i="3"/>
  <c r="L569" i="3"/>
  <c r="M569" i="3"/>
  <c r="N569" i="3"/>
  <c r="O569" i="3"/>
  <c r="P569" i="3"/>
  <c r="Q569" i="3"/>
  <c r="R569" i="3"/>
  <c r="H340" i="3"/>
  <c r="L340" i="3"/>
  <c r="M340" i="3"/>
  <c r="N340" i="3"/>
  <c r="O340" i="3"/>
  <c r="P340" i="3"/>
  <c r="Q340" i="3"/>
  <c r="R340" i="3"/>
  <c r="H205" i="3"/>
  <c r="L205" i="3"/>
  <c r="M205" i="3"/>
  <c r="N205" i="3"/>
  <c r="O205" i="3"/>
  <c r="P205" i="3"/>
  <c r="Q205" i="3"/>
  <c r="R205" i="3"/>
  <c r="H337" i="3"/>
  <c r="L337" i="3"/>
  <c r="M337" i="3"/>
  <c r="N337" i="3"/>
  <c r="O337" i="3"/>
  <c r="P337" i="3"/>
  <c r="Q337" i="3"/>
  <c r="R337" i="3"/>
  <c r="H59" i="3"/>
  <c r="L59" i="3"/>
  <c r="M59" i="3"/>
  <c r="N59" i="3"/>
  <c r="O59" i="3"/>
  <c r="P59" i="3"/>
  <c r="Q59" i="3"/>
  <c r="R59" i="3"/>
  <c r="H43" i="3"/>
  <c r="L43" i="3"/>
  <c r="M43" i="3"/>
  <c r="N43" i="3"/>
  <c r="O43" i="3"/>
  <c r="P43" i="3"/>
  <c r="Q43" i="3"/>
  <c r="R43" i="3"/>
  <c r="H86" i="3"/>
  <c r="L86" i="3"/>
  <c r="M86" i="3"/>
  <c r="N86" i="3"/>
  <c r="O86" i="3"/>
  <c r="P86" i="3"/>
  <c r="Q86" i="3"/>
  <c r="R86" i="3"/>
  <c r="H125" i="3"/>
  <c r="L125" i="3"/>
  <c r="M125" i="3"/>
  <c r="N125" i="3"/>
  <c r="O125" i="3"/>
  <c r="P125" i="3"/>
  <c r="Q125" i="3"/>
  <c r="R125" i="3"/>
  <c r="H166" i="3"/>
  <c r="L166" i="3"/>
  <c r="M166" i="3"/>
  <c r="N166" i="3"/>
  <c r="O166" i="3"/>
  <c r="P166" i="3"/>
  <c r="Q166" i="3"/>
  <c r="R166" i="3"/>
  <c r="H143" i="3"/>
  <c r="L143" i="3"/>
  <c r="M143" i="3"/>
  <c r="N143" i="3"/>
  <c r="O143" i="3"/>
  <c r="P143" i="3"/>
  <c r="Q143" i="3"/>
  <c r="R143" i="3"/>
  <c r="H232" i="3"/>
  <c r="L232" i="3"/>
  <c r="M232" i="3"/>
  <c r="N232" i="3"/>
  <c r="O232" i="3"/>
  <c r="P232" i="3"/>
  <c r="Q232" i="3"/>
  <c r="R232" i="3"/>
  <c r="H201" i="3"/>
  <c r="L201" i="3"/>
  <c r="M201" i="3"/>
  <c r="N201" i="3"/>
  <c r="O201" i="3"/>
  <c r="P201" i="3"/>
  <c r="Q201" i="3"/>
  <c r="R201" i="3"/>
  <c r="H106" i="3"/>
  <c r="L106" i="3"/>
  <c r="M106" i="3"/>
  <c r="N106" i="3"/>
  <c r="O106" i="3"/>
  <c r="P106" i="3"/>
  <c r="Q106" i="3"/>
  <c r="R106" i="3"/>
  <c r="H136" i="3"/>
  <c r="L136" i="3"/>
  <c r="M136" i="3"/>
  <c r="N136" i="3"/>
  <c r="O136" i="3"/>
  <c r="P136" i="3"/>
  <c r="Q136" i="3"/>
  <c r="R136" i="3"/>
  <c r="H194" i="3"/>
  <c r="L194" i="3"/>
  <c r="M194" i="3"/>
  <c r="N194" i="3"/>
  <c r="O194" i="3"/>
  <c r="P194" i="3"/>
  <c r="Q194" i="3"/>
  <c r="R194" i="3"/>
  <c r="H140" i="3"/>
  <c r="L140" i="3"/>
  <c r="M140" i="3"/>
  <c r="N140" i="3"/>
  <c r="O140" i="3"/>
  <c r="P140" i="3"/>
  <c r="Q140" i="3"/>
  <c r="R140" i="3"/>
  <c r="H278" i="3"/>
  <c r="L278" i="3"/>
  <c r="M278" i="3"/>
  <c r="N278" i="3"/>
  <c r="O278" i="3"/>
  <c r="P278" i="3"/>
  <c r="Q278" i="3"/>
  <c r="R278" i="3"/>
  <c r="H350" i="3"/>
  <c r="L350" i="3"/>
  <c r="M350" i="3"/>
  <c r="N350" i="3"/>
  <c r="O350" i="3"/>
  <c r="P350" i="3"/>
  <c r="Q350" i="3"/>
  <c r="R350" i="3"/>
  <c r="H547" i="3"/>
  <c r="L547" i="3"/>
  <c r="M547" i="3"/>
  <c r="N547" i="3"/>
  <c r="O547" i="3"/>
  <c r="P547" i="3"/>
  <c r="Q547" i="3"/>
  <c r="R547" i="3"/>
  <c r="H533" i="3"/>
  <c r="L533" i="3"/>
  <c r="M533" i="3"/>
  <c r="N533" i="3"/>
  <c r="O533" i="3"/>
  <c r="P533" i="3"/>
  <c r="Q533" i="3"/>
  <c r="R533" i="3"/>
  <c r="H392" i="3"/>
  <c r="L392" i="3"/>
  <c r="M392" i="3"/>
  <c r="N392" i="3"/>
  <c r="O392" i="3"/>
  <c r="P392" i="3"/>
  <c r="Q392" i="3"/>
  <c r="R392" i="3"/>
  <c r="H476" i="3"/>
  <c r="L476" i="3"/>
  <c r="M476" i="3"/>
  <c r="N476" i="3"/>
  <c r="O476" i="3"/>
  <c r="P476" i="3"/>
  <c r="Q476" i="3"/>
  <c r="R476" i="3"/>
  <c r="H525" i="3"/>
  <c r="L525" i="3"/>
  <c r="M525" i="3"/>
  <c r="N525" i="3"/>
  <c r="O525" i="3"/>
  <c r="P525" i="3"/>
  <c r="Q525" i="3"/>
  <c r="R525" i="3"/>
  <c r="H296" i="3"/>
  <c r="L296" i="3"/>
  <c r="M296" i="3"/>
  <c r="N296" i="3"/>
  <c r="O296" i="3"/>
  <c r="P296" i="3"/>
  <c r="Q296" i="3"/>
  <c r="R296" i="3"/>
  <c r="H493" i="3"/>
  <c r="L493" i="3"/>
  <c r="M493" i="3"/>
  <c r="N493" i="3"/>
  <c r="O493" i="3"/>
  <c r="P493" i="3"/>
  <c r="Q493" i="3"/>
  <c r="R493" i="3"/>
  <c r="H575" i="3"/>
  <c r="L575" i="3"/>
  <c r="M575" i="3"/>
  <c r="N575" i="3"/>
  <c r="O575" i="3"/>
  <c r="P575" i="3"/>
  <c r="Q575" i="3"/>
  <c r="R575" i="3"/>
  <c r="H573" i="3"/>
  <c r="L573" i="3"/>
  <c r="M573" i="3"/>
  <c r="N573" i="3"/>
  <c r="O573" i="3"/>
  <c r="P573" i="3"/>
  <c r="Q573" i="3"/>
  <c r="R573" i="3"/>
  <c r="H574" i="3"/>
  <c r="L574" i="3"/>
  <c r="M574" i="3"/>
  <c r="N574" i="3"/>
  <c r="O574" i="3"/>
  <c r="P574" i="3"/>
  <c r="Q574" i="3"/>
  <c r="R574" i="3"/>
  <c r="H577" i="3"/>
  <c r="L577" i="3"/>
  <c r="M577" i="3"/>
  <c r="N577" i="3"/>
  <c r="O577" i="3"/>
  <c r="P577" i="3"/>
  <c r="Q577" i="3"/>
  <c r="R577" i="3"/>
  <c r="H576" i="3"/>
  <c r="L576" i="3"/>
  <c r="M576" i="3"/>
  <c r="N576" i="3"/>
  <c r="O576" i="3"/>
  <c r="P576" i="3"/>
  <c r="Q576" i="3"/>
  <c r="R576" i="3"/>
  <c r="H521" i="3"/>
  <c r="L521" i="3"/>
  <c r="M521" i="3"/>
  <c r="N521" i="3"/>
  <c r="O521" i="3"/>
  <c r="P521" i="3"/>
  <c r="Q521" i="3"/>
  <c r="R521" i="3"/>
  <c r="H447" i="3"/>
  <c r="L447" i="3"/>
  <c r="M447" i="3"/>
  <c r="N447" i="3"/>
  <c r="O447" i="3"/>
  <c r="P447" i="3"/>
  <c r="Q447" i="3"/>
  <c r="R447" i="3"/>
  <c r="H273" i="3"/>
  <c r="L273" i="3"/>
  <c r="M273" i="3"/>
  <c r="N273" i="3"/>
  <c r="O273" i="3"/>
  <c r="P273" i="3"/>
  <c r="Q273" i="3"/>
  <c r="R273" i="3"/>
  <c r="H36" i="3"/>
  <c r="L36" i="3"/>
  <c r="M36" i="3"/>
  <c r="N36" i="3"/>
  <c r="O36" i="3"/>
  <c r="P36" i="3"/>
  <c r="Q36" i="3"/>
  <c r="R36" i="3"/>
  <c r="H411" i="3"/>
  <c r="L411" i="3"/>
  <c r="M411" i="3"/>
  <c r="N411" i="3"/>
  <c r="O411" i="3"/>
  <c r="P411" i="3"/>
  <c r="Q411" i="3"/>
  <c r="R411" i="3"/>
  <c r="H50" i="3"/>
  <c r="L50" i="3"/>
  <c r="M50" i="3"/>
  <c r="N50" i="3"/>
  <c r="O50" i="3"/>
  <c r="P50" i="3"/>
  <c r="Q50" i="3"/>
  <c r="R50" i="3"/>
  <c r="H92" i="3"/>
  <c r="L92" i="3"/>
  <c r="M92" i="3"/>
  <c r="N92" i="3"/>
  <c r="O92" i="3"/>
  <c r="P92" i="3"/>
  <c r="Q92" i="3"/>
  <c r="R92" i="3"/>
  <c r="H74" i="3"/>
  <c r="L74" i="3"/>
  <c r="M74" i="3"/>
  <c r="N74" i="3"/>
  <c r="O74" i="3"/>
  <c r="P74" i="3"/>
  <c r="Q74" i="3"/>
  <c r="R74" i="3"/>
  <c r="H281" i="3"/>
  <c r="L281" i="3"/>
  <c r="M281" i="3"/>
  <c r="N281" i="3"/>
  <c r="O281" i="3"/>
  <c r="P281" i="3"/>
  <c r="Q281" i="3"/>
  <c r="R281" i="3"/>
  <c r="H360" i="3"/>
  <c r="L360" i="3"/>
  <c r="M360" i="3"/>
  <c r="N360" i="3"/>
  <c r="O360" i="3"/>
  <c r="P360" i="3"/>
  <c r="Q360" i="3"/>
  <c r="R360" i="3"/>
  <c r="H308" i="3"/>
  <c r="L308" i="3"/>
  <c r="M308" i="3"/>
  <c r="N308" i="3"/>
  <c r="O308" i="3"/>
  <c r="P308" i="3"/>
  <c r="Q308" i="3"/>
  <c r="R308" i="3"/>
  <c r="H344" i="3"/>
  <c r="L344" i="3"/>
  <c r="M344" i="3"/>
  <c r="N344" i="3"/>
  <c r="O344" i="3"/>
  <c r="P344" i="3"/>
  <c r="Q344" i="3"/>
  <c r="R344" i="3"/>
  <c r="H227" i="3"/>
  <c r="L227" i="3"/>
  <c r="M227" i="3"/>
  <c r="N227" i="3"/>
  <c r="O227" i="3"/>
  <c r="P227" i="3"/>
  <c r="Q227" i="3"/>
  <c r="R227" i="3"/>
  <c r="H503" i="3"/>
  <c r="L503" i="3"/>
  <c r="M503" i="3"/>
  <c r="N503" i="3"/>
  <c r="O503" i="3"/>
  <c r="P503" i="3"/>
  <c r="Q503" i="3"/>
  <c r="R503" i="3"/>
  <c r="H129" i="3"/>
  <c r="L129" i="3"/>
  <c r="M129" i="3"/>
  <c r="N129" i="3"/>
  <c r="O129" i="3"/>
  <c r="P129" i="3"/>
  <c r="Q129" i="3"/>
  <c r="R129" i="3"/>
  <c r="H438" i="3"/>
  <c r="L438" i="3"/>
  <c r="M438" i="3"/>
  <c r="N438" i="3"/>
  <c r="O438" i="3"/>
  <c r="P438" i="3"/>
  <c r="Q438" i="3"/>
  <c r="R438" i="3"/>
  <c r="H70" i="3"/>
  <c r="L70" i="3"/>
  <c r="M70" i="3"/>
  <c r="N70" i="3"/>
  <c r="O70" i="3"/>
  <c r="P70" i="3"/>
  <c r="Q70" i="3"/>
  <c r="R70" i="3"/>
  <c r="H72" i="3"/>
  <c r="L72" i="3"/>
  <c r="M72" i="3"/>
  <c r="N72" i="3"/>
  <c r="O72" i="3"/>
  <c r="P72" i="3"/>
  <c r="Q72" i="3"/>
  <c r="R72" i="3"/>
  <c r="H67" i="3"/>
  <c r="L67" i="3"/>
  <c r="M67" i="3"/>
  <c r="N67" i="3"/>
  <c r="O67" i="3"/>
  <c r="P67" i="3"/>
  <c r="Q67" i="3"/>
  <c r="R67" i="3"/>
  <c r="H202" i="3"/>
  <c r="L202" i="3"/>
  <c r="M202" i="3"/>
  <c r="N202" i="3"/>
  <c r="O202" i="3"/>
  <c r="P202" i="3"/>
  <c r="Q202" i="3"/>
  <c r="R202" i="3"/>
  <c r="H204" i="3"/>
  <c r="L204" i="3"/>
  <c r="M204" i="3"/>
  <c r="N204" i="3"/>
  <c r="O204" i="3"/>
  <c r="P204" i="3"/>
  <c r="Q204" i="3"/>
  <c r="R204" i="3"/>
  <c r="H210" i="3"/>
  <c r="L210" i="3"/>
  <c r="M210" i="3"/>
  <c r="N210" i="3"/>
  <c r="O210" i="3"/>
  <c r="P210" i="3"/>
  <c r="Q210" i="3"/>
  <c r="R210" i="3"/>
  <c r="H168" i="3"/>
  <c r="L168" i="3"/>
  <c r="M168" i="3"/>
  <c r="N168" i="3"/>
  <c r="O168" i="3"/>
  <c r="P168" i="3"/>
  <c r="Q168" i="3"/>
  <c r="R168" i="3"/>
  <c r="H282" i="3"/>
  <c r="L282" i="3"/>
  <c r="M282" i="3"/>
  <c r="N282" i="3"/>
  <c r="O282" i="3"/>
  <c r="P282" i="3"/>
  <c r="Q282" i="3"/>
  <c r="R282" i="3"/>
  <c r="H288" i="3"/>
  <c r="L288" i="3"/>
  <c r="M288" i="3"/>
  <c r="N288" i="3"/>
  <c r="O288" i="3"/>
  <c r="P288" i="3"/>
  <c r="Q288" i="3"/>
  <c r="R288" i="3"/>
  <c r="H259" i="3"/>
  <c r="L259" i="3"/>
  <c r="M259" i="3"/>
  <c r="N259" i="3"/>
  <c r="O259" i="3"/>
  <c r="P259" i="3"/>
  <c r="Q259" i="3"/>
  <c r="R259" i="3"/>
  <c r="H323" i="3"/>
  <c r="L323" i="3"/>
  <c r="M323" i="3"/>
  <c r="N323" i="3"/>
  <c r="O323" i="3"/>
  <c r="P323" i="3"/>
  <c r="Q323" i="3"/>
  <c r="R323" i="3"/>
  <c r="H234" i="3"/>
  <c r="L234" i="3"/>
  <c r="M234" i="3"/>
  <c r="N234" i="3"/>
  <c r="O234" i="3"/>
  <c r="P234" i="3"/>
  <c r="Q234" i="3"/>
  <c r="R234" i="3"/>
  <c r="H354" i="3"/>
  <c r="L354" i="3"/>
  <c r="M354" i="3"/>
  <c r="N354" i="3"/>
  <c r="O354" i="3"/>
  <c r="P354" i="3"/>
  <c r="Q354" i="3"/>
  <c r="R354" i="3"/>
  <c r="H291" i="3"/>
  <c r="L291" i="3"/>
  <c r="M291" i="3"/>
  <c r="N291" i="3"/>
  <c r="O291" i="3"/>
  <c r="P291" i="3"/>
  <c r="Q291" i="3"/>
  <c r="R291" i="3"/>
  <c r="H393" i="3"/>
  <c r="L393" i="3"/>
  <c r="M393" i="3"/>
  <c r="N393" i="3"/>
  <c r="O393" i="3"/>
  <c r="P393" i="3"/>
  <c r="Q393" i="3"/>
  <c r="R393" i="3"/>
  <c r="H181" i="3"/>
  <c r="L181" i="3"/>
  <c r="M181" i="3"/>
  <c r="N181" i="3"/>
  <c r="O181" i="3"/>
  <c r="P181" i="3"/>
  <c r="Q181" i="3"/>
  <c r="R181" i="3"/>
  <c r="H439" i="3"/>
  <c r="L439" i="3"/>
  <c r="M439" i="3"/>
  <c r="N439" i="3"/>
  <c r="O439" i="3"/>
  <c r="P439" i="3"/>
  <c r="Q439" i="3"/>
  <c r="R439" i="3"/>
  <c r="H305" i="3"/>
  <c r="L305" i="3"/>
  <c r="M305" i="3"/>
  <c r="N305" i="3"/>
  <c r="O305" i="3"/>
  <c r="P305" i="3"/>
  <c r="Q305" i="3"/>
  <c r="R305" i="3"/>
  <c r="H499" i="3"/>
  <c r="L499" i="3"/>
  <c r="M499" i="3"/>
  <c r="N499" i="3"/>
  <c r="O499" i="3"/>
  <c r="P499" i="3"/>
  <c r="Q499" i="3"/>
  <c r="R499" i="3"/>
  <c r="H482" i="3"/>
  <c r="L482" i="3"/>
  <c r="M482" i="3"/>
  <c r="N482" i="3"/>
  <c r="O482" i="3"/>
  <c r="P482" i="3"/>
  <c r="Q482" i="3"/>
  <c r="R482" i="3"/>
  <c r="H483" i="3"/>
  <c r="L483" i="3"/>
  <c r="M483" i="3"/>
  <c r="N483" i="3"/>
  <c r="O483" i="3"/>
  <c r="P483" i="3"/>
  <c r="Q483" i="3"/>
  <c r="R483" i="3"/>
  <c r="H513" i="3"/>
  <c r="L513" i="3"/>
  <c r="M513" i="3"/>
  <c r="N513" i="3"/>
  <c r="O513" i="3"/>
  <c r="P513" i="3"/>
  <c r="Q513" i="3"/>
  <c r="R513" i="3"/>
  <c r="H434" i="3"/>
  <c r="L434" i="3"/>
  <c r="M434" i="3"/>
  <c r="N434" i="3"/>
  <c r="O434" i="3"/>
  <c r="P434" i="3"/>
  <c r="Q434" i="3"/>
  <c r="R434" i="3"/>
  <c r="H484" i="3"/>
  <c r="L484" i="3"/>
  <c r="M484" i="3"/>
  <c r="N484" i="3"/>
  <c r="O484" i="3"/>
  <c r="P484" i="3"/>
  <c r="Q484" i="3"/>
  <c r="R484" i="3"/>
  <c r="H461" i="3"/>
  <c r="L461" i="3"/>
  <c r="M461" i="3"/>
  <c r="N461" i="3"/>
  <c r="O461" i="3"/>
  <c r="P461" i="3"/>
  <c r="Q461" i="3"/>
  <c r="R461" i="3"/>
  <c r="H558" i="3"/>
  <c r="L558" i="3"/>
  <c r="M558" i="3"/>
  <c r="N558" i="3"/>
  <c r="O558" i="3"/>
  <c r="P558" i="3"/>
  <c r="Q558" i="3"/>
  <c r="R558" i="3"/>
  <c r="H377" i="3"/>
  <c r="L377" i="3"/>
  <c r="M377" i="3"/>
  <c r="N377" i="3"/>
  <c r="O377" i="3"/>
  <c r="P377" i="3"/>
  <c r="Q377" i="3"/>
  <c r="R377" i="3"/>
  <c r="H398" i="3"/>
  <c r="L398" i="3"/>
  <c r="M398" i="3"/>
  <c r="N398" i="3"/>
  <c r="O398" i="3"/>
  <c r="P398" i="3"/>
  <c r="Q398" i="3"/>
  <c r="R398" i="3"/>
  <c r="H283" i="3"/>
  <c r="L283" i="3"/>
  <c r="M283" i="3"/>
  <c r="N283" i="3"/>
  <c r="O283" i="3"/>
  <c r="P283" i="3"/>
  <c r="Q283" i="3"/>
  <c r="R283" i="3"/>
  <c r="H361" i="3"/>
  <c r="L361" i="3"/>
  <c r="M361" i="3"/>
  <c r="N361" i="3"/>
  <c r="O361" i="3"/>
  <c r="P361" i="3"/>
  <c r="Q361" i="3"/>
  <c r="R361" i="3"/>
  <c r="H561" i="3"/>
  <c r="L561" i="3"/>
  <c r="M561" i="3"/>
  <c r="N561" i="3"/>
  <c r="O561" i="3"/>
  <c r="P561" i="3"/>
  <c r="Q561" i="3"/>
  <c r="R561" i="3"/>
  <c r="H564" i="3"/>
  <c r="L564" i="3"/>
  <c r="M564" i="3"/>
  <c r="N564" i="3"/>
  <c r="O564" i="3"/>
  <c r="P564" i="3"/>
  <c r="Q564" i="3"/>
  <c r="R564" i="3"/>
  <c r="H522" i="3"/>
  <c r="L522" i="3"/>
  <c r="M522" i="3"/>
  <c r="N522" i="3"/>
  <c r="O522" i="3"/>
  <c r="P522" i="3"/>
  <c r="Q522" i="3"/>
  <c r="R522" i="3"/>
  <c r="H549" i="3"/>
  <c r="L549" i="3"/>
  <c r="M549" i="3"/>
  <c r="N549" i="3"/>
  <c r="O549" i="3"/>
  <c r="P549" i="3"/>
  <c r="Q549" i="3"/>
  <c r="R549" i="3"/>
  <c r="H203" i="3"/>
  <c r="L203" i="3"/>
  <c r="M203" i="3"/>
  <c r="N203" i="3"/>
  <c r="O203" i="3"/>
  <c r="P203" i="3"/>
  <c r="Q203" i="3"/>
  <c r="R203" i="3"/>
  <c r="H132" i="3"/>
  <c r="L132" i="3"/>
  <c r="M132" i="3"/>
  <c r="N132" i="3"/>
  <c r="O132" i="3"/>
  <c r="P132" i="3"/>
  <c r="Q132" i="3"/>
  <c r="R132" i="3"/>
  <c r="H196" i="3"/>
  <c r="L196" i="3"/>
  <c r="M196" i="3"/>
  <c r="N196" i="3"/>
  <c r="O196" i="3"/>
  <c r="P196" i="3"/>
  <c r="Q196" i="3"/>
  <c r="R196" i="3"/>
  <c r="H114" i="3"/>
  <c r="L114" i="3"/>
  <c r="M114" i="3"/>
  <c r="N114" i="3"/>
  <c r="O114" i="3"/>
  <c r="P114" i="3"/>
  <c r="Q114" i="3"/>
  <c r="R114" i="3"/>
  <c r="H48" i="3"/>
  <c r="L48" i="3"/>
  <c r="M48" i="3"/>
  <c r="N48" i="3"/>
  <c r="O48" i="3"/>
  <c r="P48" i="3"/>
  <c r="Q48" i="3"/>
  <c r="R48" i="3"/>
  <c r="H15" i="3"/>
  <c r="L15" i="3"/>
  <c r="M15" i="3"/>
  <c r="N15" i="3"/>
  <c r="O15" i="3"/>
  <c r="P15" i="3"/>
  <c r="Q15" i="3"/>
  <c r="R15" i="3"/>
  <c r="H215" i="3"/>
  <c r="L215" i="3"/>
  <c r="M215" i="3"/>
  <c r="N215" i="3"/>
  <c r="O215" i="3"/>
  <c r="P215" i="3"/>
  <c r="Q215" i="3"/>
  <c r="R215" i="3"/>
  <c r="H394" i="3"/>
  <c r="L394" i="3"/>
  <c r="M394" i="3"/>
  <c r="N394" i="3"/>
  <c r="O394" i="3"/>
  <c r="P394" i="3"/>
  <c r="Q394" i="3"/>
  <c r="R394" i="3"/>
  <c r="H526" i="3"/>
  <c r="L526" i="3"/>
  <c r="M526" i="3"/>
  <c r="N526" i="3"/>
  <c r="O526" i="3"/>
  <c r="P526" i="3"/>
  <c r="Q526" i="3"/>
  <c r="R526" i="3"/>
  <c r="H435" i="3"/>
  <c r="L435" i="3"/>
  <c r="M435" i="3"/>
  <c r="N435" i="3"/>
  <c r="O435" i="3"/>
  <c r="P435" i="3"/>
  <c r="Q435" i="3"/>
  <c r="R435" i="3"/>
  <c r="H559" i="3"/>
  <c r="L559" i="3"/>
  <c r="M559" i="3"/>
  <c r="N559" i="3"/>
  <c r="O559" i="3"/>
  <c r="P559" i="3"/>
  <c r="Q559" i="3"/>
  <c r="R559" i="3"/>
  <c r="H490" i="3"/>
  <c r="L490" i="3"/>
  <c r="M490" i="3"/>
  <c r="N490" i="3"/>
  <c r="O490" i="3"/>
  <c r="P490" i="3"/>
  <c r="Q490" i="3"/>
  <c r="R490" i="3"/>
  <c r="H511" i="3"/>
  <c r="L511" i="3"/>
  <c r="M511" i="3"/>
  <c r="N511" i="3"/>
  <c r="O511" i="3"/>
  <c r="P511" i="3"/>
  <c r="Q511" i="3"/>
  <c r="R511" i="3"/>
  <c r="H173" i="3"/>
  <c r="L173" i="3"/>
  <c r="M173" i="3"/>
  <c r="N173" i="3"/>
  <c r="O173" i="3"/>
  <c r="P173" i="3"/>
  <c r="Q173" i="3"/>
  <c r="R173" i="3"/>
  <c r="H385" i="3"/>
  <c r="L385" i="3"/>
  <c r="M385" i="3"/>
  <c r="N385" i="3"/>
  <c r="O385" i="3"/>
  <c r="P385" i="3"/>
  <c r="Q385" i="3"/>
  <c r="R385" i="3"/>
  <c r="H207" i="3"/>
  <c r="L207" i="3"/>
  <c r="M207" i="3"/>
  <c r="N207" i="3"/>
  <c r="O207" i="3"/>
  <c r="P207" i="3"/>
  <c r="Q207" i="3"/>
  <c r="R207" i="3"/>
  <c r="H387" i="3"/>
  <c r="L387" i="3"/>
  <c r="M387" i="3"/>
  <c r="N387" i="3"/>
  <c r="O387" i="3"/>
  <c r="P387" i="3"/>
  <c r="Q387" i="3"/>
  <c r="R387" i="3"/>
  <c r="H368" i="3"/>
  <c r="L368" i="3"/>
  <c r="M368" i="3"/>
  <c r="N368" i="3"/>
  <c r="O368" i="3"/>
  <c r="P368" i="3"/>
  <c r="Q368" i="3"/>
  <c r="R368" i="3"/>
  <c r="H332" i="3"/>
  <c r="L332" i="3"/>
  <c r="M332" i="3"/>
  <c r="N332" i="3"/>
  <c r="O332" i="3"/>
  <c r="P332" i="3"/>
  <c r="Q332" i="3"/>
  <c r="R332" i="3"/>
  <c r="H374" i="3"/>
  <c r="L374" i="3"/>
  <c r="M374" i="3"/>
  <c r="N374" i="3"/>
  <c r="O374" i="3"/>
  <c r="P374" i="3"/>
  <c r="Q374" i="3"/>
  <c r="R374" i="3"/>
  <c r="H280" i="3"/>
  <c r="L280" i="3"/>
  <c r="M280" i="3"/>
  <c r="N280" i="3"/>
  <c r="O280" i="3"/>
  <c r="P280" i="3"/>
  <c r="Q280" i="3"/>
  <c r="R280" i="3"/>
  <c r="H364" i="3"/>
  <c r="L364" i="3"/>
  <c r="M364" i="3"/>
  <c r="N364" i="3"/>
  <c r="O364" i="3"/>
  <c r="P364" i="3"/>
  <c r="Q364" i="3"/>
  <c r="R364" i="3"/>
  <c r="H381" i="3"/>
  <c r="L381" i="3"/>
  <c r="M381" i="3"/>
  <c r="N381" i="3"/>
  <c r="O381" i="3"/>
  <c r="P381" i="3"/>
  <c r="Q381" i="3"/>
  <c r="R381" i="3"/>
  <c r="H246" i="3"/>
  <c r="L246" i="3"/>
  <c r="M246" i="3"/>
  <c r="N246" i="3"/>
  <c r="O246" i="3"/>
  <c r="P246" i="3"/>
  <c r="Q246" i="3"/>
  <c r="R246" i="3"/>
  <c r="H307" i="3"/>
  <c r="L307" i="3"/>
  <c r="M307" i="3"/>
  <c r="N307" i="3"/>
  <c r="O307" i="3"/>
  <c r="P307" i="3"/>
  <c r="Q307" i="3"/>
  <c r="R307" i="3"/>
  <c r="H137" i="3"/>
  <c r="L137" i="3"/>
  <c r="M137" i="3"/>
  <c r="N137" i="3"/>
  <c r="O137" i="3"/>
  <c r="P137" i="3"/>
  <c r="Q137" i="3"/>
  <c r="R137" i="3"/>
  <c r="H289" i="3"/>
  <c r="L289" i="3"/>
  <c r="M289" i="3"/>
  <c r="N289" i="3"/>
  <c r="O289" i="3"/>
  <c r="P289" i="3"/>
  <c r="Q289" i="3"/>
  <c r="R289" i="3"/>
  <c r="H428" i="3"/>
  <c r="L428" i="3"/>
  <c r="M428" i="3"/>
  <c r="N428" i="3"/>
  <c r="O428" i="3"/>
  <c r="P428" i="3"/>
  <c r="Q428" i="3"/>
  <c r="R428" i="3"/>
  <c r="H110" i="3"/>
  <c r="L110" i="3"/>
  <c r="M110" i="3"/>
  <c r="N110" i="3"/>
  <c r="O110" i="3"/>
  <c r="P110" i="3"/>
  <c r="Q110" i="3"/>
  <c r="R110" i="3"/>
  <c r="H309" i="3"/>
  <c r="L309" i="3"/>
  <c r="M309" i="3"/>
  <c r="N309" i="3"/>
  <c r="O309" i="3"/>
  <c r="P309" i="3"/>
  <c r="Q309" i="3"/>
  <c r="R309" i="3"/>
  <c r="H148" i="3"/>
  <c r="L148" i="3"/>
  <c r="M148" i="3"/>
  <c r="N148" i="3"/>
  <c r="O148" i="3"/>
  <c r="P148" i="3"/>
  <c r="Q148" i="3"/>
  <c r="R148" i="3"/>
  <c r="H109" i="3"/>
  <c r="L109" i="3"/>
  <c r="M109" i="3"/>
  <c r="N109" i="3"/>
  <c r="O109" i="3"/>
  <c r="P109" i="3"/>
  <c r="Q109" i="3"/>
  <c r="R109" i="3"/>
  <c r="H287" i="3"/>
  <c r="L287" i="3"/>
  <c r="M287" i="3"/>
  <c r="N287" i="3"/>
  <c r="O287" i="3"/>
  <c r="P287" i="3"/>
  <c r="Q287" i="3"/>
  <c r="R287" i="3"/>
  <c r="H454" i="3"/>
  <c r="L454" i="3"/>
  <c r="M454" i="3"/>
  <c r="N454" i="3"/>
  <c r="O454" i="3"/>
  <c r="P454" i="3"/>
  <c r="Q454" i="3"/>
  <c r="R454" i="3"/>
  <c r="H478" i="3"/>
  <c r="L478" i="3"/>
  <c r="M478" i="3"/>
  <c r="N478" i="3"/>
  <c r="O478" i="3"/>
  <c r="P478" i="3"/>
  <c r="Q478" i="3"/>
  <c r="R478" i="3"/>
  <c r="H507" i="3"/>
  <c r="L507" i="3"/>
  <c r="M507" i="3"/>
  <c r="N507" i="3"/>
  <c r="O507" i="3"/>
  <c r="P507" i="3"/>
  <c r="Q507" i="3"/>
  <c r="R507" i="3"/>
  <c r="H541" i="3"/>
  <c r="L541" i="3"/>
  <c r="M541" i="3"/>
  <c r="N541" i="3"/>
  <c r="O541" i="3"/>
  <c r="P541" i="3"/>
  <c r="Q541" i="3"/>
  <c r="R541" i="3"/>
  <c r="H399" i="3"/>
  <c r="L399" i="3"/>
  <c r="M399" i="3"/>
  <c r="N399" i="3"/>
  <c r="O399" i="3"/>
  <c r="P399" i="3"/>
  <c r="Q399" i="3"/>
  <c r="R399" i="3"/>
  <c r="H502" i="3"/>
  <c r="L502" i="3"/>
  <c r="M502" i="3"/>
  <c r="N502" i="3"/>
  <c r="O502" i="3"/>
  <c r="P502" i="3"/>
  <c r="Q502" i="3"/>
  <c r="R502" i="3"/>
  <c r="H473" i="3"/>
  <c r="L473" i="3"/>
  <c r="M473" i="3"/>
  <c r="N473" i="3"/>
  <c r="O473" i="3"/>
  <c r="P473" i="3"/>
  <c r="Q473" i="3"/>
  <c r="R473" i="3"/>
  <c r="H228" i="3"/>
  <c r="L228" i="3"/>
  <c r="M228" i="3"/>
  <c r="N228" i="3"/>
  <c r="O228" i="3"/>
  <c r="P228" i="3"/>
  <c r="Q228" i="3"/>
  <c r="R228" i="3"/>
  <c r="H188" i="3"/>
  <c r="L188" i="3"/>
  <c r="M188" i="3"/>
  <c r="N188" i="3"/>
  <c r="O188" i="3"/>
  <c r="P188" i="3"/>
  <c r="Q188" i="3"/>
  <c r="R188" i="3"/>
  <c r="H297" i="3"/>
  <c r="L297" i="3"/>
  <c r="M297" i="3"/>
  <c r="N297" i="3"/>
  <c r="O297" i="3"/>
  <c r="P297" i="3"/>
  <c r="Q297" i="3"/>
  <c r="R297" i="3"/>
  <c r="H275" i="3"/>
  <c r="L275" i="3"/>
  <c r="M275" i="3"/>
  <c r="N275" i="3"/>
  <c r="O275" i="3"/>
  <c r="P275" i="3"/>
  <c r="Q275" i="3"/>
  <c r="R275" i="3"/>
  <c r="H329" i="3"/>
  <c r="L329" i="3"/>
  <c r="M329" i="3"/>
  <c r="N329" i="3"/>
  <c r="O329" i="3"/>
  <c r="P329" i="3"/>
  <c r="Q329" i="3"/>
  <c r="R329" i="3"/>
  <c r="H494" i="3"/>
  <c r="L494" i="3"/>
  <c r="M494" i="3"/>
  <c r="N494" i="3"/>
  <c r="O494" i="3"/>
  <c r="P494" i="3"/>
  <c r="Q494" i="3"/>
  <c r="R494" i="3"/>
  <c r="H388" i="3"/>
  <c r="L388" i="3"/>
  <c r="M388" i="3"/>
  <c r="N388" i="3"/>
  <c r="O388" i="3"/>
  <c r="P388" i="3"/>
  <c r="Q388" i="3"/>
  <c r="R388" i="3"/>
  <c r="H268" i="3"/>
  <c r="L268" i="3"/>
  <c r="M268" i="3"/>
  <c r="N268" i="3"/>
  <c r="O268" i="3"/>
  <c r="P268" i="3"/>
  <c r="Q268" i="3"/>
  <c r="R268" i="3"/>
  <c r="H58" i="3"/>
  <c r="L58" i="3"/>
  <c r="M58" i="3"/>
  <c r="N58" i="3"/>
  <c r="O58" i="3"/>
  <c r="P58" i="3"/>
  <c r="Q58" i="3"/>
  <c r="R58" i="3"/>
  <c r="H242" i="3"/>
  <c r="L242" i="3"/>
  <c r="M242" i="3"/>
  <c r="N242" i="3"/>
  <c r="O242" i="3"/>
  <c r="P242" i="3"/>
  <c r="Q242" i="3"/>
  <c r="R242" i="3"/>
  <c r="H61" i="3"/>
  <c r="L61" i="3"/>
  <c r="M61" i="3"/>
  <c r="N61" i="3"/>
  <c r="O61" i="3"/>
  <c r="P61" i="3"/>
  <c r="Q61" i="3"/>
  <c r="R61" i="3"/>
  <c r="H481" i="3"/>
  <c r="L481" i="3"/>
  <c r="M481" i="3"/>
  <c r="N481" i="3"/>
  <c r="O481" i="3"/>
  <c r="P481" i="3"/>
  <c r="Q481" i="3"/>
  <c r="R481" i="3"/>
  <c r="H365" i="3"/>
  <c r="L365" i="3"/>
  <c r="M365" i="3"/>
  <c r="N365" i="3"/>
  <c r="O365" i="3"/>
  <c r="P365" i="3"/>
  <c r="Q365" i="3"/>
  <c r="R365" i="3"/>
  <c r="H341" i="3"/>
  <c r="L341" i="3"/>
  <c r="M341" i="3"/>
  <c r="N341" i="3"/>
  <c r="O341" i="3"/>
  <c r="P341" i="3"/>
  <c r="Q341" i="3"/>
  <c r="R341" i="3"/>
  <c r="H471" i="3"/>
  <c r="L471" i="3"/>
  <c r="M471" i="3"/>
  <c r="N471" i="3"/>
  <c r="O471" i="3"/>
  <c r="P471" i="3"/>
  <c r="Q471" i="3"/>
  <c r="R471" i="3"/>
  <c r="H556" i="3"/>
  <c r="L556" i="3"/>
  <c r="M556" i="3"/>
  <c r="N556" i="3"/>
  <c r="O556" i="3"/>
  <c r="P556" i="3"/>
  <c r="Q556" i="3"/>
  <c r="R556" i="3"/>
  <c r="H451" i="3"/>
  <c r="L451" i="3"/>
  <c r="M451" i="3"/>
  <c r="N451" i="3"/>
  <c r="O451" i="3"/>
  <c r="P451" i="3"/>
  <c r="Q451" i="3"/>
  <c r="R451" i="3"/>
  <c r="H250" i="3"/>
  <c r="L250" i="3"/>
  <c r="M250" i="3"/>
  <c r="N250" i="3"/>
  <c r="O250" i="3"/>
  <c r="P250" i="3"/>
  <c r="Q250" i="3"/>
  <c r="R250" i="3"/>
  <c r="H495" i="3"/>
  <c r="L495" i="3"/>
  <c r="M495" i="3"/>
  <c r="N495" i="3"/>
  <c r="O495" i="3"/>
  <c r="P495" i="3"/>
  <c r="Q495" i="3"/>
  <c r="R495" i="3"/>
  <c r="H260" i="3"/>
  <c r="L260" i="3"/>
  <c r="M260" i="3"/>
  <c r="N260" i="3"/>
  <c r="O260" i="3"/>
  <c r="P260" i="3"/>
  <c r="Q260" i="3"/>
  <c r="R260" i="3"/>
  <c r="H254" i="3"/>
  <c r="L254" i="3"/>
  <c r="M254" i="3"/>
  <c r="N254" i="3"/>
  <c r="O254" i="3"/>
  <c r="P254" i="3"/>
  <c r="Q254" i="3"/>
  <c r="R254" i="3"/>
  <c r="H243" i="3"/>
  <c r="L243" i="3"/>
  <c r="M243" i="3"/>
  <c r="N243" i="3"/>
  <c r="O243" i="3"/>
  <c r="P243" i="3"/>
  <c r="Q243" i="3"/>
  <c r="R243" i="3"/>
  <c r="H176" i="3"/>
  <c r="L176" i="3"/>
  <c r="M176" i="3"/>
  <c r="N176" i="3"/>
  <c r="O176" i="3"/>
  <c r="P176" i="3"/>
  <c r="Q176" i="3"/>
  <c r="R176" i="3"/>
  <c r="H298" i="3"/>
  <c r="L298" i="3"/>
  <c r="M298" i="3"/>
  <c r="N298" i="3"/>
  <c r="O298" i="3"/>
  <c r="P298" i="3"/>
  <c r="Q298" i="3"/>
  <c r="R298" i="3"/>
  <c r="H302" i="3"/>
  <c r="L302" i="3"/>
  <c r="M302" i="3"/>
  <c r="N302" i="3"/>
  <c r="O302" i="3"/>
  <c r="P302" i="3"/>
  <c r="Q302" i="3"/>
  <c r="R302" i="3"/>
  <c r="H126" i="3"/>
  <c r="L126" i="3"/>
  <c r="M126" i="3"/>
  <c r="N126" i="3"/>
  <c r="O126" i="3"/>
  <c r="P126" i="3"/>
  <c r="Q126" i="3"/>
  <c r="R126" i="3"/>
  <c r="H351" i="3"/>
  <c r="L351" i="3"/>
  <c r="M351" i="3"/>
  <c r="N351" i="3"/>
  <c r="O351" i="3"/>
  <c r="P351" i="3"/>
  <c r="Q351" i="3"/>
  <c r="R351" i="3"/>
  <c r="H375" i="3"/>
  <c r="L375" i="3"/>
  <c r="M375" i="3"/>
  <c r="N375" i="3"/>
  <c r="O375" i="3"/>
  <c r="P375" i="3"/>
  <c r="Q375" i="3"/>
  <c r="R375" i="3"/>
  <c r="H266" i="3"/>
  <c r="L266" i="3"/>
  <c r="M266" i="3"/>
  <c r="N266" i="3"/>
  <c r="O266" i="3"/>
  <c r="P266" i="3"/>
  <c r="Q266" i="3"/>
  <c r="R266" i="3"/>
  <c r="H369" i="3"/>
  <c r="L369" i="3"/>
  <c r="M369" i="3"/>
  <c r="N369" i="3"/>
  <c r="O369" i="3"/>
  <c r="P369" i="3"/>
  <c r="Q369" i="3"/>
  <c r="R369" i="3"/>
  <c r="H315" i="3"/>
  <c r="L315" i="3"/>
  <c r="M315" i="3"/>
  <c r="N315" i="3"/>
  <c r="O315" i="3"/>
  <c r="P315" i="3"/>
  <c r="Q315" i="3"/>
  <c r="R315" i="3"/>
  <c r="H261" i="3"/>
  <c r="L261" i="3"/>
  <c r="M261" i="3"/>
  <c r="N261" i="3"/>
  <c r="O261" i="3"/>
  <c r="P261" i="3"/>
  <c r="Q261" i="3"/>
  <c r="R261" i="3"/>
  <c r="H269" i="3"/>
  <c r="L269" i="3"/>
  <c r="M269" i="3"/>
  <c r="N269" i="3"/>
  <c r="O269" i="3"/>
  <c r="P269" i="3"/>
  <c r="Q269" i="3"/>
  <c r="R269" i="3"/>
  <c r="H518" i="3"/>
  <c r="L518" i="3"/>
  <c r="M518" i="3"/>
  <c r="N518" i="3"/>
  <c r="O518" i="3"/>
  <c r="P518" i="3"/>
  <c r="Q518" i="3"/>
  <c r="R518" i="3"/>
  <c r="H429" i="3"/>
  <c r="L429" i="3"/>
  <c r="M429" i="3"/>
  <c r="N429" i="3"/>
  <c r="O429" i="3"/>
  <c r="P429" i="3"/>
  <c r="Q429" i="3"/>
  <c r="R429" i="3"/>
  <c r="H253" i="3"/>
  <c r="L253" i="3"/>
  <c r="M253" i="3"/>
  <c r="N253" i="3"/>
  <c r="O253" i="3"/>
  <c r="P253" i="3"/>
  <c r="Q253" i="3"/>
  <c r="R253" i="3"/>
  <c r="H120" i="3"/>
  <c r="L120" i="3"/>
  <c r="M120" i="3"/>
  <c r="N120" i="3"/>
  <c r="O120" i="3"/>
  <c r="P120" i="3"/>
  <c r="Q120" i="3"/>
  <c r="R120" i="3"/>
  <c r="H208" i="3"/>
  <c r="L208" i="3"/>
  <c r="M208" i="3"/>
  <c r="N208" i="3"/>
  <c r="O208" i="3"/>
  <c r="P208" i="3"/>
  <c r="Q208" i="3"/>
  <c r="R208" i="3"/>
  <c r="H267" i="3"/>
  <c r="L267" i="3"/>
  <c r="M267" i="3"/>
  <c r="N267" i="3"/>
  <c r="O267" i="3"/>
  <c r="P267" i="3"/>
  <c r="Q267" i="3"/>
  <c r="R267" i="3"/>
  <c r="H543" i="3"/>
  <c r="L543" i="3"/>
  <c r="M543" i="3"/>
  <c r="N543" i="3"/>
  <c r="O543" i="3"/>
  <c r="P543" i="3"/>
  <c r="Q543" i="3"/>
  <c r="R543" i="3"/>
  <c r="H485" i="3"/>
  <c r="L485" i="3"/>
  <c r="M485" i="3"/>
  <c r="N485" i="3"/>
  <c r="O485" i="3"/>
  <c r="P485" i="3"/>
  <c r="Q485" i="3"/>
  <c r="R485" i="3"/>
  <c r="H436" i="3"/>
  <c r="L436" i="3"/>
  <c r="M436" i="3"/>
  <c r="N436" i="3"/>
  <c r="O436" i="3"/>
  <c r="P436" i="3"/>
  <c r="Q436" i="3"/>
  <c r="R436" i="3"/>
  <c r="H49" i="3"/>
  <c r="L49" i="3"/>
  <c r="M49" i="3"/>
  <c r="N49" i="3"/>
  <c r="O49" i="3"/>
  <c r="P49" i="3"/>
  <c r="Q49" i="3"/>
  <c r="R49" i="3"/>
  <c r="H523" i="3"/>
  <c r="L523" i="3"/>
  <c r="M523" i="3"/>
  <c r="N523" i="3"/>
  <c r="O523" i="3"/>
  <c r="P523" i="3"/>
  <c r="Q523" i="3"/>
  <c r="R523" i="3"/>
  <c r="H389" i="3"/>
  <c r="L389" i="3"/>
  <c r="M389" i="3"/>
  <c r="N389" i="3"/>
  <c r="O389" i="3"/>
  <c r="P389" i="3"/>
  <c r="Q389" i="3"/>
  <c r="R389" i="3"/>
  <c r="R517" i="3"/>
  <c r="Q517" i="3"/>
  <c r="P517" i="3"/>
  <c r="O517" i="3"/>
  <c r="N517" i="3"/>
  <c r="M517" i="3"/>
  <c r="L517" i="3"/>
  <c r="H517" i="3"/>
  <c r="S25" i="3" l="1"/>
  <c r="S62" i="3"/>
  <c r="S4" i="3"/>
  <c r="S31" i="3"/>
  <c r="S34" i="3"/>
  <c r="S42" i="3"/>
  <c r="S45" i="3"/>
  <c r="S18" i="3"/>
  <c r="S13" i="3"/>
  <c r="S17" i="3"/>
  <c r="S527" i="3"/>
  <c r="S151" i="3"/>
  <c r="S312" i="3"/>
  <c r="S226" i="3"/>
  <c r="S170" i="3"/>
  <c r="S418" i="3"/>
  <c r="S7" i="3"/>
  <c r="S214" i="3"/>
  <c r="S238" i="3"/>
  <c r="S91" i="3"/>
  <c r="S73" i="3"/>
  <c r="S370" i="3"/>
  <c r="S542" i="3"/>
  <c r="S545" i="3"/>
  <c r="S509" i="3"/>
  <c r="S100" i="3"/>
  <c r="S75" i="3"/>
  <c r="S199" i="3"/>
  <c r="S519" i="3"/>
  <c r="S379" i="3"/>
  <c r="S524" i="3"/>
  <c r="S343" i="3"/>
  <c r="S200" i="3"/>
  <c r="S357" i="3"/>
  <c r="S459" i="3"/>
  <c r="S28" i="3"/>
  <c r="S444" i="3"/>
  <c r="S352" i="3"/>
  <c r="S367" i="3"/>
  <c r="S424" i="3"/>
  <c r="S177" i="3"/>
  <c r="S348" i="3"/>
  <c r="S286" i="3"/>
  <c r="S475" i="3"/>
  <c r="S423" i="3"/>
  <c r="S52" i="3"/>
  <c r="S57" i="3"/>
  <c r="S54" i="3"/>
  <c r="S440" i="3"/>
  <c r="S163" i="3"/>
  <c r="S552" i="3"/>
  <c r="S150" i="3"/>
  <c r="S506" i="3"/>
  <c r="S319" i="3"/>
  <c r="S264" i="3"/>
  <c r="S255" i="3"/>
  <c r="S99" i="3"/>
  <c r="S89" i="3"/>
  <c r="S229" i="3"/>
  <c r="S124" i="3"/>
  <c r="S165" i="3"/>
  <c r="S193" i="3"/>
  <c r="S290" i="3"/>
  <c r="S310" i="3"/>
  <c r="S6" i="3"/>
  <c r="S47" i="3"/>
  <c r="S60" i="3"/>
  <c r="S51" i="3"/>
  <c r="S69" i="3"/>
  <c r="S65" i="3"/>
  <c r="S46" i="3"/>
  <c r="S551" i="3"/>
  <c r="S158" i="3"/>
  <c r="S5" i="3"/>
  <c r="S567" i="3"/>
  <c r="S20" i="3"/>
  <c r="S32" i="3"/>
  <c r="S3" i="3"/>
  <c r="S33" i="3"/>
  <c r="S149" i="3"/>
  <c r="S102" i="3"/>
  <c r="S64" i="3"/>
  <c r="S386" i="3"/>
  <c r="S40" i="3"/>
  <c r="S66" i="3"/>
  <c r="S130" i="3"/>
  <c r="S39" i="3"/>
  <c r="S548" i="3"/>
  <c r="S497" i="3"/>
  <c r="S536" i="3"/>
  <c r="S554" i="3"/>
  <c r="S321" i="3"/>
  <c r="S314" i="3"/>
  <c r="S330" i="3"/>
  <c r="S88" i="3"/>
  <c r="T517" i="3"/>
  <c r="S14" i="3"/>
  <c r="S27" i="3"/>
  <c r="S68" i="3"/>
  <c r="S191" i="3"/>
  <c r="S103" i="3"/>
  <c r="S164" i="3"/>
  <c r="S175" i="3"/>
  <c r="S183" i="3"/>
  <c r="S322" i="3"/>
  <c r="S404" i="3"/>
  <c r="S403" i="3"/>
  <c r="S453" i="3"/>
  <c r="S317" i="3"/>
  <c r="S316" i="3"/>
  <c r="S313" i="3"/>
  <c r="S295" i="3"/>
  <c r="S356" i="3"/>
  <c r="S2" i="3"/>
  <c r="S320" i="3"/>
  <c r="S383" i="3"/>
  <c r="S486" i="3"/>
  <c r="S98" i="3"/>
  <c r="S111" i="3"/>
  <c r="S142" i="3"/>
  <c r="S139" i="3"/>
  <c r="S156" i="3"/>
  <c r="S19" i="3"/>
  <c r="S249" i="3"/>
  <c r="S105" i="3"/>
  <c r="S118" i="3"/>
  <c r="S171" i="3"/>
  <c r="S155" i="3"/>
  <c r="S167" i="3"/>
  <c r="S528" i="3"/>
  <c r="S532" i="3"/>
  <c r="S187" i="3"/>
  <c r="S222" i="3"/>
  <c r="S245" i="3"/>
  <c r="S258" i="3"/>
  <c r="S220" i="3"/>
  <c r="S112" i="3"/>
  <c r="S231" i="3"/>
  <c r="S327" i="3"/>
  <c r="S128" i="3"/>
  <c r="S180" i="3"/>
  <c r="S347" i="3"/>
  <c r="S366" i="3"/>
  <c r="S401" i="3"/>
  <c r="S10" i="3"/>
  <c r="S145" i="3"/>
  <c r="S81" i="3"/>
  <c r="S122" i="3"/>
  <c r="T387" i="3"/>
  <c r="T48" i="3"/>
  <c r="T549" i="3"/>
  <c r="T461" i="3"/>
  <c r="T483" i="3"/>
  <c r="T305" i="3"/>
  <c r="T439" i="3"/>
  <c r="T181" i="3"/>
  <c r="T393" i="3"/>
  <c r="T291" i="3"/>
  <c r="T354" i="3"/>
  <c r="T234" i="3"/>
  <c r="T323" i="3"/>
  <c r="T259" i="3"/>
  <c r="T288" i="3"/>
  <c r="T282" i="3"/>
  <c r="T168" i="3"/>
  <c r="T210" i="3"/>
  <c r="T204" i="3"/>
  <c r="T202" i="3"/>
  <c r="T67" i="3"/>
  <c r="T72" i="3"/>
  <c r="T70" i="3"/>
  <c r="T438" i="3"/>
  <c r="T129" i="3"/>
  <c r="T503" i="3"/>
  <c r="T227" i="3"/>
  <c r="T344" i="3"/>
  <c r="T308" i="3"/>
  <c r="T360" i="3"/>
  <c r="T281" i="3"/>
  <c r="T74" i="3"/>
  <c r="T92" i="3"/>
  <c r="T50" i="3"/>
  <c r="T411" i="3"/>
  <c r="T36" i="3"/>
  <c r="T273" i="3"/>
  <c r="T447" i="3"/>
  <c r="T521" i="3"/>
  <c r="T576" i="3"/>
  <c r="T577" i="3"/>
  <c r="T574" i="3"/>
  <c r="T573" i="3"/>
  <c r="T575" i="3"/>
  <c r="T493" i="3"/>
  <c r="T296" i="3"/>
  <c r="T525" i="3"/>
  <c r="T476" i="3"/>
  <c r="T392" i="3"/>
  <c r="T533" i="3"/>
  <c r="T547" i="3"/>
  <c r="T350" i="3"/>
  <c r="T278" i="3"/>
  <c r="T140" i="3"/>
  <c r="T194" i="3"/>
  <c r="T136" i="3"/>
  <c r="T106" i="3"/>
  <c r="T201" i="3"/>
  <c r="T232" i="3"/>
  <c r="T143" i="3"/>
  <c r="T166" i="3"/>
  <c r="T125" i="3"/>
  <c r="T86" i="3"/>
  <c r="T43" i="3"/>
  <c r="T59" i="3"/>
  <c r="T337" i="3"/>
  <c r="T205" i="3"/>
  <c r="T340" i="3"/>
  <c r="T569" i="3"/>
  <c r="T133" i="3"/>
  <c r="T514" i="3"/>
  <c r="T190" i="3"/>
  <c r="T172" i="3"/>
  <c r="T230" i="3"/>
  <c r="T331" i="3"/>
  <c r="T363" i="3"/>
  <c r="T410" i="3"/>
  <c r="T274" i="3"/>
  <c r="T304" i="3"/>
  <c r="T306" i="3"/>
  <c r="T336" i="3"/>
  <c r="T359" i="3"/>
  <c r="T397" i="3"/>
  <c r="T405" i="3"/>
  <c r="T433" i="3"/>
  <c r="T119" i="3"/>
  <c r="T489" i="3"/>
  <c r="T488" i="3"/>
  <c r="T487" i="3"/>
  <c r="T448" i="3"/>
  <c r="T408" i="3"/>
  <c r="T450" i="3"/>
  <c r="T445" i="3"/>
  <c r="T498" i="3"/>
  <c r="T427" i="3"/>
  <c r="T480" i="3"/>
  <c r="T505" i="3"/>
  <c r="T416" i="3"/>
  <c r="T465" i="3"/>
  <c r="T491" i="3"/>
  <c r="T531" i="3"/>
  <c r="T407" i="3"/>
  <c r="T426" i="3"/>
  <c r="T460" i="3"/>
  <c r="T477" i="3"/>
  <c r="T516" i="3"/>
  <c r="T537" i="3"/>
  <c r="T492" i="3"/>
  <c r="T546" i="3"/>
  <c r="T557" i="3"/>
  <c r="T501" i="3"/>
  <c r="T79" i="3"/>
  <c r="T241" i="3"/>
  <c r="T12" i="3"/>
  <c r="T570" i="3"/>
  <c r="T303" i="3"/>
  <c r="T223" i="3"/>
  <c r="T123" i="3"/>
  <c r="T195" i="3"/>
  <c r="T240" i="3"/>
  <c r="T235" i="3"/>
  <c r="T256" i="3"/>
  <c r="T328" i="3"/>
  <c r="T104" i="3"/>
  <c r="T335" i="3"/>
  <c r="T349" i="3"/>
  <c r="T563" i="3"/>
  <c r="T113" i="3"/>
  <c r="T353" i="3"/>
  <c r="T400" i="3"/>
  <c r="T555" i="3"/>
  <c r="T380" i="3"/>
  <c r="T479" i="3"/>
  <c r="T446" i="3"/>
  <c r="T510" i="3"/>
  <c r="T412" i="3"/>
  <c r="T9" i="3"/>
  <c r="T11" i="3"/>
  <c r="T14" i="3"/>
  <c r="T27" i="3"/>
  <c r="T68" i="3"/>
  <c r="T191" i="3"/>
  <c r="T103" i="3"/>
  <c r="T164" i="3"/>
  <c r="T175" i="3"/>
  <c r="T183" i="3"/>
  <c r="T322" i="3"/>
  <c r="T404" i="3"/>
  <c r="T403" i="3"/>
  <c r="T453" i="3"/>
  <c r="T25" i="3"/>
  <c r="T62" i="3"/>
  <c r="T4" i="3"/>
  <c r="T548" i="3"/>
  <c r="T497" i="3"/>
  <c r="T536" i="3"/>
  <c r="T554" i="3"/>
  <c r="T321" i="3"/>
  <c r="T31" i="3"/>
  <c r="T34" i="3"/>
  <c r="T42" i="3"/>
  <c r="T314" i="3"/>
  <c r="T330" i="3"/>
  <c r="T88" i="3"/>
  <c r="T45" i="3"/>
  <c r="T317" i="3"/>
  <c r="T316" i="3"/>
  <c r="T313" i="3"/>
  <c r="T295" i="3"/>
  <c r="T356" i="3"/>
  <c r="T2" i="3"/>
  <c r="T18" i="3"/>
  <c r="T320" i="3"/>
  <c r="T383" i="3"/>
  <c r="T486" i="3"/>
  <c r="T98" i="3"/>
  <c r="T111" i="3"/>
  <c r="T142" i="3"/>
  <c r="T139" i="3"/>
  <c r="T156" i="3"/>
  <c r="T19" i="3"/>
  <c r="T249" i="3"/>
  <c r="T105" i="3"/>
  <c r="T118" i="3"/>
  <c r="T171" i="3"/>
  <c r="T155" i="3"/>
  <c r="T167" i="3"/>
  <c r="T528" i="3"/>
  <c r="T13" i="3"/>
  <c r="T17" i="3"/>
  <c r="T532" i="3"/>
  <c r="T187" i="3"/>
  <c r="T222" i="3"/>
  <c r="T245" i="3"/>
  <c r="T258" i="3"/>
  <c r="T220" i="3"/>
  <c r="T112" i="3"/>
  <c r="T231" i="3"/>
  <c r="T327" i="3"/>
  <c r="T128" i="3"/>
  <c r="T527" i="3"/>
  <c r="T151" i="3"/>
  <c r="T312" i="3"/>
  <c r="T226" i="3"/>
  <c r="T170" i="3"/>
  <c r="T418" i="3"/>
  <c r="T7" i="3"/>
  <c r="T214" i="3"/>
  <c r="T238" i="3"/>
  <c r="T91" i="3"/>
  <c r="T73" i="3"/>
  <c r="T334" i="3"/>
  <c r="T373" i="3"/>
  <c r="T35" i="3"/>
  <c r="T409" i="3"/>
  <c r="T121" i="3"/>
  <c r="T425" i="3"/>
  <c r="T265" i="3"/>
  <c r="T301" i="3"/>
  <c r="T406" i="3"/>
  <c r="T432" i="3"/>
  <c r="T520" i="3"/>
  <c r="T431" i="3"/>
  <c r="T565" i="3"/>
  <c r="T402" i="3"/>
  <c r="T468" i="3"/>
  <c r="T568" i="3"/>
  <c r="T571" i="3"/>
  <c r="T97" i="3"/>
  <c r="T16" i="3"/>
  <c r="T21" i="3"/>
  <c r="T23" i="3"/>
  <c r="T38" i="3"/>
  <c r="T76" i="3"/>
  <c r="T53" i="3"/>
  <c r="T146" i="3"/>
  <c r="T225" i="3"/>
  <c r="T358" i="3"/>
  <c r="T550" i="3"/>
  <c r="T326" i="3"/>
  <c r="T370" i="3"/>
  <c r="T542" i="3"/>
  <c r="T545" i="3"/>
  <c r="T509" i="3"/>
  <c r="T100" i="3"/>
  <c r="T75" i="3"/>
  <c r="T199" i="3"/>
  <c r="T519" i="3"/>
  <c r="T379" i="3"/>
  <c r="T524" i="3"/>
  <c r="T343" i="3"/>
  <c r="T200" i="3"/>
  <c r="T357" i="3"/>
  <c r="T459" i="3"/>
  <c r="T28" i="3"/>
  <c r="T444" i="3"/>
  <c r="T352" i="3"/>
  <c r="T367" i="3"/>
  <c r="T424" i="3"/>
  <c r="T177" i="3"/>
  <c r="T348" i="3"/>
  <c r="T286" i="3"/>
  <c r="T475" i="3"/>
  <c r="T423" i="3"/>
  <c r="T52" i="3"/>
  <c r="T57" i="3"/>
  <c r="T54" i="3"/>
  <c r="T440" i="3"/>
  <c r="T163" i="3"/>
  <c r="T552" i="3"/>
  <c r="T150" i="3"/>
  <c r="T506" i="3"/>
  <c r="T319" i="3"/>
  <c r="T264" i="3"/>
  <c r="T255" i="3"/>
  <c r="T99" i="3"/>
  <c r="T89" i="3"/>
  <c r="T66" i="3"/>
  <c r="T229" i="3"/>
  <c r="T300" i="3"/>
  <c r="T415" i="3"/>
  <c r="T384" i="3"/>
  <c r="T342" i="3"/>
  <c r="T421" i="3"/>
  <c r="T179" i="3"/>
  <c r="T8" i="3"/>
  <c r="T107" i="3"/>
  <c r="T77" i="3"/>
  <c r="T83" i="3"/>
  <c r="T87" i="3"/>
  <c r="T95" i="3"/>
  <c r="T162" i="3"/>
  <c r="T159" i="3"/>
  <c r="T182" i="3"/>
  <c r="T108" i="3"/>
  <c r="T138" i="3"/>
  <c r="T124" i="3"/>
  <c r="T161" i="3"/>
  <c r="T165" i="3"/>
  <c r="T193" i="3"/>
  <c r="T198" i="3"/>
  <c r="T244" i="3"/>
  <c r="T272" i="3"/>
  <c r="T213" i="3"/>
  <c r="T290" i="3"/>
  <c r="T310" i="3"/>
  <c r="T325" i="3"/>
  <c r="T131" i="3"/>
  <c r="T391" i="3"/>
  <c r="T389" i="3"/>
  <c r="T523" i="3"/>
  <c r="T49" i="3"/>
  <c r="T436" i="3"/>
  <c r="T485" i="3"/>
  <c r="T543" i="3"/>
  <c r="T267" i="3"/>
  <c r="T208" i="3"/>
  <c r="T120" i="3"/>
  <c r="T253" i="3"/>
  <c r="T429" i="3"/>
  <c r="T518" i="3"/>
  <c r="T269" i="3"/>
  <c r="T261" i="3"/>
  <c r="T315" i="3"/>
  <c r="T369" i="3"/>
  <c r="T266" i="3"/>
  <c r="T375" i="3"/>
  <c r="T351" i="3"/>
  <c r="T126" i="3"/>
  <c r="T302" i="3"/>
  <c r="T298" i="3"/>
  <c r="T176" i="3"/>
  <c r="T243" i="3"/>
  <c r="T254" i="3"/>
  <c r="T260" i="3"/>
  <c r="T495" i="3"/>
  <c r="T250" i="3"/>
  <c r="T451" i="3"/>
  <c r="T556" i="3"/>
  <c r="T471" i="3"/>
  <c r="T341" i="3"/>
  <c r="T365" i="3"/>
  <c r="T481" i="3"/>
  <c r="T61" i="3"/>
  <c r="T242" i="3"/>
  <c r="T58" i="3"/>
  <c r="T268" i="3"/>
  <c r="T388" i="3"/>
  <c r="T494" i="3"/>
  <c r="T329" i="3"/>
  <c r="T275" i="3"/>
  <c r="T297" i="3"/>
  <c r="T188" i="3"/>
  <c r="T228" i="3"/>
  <c r="T473" i="3"/>
  <c r="T502" i="3"/>
  <c r="T399" i="3"/>
  <c r="T541" i="3"/>
  <c r="T507" i="3"/>
  <c r="T478" i="3"/>
  <c r="T454" i="3"/>
  <c r="T287" i="3"/>
  <c r="T109" i="3"/>
  <c r="T148" i="3"/>
  <c r="T309" i="3"/>
  <c r="T110" i="3"/>
  <c r="T428" i="3"/>
  <c r="T289" i="3"/>
  <c r="T137" i="3"/>
  <c r="T307" i="3"/>
  <c r="T246" i="3"/>
  <c r="T381" i="3"/>
  <c r="T364" i="3"/>
  <c r="T280" i="3"/>
  <c r="T374" i="3"/>
  <c r="T332" i="3"/>
  <c r="T368" i="3"/>
  <c r="T207" i="3"/>
  <c r="T385" i="3"/>
  <c r="T173" i="3"/>
  <c r="T511" i="3"/>
  <c r="T490" i="3"/>
  <c r="T559" i="3"/>
  <c r="T435" i="3"/>
  <c r="T526" i="3"/>
  <c r="T394" i="3"/>
  <c r="T215" i="3"/>
  <c r="T15" i="3"/>
  <c r="T114" i="3"/>
  <c r="T196" i="3"/>
  <c r="T132" i="3"/>
  <c r="T203" i="3"/>
  <c r="T522" i="3"/>
  <c r="T564" i="3"/>
  <c r="T561" i="3"/>
  <c r="T361" i="3"/>
  <c r="T283" i="3"/>
  <c r="T398" i="3"/>
  <c r="T377" i="3"/>
  <c r="T558" i="3"/>
  <c r="T484" i="3"/>
  <c r="T434" i="3"/>
  <c r="T513" i="3"/>
  <c r="T482" i="3"/>
  <c r="T499" i="3"/>
  <c r="T530" i="3"/>
  <c r="T472" i="3"/>
  <c r="T449" i="3"/>
  <c r="T6" i="3"/>
  <c r="T390" i="3"/>
  <c r="T93" i="3"/>
  <c r="T47" i="3"/>
  <c r="T60" i="3"/>
  <c r="T55" i="3"/>
  <c r="T51" i="3"/>
  <c r="T466" i="3"/>
  <c r="T294" i="3"/>
  <c r="T443" i="3"/>
  <c r="T464" i="3"/>
  <c r="T263" i="3"/>
  <c r="T396" i="3"/>
  <c r="T84" i="3"/>
  <c r="T82" i="3"/>
  <c r="T69" i="3"/>
  <c r="T65" i="3"/>
  <c r="T46" i="3"/>
  <c r="T29" i="3"/>
  <c r="T551" i="3"/>
  <c r="T515" i="3"/>
  <c r="T535" i="3"/>
  <c r="T160" i="3"/>
  <c r="T158" i="3"/>
  <c r="T212" i="3"/>
  <c r="T206" i="3"/>
  <c r="T219" i="3"/>
  <c r="T277" i="3"/>
  <c r="T293" i="3"/>
  <c r="T239" i="3"/>
  <c r="T197" i="3"/>
  <c r="T5" i="3"/>
  <c r="T567" i="3"/>
  <c r="T20" i="3"/>
  <c r="T32" i="3"/>
  <c r="T3" i="3"/>
  <c r="T467" i="3"/>
  <c r="T437" i="3"/>
  <c r="T442" i="3"/>
  <c r="T37" i="3"/>
  <c r="T33" i="3"/>
  <c r="T115" i="3"/>
  <c r="T149" i="3"/>
  <c r="T41" i="3"/>
  <c r="T102" i="3"/>
  <c r="T157" i="3"/>
  <c r="T218" i="3"/>
  <c r="T216" i="3"/>
  <c r="T64" i="3"/>
  <c r="T386" i="3"/>
  <c r="T130" i="3"/>
  <c r="T217" i="3"/>
  <c r="T180" i="3"/>
  <c r="T189" i="3"/>
  <c r="T276" i="3"/>
  <c r="T347" i="3"/>
  <c r="T362" i="3"/>
  <c r="T395" i="3"/>
  <c r="T562" i="3"/>
  <c r="T346" i="3"/>
  <c r="T366" i="3"/>
  <c r="T372" i="3"/>
  <c r="T376" i="3"/>
  <c r="T371" i="3"/>
  <c r="T355" i="3"/>
  <c r="T419" i="3"/>
  <c r="T414" i="3"/>
  <c r="T224" i="3"/>
  <c r="T299" i="3"/>
  <c r="T285" i="3"/>
  <c r="T345" i="3"/>
  <c r="T169" i="3"/>
  <c r="T211" i="3"/>
  <c r="T248" i="3"/>
  <c r="T209" i="3"/>
  <c r="T237" i="3"/>
  <c r="T271" i="3"/>
  <c r="T257" i="3"/>
  <c r="T270" i="3"/>
  <c r="T247" i="3"/>
  <c r="T430" i="3"/>
  <c r="T496" i="3"/>
  <c r="T452" i="3"/>
  <c r="T401" i="3"/>
  <c r="T333" i="3"/>
  <c r="T279" i="3"/>
  <c r="T252" i="3"/>
  <c r="T378" i="3"/>
  <c r="T135" i="3"/>
  <c r="T174" i="3"/>
  <c r="T94" i="3"/>
  <c r="T101" i="3"/>
  <c r="T63" i="3"/>
  <c r="T71" i="3"/>
  <c r="T56" i="3"/>
  <c r="T40" i="3"/>
  <c r="T39" i="3"/>
  <c r="T186" i="3"/>
  <c r="T10" i="3"/>
  <c r="T572" i="3"/>
  <c r="T145" i="3"/>
  <c r="T96" i="3"/>
  <c r="T81" i="3"/>
  <c r="T116" i="3"/>
  <c r="T144" i="3"/>
  <c r="T122" i="3"/>
  <c r="T127" i="3"/>
  <c r="T154" i="3"/>
  <c r="T30" i="3"/>
  <c r="T508" i="3"/>
  <c r="T178" i="3"/>
  <c r="T24" i="3"/>
  <c r="T78" i="3"/>
  <c r="T134" i="3"/>
  <c r="T141" i="3"/>
  <c r="T185" i="3"/>
  <c r="T540" i="3"/>
  <c r="T262" i="3"/>
  <c r="T251" i="3"/>
  <c r="T500" i="3"/>
  <c r="T512" i="3"/>
  <c r="T553" i="3"/>
  <c r="T544" i="3"/>
  <c r="T566" i="3"/>
  <c r="T455" i="3"/>
  <c r="T417" i="3"/>
  <c r="T529" i="3"/>
  <c r="T441" i="3"/>
  <c r="T22" i="3"/>
  <c r="T458" i="3"/>
  <c r="T504" i="3"/>
  <c r="T85" i="3"/>
  <c r="T153" i="3"/>
  <c r="T457" i="3"/>
  <c r="T560" i="3"/>
  <c r="T534" i="3"/>
  <c r="T469" i="3"/>
  <c r="T192" i="3"/>
  <c r="T221" i="3"/>
  <c r="T318" i="3"/>
  <c r="T90" i="3"/>
  <c r="T80" i="3"/>
  <c r="T539" i="3"/>
  <c r="T538" i="3"/>
  <c r="T117" i="3"/>
  <c r="T463" i="3"/>
  <c r="T26" i="3"/>
  <c r="T420" i="3"/>
  <c r="T147" i="3"/>
  <c r="T422" i="3"/>
  <c r="T413" i="3"/>
  <c r="T470" i="3"/>
  <c r="T462" i="3"/>
  <c r="T474" i="3"/>
  <c r="T456" i="3"/>
  <c r="T339" i="3"/>
  <c r="T292" i="3"/>
  <c r="T152" i="3"/>
  <c r="T44" i="3"/>
  <c r="T338" i="3"/>
  <c r="T284" i="3"/>
  <c r="T184" i="3"/>
  <c r="T382" i="3"/>
  <c r="T311" i="3"/>
  <c r="T236" i="3"/>
  <c r="T324" i="3"/>
  <c r="T233" i="3"/>
  <c r="S411" i="3"/>
  <c r="S273" i="3"/>
  <c r="S576" i="3"/>
  <c r="S575" i="3"/>
  <c r="S296" i="3"/>
  <c r="S525" i="3"/>
  <c r="S533" i="3"/>
  <c r="S547" i="3"/>
  <c r="S278" i="3"/>
  <c r="S92" i="3"/>
  <c r="S50" i="3"/>
  <c r="S36" i="3"/>
  <c r="S447" i="3"/>
  <c r="S521" i="3"/>
  <c r="S577" i="3"/>
  <c r="S574" i="3"/>
  <c r="S573" i="3"/>
  <c r="S493" i="3"/>
  <c r="S476" i="3"/>
  <c r="S392" i="3"/>
  <c r="S350" i="3"/>
  <c r="S305" i="3"/>
  <c r="S439" i="3"/>
  <c r="S181" i="3"/>
  <c r="S393" i="3"/>
  <c r="S291" i="3"/>
  <c r="S354" i="3"/>
  <c r="S234" i="3"/>
  <c r="S323" i="3"/>
  <c r="S259" i="3"/>
  <c r="S288" i="3"/>
  <c r="S282" i="3"/>
  <c r="S168" i="3"/>
  <c r="S210" i="3"/>
  <c r="S204" i="3"/>
  <c r="S202" i="3"/>
  <c r="S67" i="3"/>
  <c r="S72" i="3"/>
  <c r="S70" i="3"/>
  <c r="S438" i="3"/>
  <c r="S129" i="3"/>
  <c r="S503" i="3"/>
  <c r="S227" i="3"/>
  <c r="S344" i="3"/>
  <c r="S308" i="3"/>
  <c r="S360" i="3"/>
  <c r="S281" i="3"/>
  <c r="S74" i="3"/>
  <c r="S140" i="3"/>
  <c r="S194" i="3"/>
  <c r="S136" i="3"/>
  <c r="S106" i="3"/>
  <c r="S201" i="3"/>
  <c r="S232" i="3"/>
  <c r="S143" i="3"/>
  <c r="S166" i="3"/>
  <c r="S125" i="3"/>
  <c r="S86" i="3"/>
  <c r="S43" i="3"/>
  <c r="S59" i="3"/>
  <c r="S337" i="3"/>
  <c r="S205" i="3"/>
  <c r="S340" i="3"/>
  <c r="S569" i="3"/>
  <c r="S133" i="3"/>
  <c r="S514" i="3"/>
  <c r="S190" i="3"/>
  <c r="S172" i="3"/>
  <c r="S230" i="3"/>
  <c r="S331" i="3"/>
  <c r="S363" i="3"/>
  <c r="S410" i="3"/>
  <c r="S274" i="3"/>
  <c r="S304" i="3"/>
  <c r="S306" i="3"/>
  <c r="S336" i="3"/>
  <c r="S359" i="3"/>
  <c r="S397" i="3"/>
  <c r="S405" i="3"/>
  <c r="S433" i="3"/>
  <c r="S119" i="3"/>
  <c r="S489" i="3"/>
  <c r="S488" i="3"/>
  <c r="S487" i="3"/>
  <c r="S448" i="3"/>
  <c r="S408" i="3"/>
  <c r="S450" i="3"/>
  <c r="S445" i="3"/>
  <c r="S498" i="3"/>
  <c r="S427" i="3"/>
  <c r="S480" i="3"/>
  <c r="S505" i="3"/>
  <c r="S416" i="3"/>
  <c r="S465" i="3"/>
  <c r="S491" i="3"/>
  <c r="S531" i="3"/>
  <c r="S407" i="3"/>
  <c r="S426" i="3"/>
  <c r="S460" i="3"/>
  <c r="S477" i="3"/>
  <c r="S516" i="3"/>
  <c r="S537" i="3"/>
  <c r="S492" i="3"/>
  <c r="S546" i="3"/>
  <c r="S557" i="3"/>
  <c r="S501" i="3"/>
  <c r="S79" i="3"/>
  <c r="S241" i="3"/>
  <c r="S12" i="3"/>
  <c r="S570" i="3"/>
  <c r="S303" i="3"/>
  <c r="S223" i="3"/>
  <c r="S123" i="3"/>
  <c r="S195" i="3"/>
  <c r="S240" i="3"/>
  <c r="S235" i="3"/>
  <c r="S256" i="3"/>
  <c r="S328" i="3"/>
  <c r="S104" i="3"/>
  <c r="S335" i="3"/>
  <c r="S349" i="3"/>
  <c r="S563" i="3"/>
  <c r="S113" i="3"/>
  <c r="S353" i="3"/>
  <c r="S400" i="3"/>
  <c r="S555" i="3"/>
  <c r="S380" i="3"/>
  <c r="S479" i="3"/>
  <c r="S446" i="3"/>
  <c r="S510" i="3"/>
  <c r="S412" i="3"/>
  <c r="S9" i="3"/>
  <c r="S11" i="3"/>
  <c r="S375" i="3"/>
  <c r="S389" i="3"/>
  <c r="S523" i="3"/>
  <c r="S49" i="3"/>
  <c r="S436" i="3"/>
  <c r="S485" i="3"/>
  <c r="S543" i="3"/>
  <c r="S267" i="3"/>
  <c r="S208" i="3"/>
  <c r="S120" i="3"/>
  <c r="S253" i="3"/>
  <c r="S429" i="3"/>
  <c r="S518" i="3"/>
  <c r="S269" i="3"/>
  <c r="S261" i="3"/>
  <c r="S315" i="3"/>
  <c r="S369" i="3"/>
  <c r="S266" i="3"/>
  <c r="S351" i="3"/>
  <c r="S126" i="3"/>
  <c r="S302" i="3"/>
  <c r="S298" i="3"/>
  <c r="S176" i="3"/>
  <c r="S243" i="3"/>
  <c r="S254" i="3"/>
  <c r="S260" i="3"/>
  <c r="S495" i="3"/>
  <c r="S250" i="3"/>
  <c r="S451" i="3"/>
  <c r="S556" i="3"/>
  <c r="S471" i="3"/>
  <c r="S341" i="3"/>
  <c r="S365" i="3"/>
  <c r="S481" i="3"/>
  <c r="S61" i="3"/>
  <c r="S242" i="3"/>
  <c r="S58" i="3"/>
  <c r="S268" i="3"/>
  <c r="S388" i="3"/>
  <c r="S494" i="3"/>
  <c r="S329" i="3"/>
  <c r="S275" i="3"/>
  <c r="S297" i="3"/>
  <c r="S188" i="3"/>
  <c r="S228" i="3"/>
  <c r="S473" i="3"/>
  <c r="S502" i="3"/>
  <c r="S399" i="3"/>
  <c r="S541" i="3"/>
  <c r="S507" i="3"/>
  <c r="S478" i="3"/>
  <c r="S454" i="3"/>
  <c r="S287" i="3"/>
  <c r="S109" i="3"/>
  <c r="S148" i="3"/>
  <c r="S309" i="3"/>
  <c r="S110" i="3"/>
  <c r="S428" i="3"/>
  <c r="S289" i="3"/>
  <c r="S137" i="3"/>
  <c r="S307" i="3"/>
  <c r="S246" i="3"/>
  <c r="S381" i="3"/>
  <c r="S364" i="3"/>
  <c r="S280" i="3"/>
  <c r="S374" i="3"/>
  <c r="S332" i="3"/>
  <c r="S368" i="3"/>
  <c r="S387" i="3"/>
  <c r="S207" i="3"/>
  <c r="S385" i="3"/>
  <c r="S173" i="3"/>
  <c r="S511" i="3"/>
  <c r="S490" i="3"/>
  <c r="S559" i="3"/>
  <c r="S435" i="3"/>
  <c r="S526" i="3"/>
  <c r="S394" i="3"/>
  <c r="S215" i="3"/>
  <c r="S15" i="3"/>
  <c r="S48" i="3"/>
  <c r="S114" i="3"/>
  <c r="S196" i="3"/>
  <c r="S132" i="3"/>
  <c r="S203" i="3"/>
  <c r="S549" i="3"/>
  <c r="S522" i="3"/>
  <c r="S564" i="3"/>
  <c r="S561" i="3"/>
  <c r="S361" i="3"/>
  <c r="S283" i="3"/>
  <c r="S398" i="3"/>
  <c r="S377" i="3"/>
  <c r="S558" i="3"/>
  <c r="S461" i="3"/>
  <c r="S484" i="3"/>
  <c r="S434" i="3"/>
  <c r="S513" i="3"/>
  <c r="S483" i="3"/>
  <c r="S482" i="3"/>
  <c r="S499" i="3"/>
  <c r="S117" i="3"/>
  <c r="S334" i="3"/>
  <c r="S373" i="3"/>
  <c r="S35" i="3"/>
  <c r="S409" i="3"/>
  <c r="S121" i="3"/>
  <c r="S425" i="3"/>
  <c r="S265" i="3"/>
  <c r="S301" i="3"/>
  <c r="S406" i="3"/>
  <c r="S432" i="3"/>
  <c r="S520" i="3"/>
  <c r="S431" i="3"/>
  <c r="S565" i="3"/>
  <c r="S402" i="3"/>
  <c r="S468" i="3"/>
  <c r="S568" i="3"/>
  <c r="S571" i="3"/>
  <c r="S97" i="3"/>
  <c r="S16" i="3"/>
  <c r="S21" i="3"/>
  <c r="S23" i="3"/>
  <c r="S38" i="3"/>
  <c r="S76" i="3"/>
  <c r="S53" i="3"/>
  <c r="S146" i="3"/>
  <c r="S225" i="3"/>
  <c r="S358" i="3"/>
  <c r="S550" i="3"/>
  <c r="S326" i="3"/>
  <c r="S262" i="3"/>
  <c r="S251" i="3"/>
  <c r="S504" i="3"/>
  <c r="S85" i="3"/>
  <c r="S90" i="3"/>
  <c r="S80" i="3"/>
  <c r="S538" i="3"/>
  <c r="S463" i="3"/>
  <c r="S147" i="3"/>
  <c r="S233" i="3"/>
  <c r="S420" i="3"/>
  <c r="S422" i="3"/>
  <c r="S382" i="3"/>
  <c r="S311" i="3"/>
  <c r="S517" i="3"/>
  <c r="S300" i="3"/>
  <c r="S415" i="3"/>
  <c r="S384" i="3"/>
  <c r="S342" i="3"/>
  <c r="S421" i="3"/>
  <c r="S179" i="3"/>
  <c r="S8" i="3"/>
  <c r="S107" i="3"/>
  <c r="S77" i="3"/>
  <c r="S83" i="3"/>
  <c r="S87" i="3"/>
  <c r="S95" i="3"/>
  <c r="S162" i="3"/>
  <c r="S159" i="3"/>
  <c r="S182" i="3"/>
  <c r="S108" i="3"/>
  <c r="S138" i="3"/>
  <c r="S161" i="3"/>
  <c r="S198" i="3"/>
  <c r="S244" i="3"/>
  <c r="S272" i="3"/>
  <c r="S213" i="3"/>
  <c r="S325" i="3"/>
  <c r="S131" i="3"/>
  <c r="S391" i="3"/>
  <c r="S530" i="3"/>
  <c r="S472" i="3"/>
  <c r="S449" i="3"/>
  <c r="S390" i="3"/>
  <c r="S93" i="3"/>
  <c r="S55" i="3"/>
  <c r="S466" i="3"/>
  <c r="S294" i="3"/>
  <c r="S443" i="3"/>
  <c r="S464" i="3"/>
  <c r="S263" i="3"/>
  <c r="S396" i="3"/>
  <c r="S84" i="3"/>
  <c r="S82" i="3"/>
  <c r="S29" i="3"/>
  <c r="S515" i="3"/>
  <c r="S535" i="3"/>
  <c r="S160" i="3"/>
  <c r="S212" i="3"/>
  <c r="S206" i="3"/>
  <c r="S219" i="3"/>
  <c r="S277" i="3"/>
  <c r="S293" i="3"/>
  <c r="S239" i="3"/>
  <c r="S197" i="3"/>
  <c r="S467" i="3"/>
  <c r="S437" i="3"/>
  <c r="S442" i="3"/>
  <c r="S37" i="3"/>
  <c r="S115" i="3"/>
  <c r="S41" i="3"/>
  <c r="S157" i="3"/>
  <c r="S218" i="3"/>
  <c r="S216" i="3"/>
  <c r="S217" i="3"/>
  <c r="S189" i="3"/>
  <c r="S276" i="3"/>
  <c r="S362" i="3"/>
  <c r="S395" i="3"/>
  <c r="S562" i="3"/>
  <c r="S346" i="3"/>
  <c r="S372" i="3"/>
  <c r="S376" i="3"/>
  <c r="S371" i="3"/>
  <c r="S355" i="3"/>
  <c r="S419" i="3"/>
  <c r="S414" i="3"/>
  <c r="S224" i="3"/>
  <c r="S299" i="3"/>
  <c r="S285" i="3"/>
  <c r="S345" i="3"/>
  <c r="S169" i="3"/>
  <c r="S211" i="3"/>
  <c r="S248" i="3"/>
  <c r="S209" i="3"/>
  <c r="S237" i="3"/>
  <c r="S271" i="3"/>
  <c r="S257" i="3"/>
  <c r="S270" i="3"/>
  <c r="S247" i="3"/>
  <c r="S430" i="3"/>
  <c r="S496" i="3"/>
  <c r="S452" i="3"/>
  <c r="S333" i="3"/>
  <c r="S279" i="3"/>
  <c r="S252" i="3"/>
  <c r="S378" i="3"/>
  <c r="S135" i="3"/>
  <c r="S174" i="3"/>
  <c r="S94" i="3"/>
  <c r="S101" i="3"/>
  <c r="S63" i="3"/>
  <c r="S71" i="3"/>
  <c r="S56" i="3"/>
  <c r="S186" i="3"/>
  <c r="S572" i="3"/>
  <c r="S96" i="3"/>
  <c r="S116" i="3"/>
  <c r="S144" i="3"/>
  <c r="S127" i="3"/>
  <c r="S154" i="3"/>
  <c r="S30" i="3"/>
  <c r="S508" i="3"/>
  <c r="S178" i="3"/>
  <c r="S24" i="3"/>
  <c r="S78" i="3"/>
  <c r="S134" i="3"/>
  <c r="S141" i="3"/>
  <c r="S185" i="3"/>
  <c r="S540" i="3"/>
  <c r="S500" i="3"/>
  <c r="S512" i="3"/>
  <c r="S553" i="3"/>
  <c r="S544" i="3"/>
  <c r="S566" i="3"/>
  <c r="S455" i="3"/>
  <c r="S417" i="3"/>
  <c r="S529" i="3"/>
  <c r="S441" i="3"/>
  <c r="S22" i="3"/>
  <c r="S458" i="3"/>
  <c r="S153" i="3"/>
  <c r="S457" i="3"/>
  <c r="S560" i="3"/>
  <c r="S534" i="3"/>
  <c r="S469" i="3"/>
  <c r="S192" i="3"/>
  <c r="S221" i="3"/>
  <c r="S318" i="3"/>
  <c r="S539" i="3"/>
  <c r="S26" i="3"/>
  <c r="S413" i="3"/>
  <c r="S470" i="3"/>
  <c r="S462" i="3"/>
  <c r="S474" i="3"/>
  <c r="S456" i="3"/>
  <c r="S339" i="3"/>
  <c r="S292" i="3"/>
  <c r="S152" i="3"/>
  <c r="S44" i="3"/>
  <c r="S338" i="3"/>
  <c r="S284" i="3"/>
  <c r="S184" i="3"/>
  <c r="S236" i="3"/>
  <c r="S324" i="3"/>
</calcChain>
</file>

<file path=xl/sharedStrings.xml><?xml version="1.0" encoding="utf-8"?>
<sst xmlns="http://schemas.openxmlformats.org/spreadsheetml/2006/main" count="2924" uniqueCount="1759">
  <si>
    <t>Airfoil</t>
  </si>
  <si>
    <t>camber</t>
  </si>
  <si>
    <t>x_camber</t>
  </si>
  <si>
    <t>tc</t>
  </si>
  <si>
    <t>x_tc</t>
  </si>
  <si>
    <t>LE_radius</t>
  </si>
  <si>
    <t>Comment</t>
  </si>
  <si>
    <t xml:space="preserve"> Drela AG03 (flat aft bottom) airfoil </t>
  </si>
  <si>
    <t xml:space="preserve"> Drela AG04 airfoil </t>
  </si>
  <si>
    <t xml:space="preserve"> Drela AG08 airfoil </t>
  </si>
  <si>
    <t xml:space="preserve"> Drela AG09 airfoil </t>
  </si>
  <si>
    <t xml:space="preserve"> Drela AG10 airfoil </t>
  </si>
  <si>
    <t xml:space="preserve"> Drela AG11 airfoil </t>
  </si>
  <si>
    <t xml:space="preserve"> Drela AG12 airfoil </t>
  </si>
  <si>
    <t xml:space="preserve"> Drela AG13 airfoil </t>
  </si>
  <si>
    <t xml:space="preserve"> Drela AG14 airfoil </t>
  </si>
  <si>
    <t xml:space="preserve"> Drela AG16 airfoil </t>
  </si>
  <si>
    <t xml:space="preserve"> Drela AG17 airfoil </t>
  </si>
  <si>
    <t xml:space="preserve"> Drela AG18 airfoil </t>
  </si>
  <si>
    <t xml:space="preserve"> Drela AG19 airfoil </t>
  </si>
  <si>
    <t xml:space="preserve"> Drela AG35 airfoil </t>
  </si>
  <si>
    <t xml:space="preserve"> Drela AG36 airfoil </t>
  </si>
  <si>
    <t xml:space="preserve"> Drela AG37 airfoil </t>
  </si>
  <si>
    <t xml:space="preserve"> Drela AG38 airfoil </t>
  </si>
  <si>
    <t xml:space="preserve"> Drela AG44ct -02f airfoil </t>
  </si>
  <si>
    <t xml:space="preserve"> Drela AG455ct -02f airfoil </t>
  </si>
  <si>
    <t xml:space="preserve"> Drela AG45c -03f airfoil </t>
  </si>
  <si>
    <t xml:space="preserve"> Drela AG45ct -02f airfoil </t>
  </si>
  <si>
    <t xml:space="preserve"> Drela AG46c -03f airfoil </t>
  </si>
  <si>
    <t xml:space="preserve"> Drela AG46ct -02f airfoil </t>
  </si>
  <si>
    <t xml:space="preserve"> Drela AG47c -03f airfoil </t>
  </si>
  <si>
    <t xml:space="preserve"> Drela AG47ct -02f airfoil </t>
  </si>
  <si>
    <t xml:space="preserve"> Althaus AH 63-K-127/24 airfoil for use with flaps (K) </t>
  </si>
  <si>
    <t xml:space="preserve"> Althaus AH 6-407 airfoil </t>
  </si>
  <si>
    <t xml:space="preserve"> Althaus AH 7-476 airfoil </t>
  </si>
  <si>
    <t xml:space="preserve"> Althaus AH 79-100A airfoil </t>
  </si>
  <si>
    <t xml:space="preserve"> Althaus AH 79-100B airfoil </t>
  </si>
  <si>
    <t xml:space="preserve"> Althaus AH 79-100C airfoil </t>
  </si>
  <si>
    <t xml:space="preserve"> Althaus AH 79-K-132/20 airfoil for use with flaps (K) </t>
  </si>
  <si>
    <t xml:space="preserve"> Althaus AH 79-K-135/20 airfoil for use with flaps (K) </t>
  </si>
  <si>
    <t xml:space="preserve"> Althaus AH 79-K-143/18 airfoil for use with flaps (K) </t>
  </si>
  <si>
    <t xml:space="preserve"> Althaus AH 80-129 airfoil </t>
  </si>
  <si>
    <t xml:space="preserve"> Althaus AH 80-136 airfoil </t>
  </si>
  <si>
    <t xml:space="preserve"> Althaus AH 80-140 airfoil </t>
  </si>
  <si>
    <t xml:space="preserve"> Althaus AH 81-131 airfoil </t>
  </si>
  <si>
    <t xml:space="preserve"> Althaus AH 81-K-144/17 airfoil for use with flaps (K) </t>
  </si>
  <si>
    <t xml:space="preserve"> Althaus AH 81-K-144 W-F KLAPPE airfoil for use with flaps (K) </t>
  </si>
  <si>
    <t xml:space="preserve"> Althaus AH 82-150 A airfoil </t>
  </si>
  <si>
    <t xml:space="preserve"> Althaus AH 82-150 F airfoil </t>
  </si>
  <si>
    <t xml:space="preserve"> Althaus AH 83-150 Q airfoil </t>
  </si>
  <si>
    <t xml:space="preserve"> Althaus AH 83-159 airfoil </t>
  </si>
  <si>
    <t xml:space="preserve"> Althaus AH 85-L-120/17 symmetrical airfoil </t>
  </si>
  <si>
    <t xml:space="preserve"> Althaus AH 88-K-130/20 airfoil for use with flaps (K) </t>
  </si>
  <si>
    <t xml:space="preserve"> Althaus AH 88-K-136/16 airfoil for use with flaps (K) </t>
  </si>
  <si>
    <t xml:space="preserve"> Althaus AH 93-156 airfoil </t>
  </si>
  <si>
    <t xml:space="preserve"> Althaus AH 93-157 airfoil </t>
  </si>
  <si>
    <t xml:space="preserve"> Althaus AH 93-K-130/15 airfoil for use with flaps (K) </t>
  </si>
  <si>
    <t xml:space="preserve"> Althaus AH 93-K-131/15 airfoil for use with flaps (K) </t>
  </si>
  <si>
    <t xml:space="preserve"> Althaus AH 93-K-132/15 airfoil for use with flaps (K) </t>
  </si>
  <si>
    <t xml:space="preserve"> Althaus AH 93-W-145 airfoil for use on wind turbines (W) </t>
  </si>
  <si>
    <t xml:space="preserve"> Althaus AH 93-W-174 airfoil for use on wind turbines (W) </t>
  </si>
  <si>
    <t xml:space="preserve"> Althaus AH 93-W-215 airfoil for use on wind turbines (W) </t>
  </si>
  <si>
    <t xml:space="preserve"> Althaus AH 93-W-257 airfoil for use on wind turbines (W) </t>
  </si>
  <si>
    <t xml:space="preserve"> Althaus AH 93-W-300 airfoil for use on wind turbines (W) </t>
  </si>
  <si>
    <t xml:space="preserve"> Althaus AH 94-145 airfoil </t>
  </si>
  <si>
    <t xml:space="preserve"> Althaus AH 94-156 airfoil </t>
  </si>
  <si>
    <t xml:space="preserve"> Althaus AH 94-W-301 airfoil for use on wind turbines (W) </t>
  </si>
  <si>
    <t xml:space="preserve"> Althaus AH 95-160 airfoil </t>
  </si>
  <si>
    <t xml:space="preserve"> Drela DAE11 low Reynolds number airfoil </t>
  </si>
  <si>
    <t xml:space="preserve"> Drela DAE21 low Reynolds number airfoil </t>
  </si>
  <si>
    <t xml:space="preserve"> Drela DAE31 low Reynolds number airfoil </t>
  </si>
  <si>
    <t xml:space="preserve"> Drela DAE51 low Reynolds number airfoil </t>
  </si>
  <si>
    <t xml:space="preserve"> Rutan DEFIANT canard BL20 airfoil </t>
  </si>
  <si>
    <t xml:space="preserve"> Rutan DEFIANT canard BL110 airfoil </t>
  </si>
  <si>
    <t xml:space="preserve"> Rutan DEFIANT canard BL145 airfoil </t>
  </si>
  <si>
    <t xml:space="preserve"> Deflt University DU 86-084/18 low Reynolds number airfoil </t>
  </si>
  <si>
    <t xml:space="preserve"> Delft University DU 86-137/25 Airfoil </t>
  </si>
  <si>
    <t xml:space="preserve"> Eppler E1098 general aviation airfoil </t>
  </si>
  <si>
    <t xml:space="preserve"> Eppler E1210 general aviation airfoil </t>
  </si>
  <si>
    <t xml:space="preserve"> Eppler E1211 general aviation airfoil </t>
  </si>
  <si>
    <t xml:space="preserve"> Eppler E1212 general aviation airfoil </t>
  </si>
  <si>
    <t xml:space="preserve"> Eppler E1213 general aviation airfoil </t>
  </si>
  <si>
    <t xml:space="preserve"> Eppler E1214 general aviation airfoil </t>
  </si>
  <si>
    <t xml:space="preserve"> Eppler E1230 general aviation airfoil (Long-EZ and Defiant wing airfoil) </t>
  </si>
  <si>
    <t xml:space="preserve"> Eppler E1233 general aviation airfoil </t>
  </si>
  <si>
    <t xml:space="preserve"> Eppler E168 low Reynolds number airfoil </t>
  </si>
  <si>
    <t xml:space="preserve"> Eppler E169 low Reynolds number airfoil </t>
  </si>
  <si>
    <t xml:space="preserve"> Eppler E171 low Reynolds number airfoil </t>
  </si>
  <si>
    <t xml:space="preserve"> Eppler E174 low Reynolds number airfoil </t>
  </si>
  <si>
    <t xml:space="preserve"> Eppler E176 low Reynolds number airfoil </t>
  </si>
  <si>
    <t xml:space="preserve"> Eppler E178 low Reynolds number airfoil </t>
  </si>
  <si>
    <t xml:space="preserve"> Eppler E180 low Reynolds number airfoil </t>
  </si>
  <si>
    <t xml:space="preserve"> Eppler E182 low Reynolds number airfoil </t>
  </si>
  <si>
    <t xml:space="preserve"> Eppler E184 low Reynolds number airfoil </t>
  </si>
  <si>
    <t xml:space="preserve"> Eppler E186 low Reynolds number airfoil </t>
  </si>
  <si>
    <t xml:space="preserve"> Eppler E193 low Reynolds number airfoil </t>
  </si>
  <si>
    <t xml:space="preserve"> Eppler E195 low Reynolds number airfoil </t>
  </si>
  <si>
    <t xml:space="preserve"> Eppler E197 low Reynolds number airfoil </t>
  </si>
  <si>
    <t xml:space="preserve"> Eppler E201 low Reynolds number airfoil </t>
  </si>
  <si>
    <t xml:space="preserve"> Eppler E203 low Reynolds number airfoil </t>
  </si>
  <si>
    <t xml:space="preserve"> Eppler E205 low Reynolds number airfoil </t>
  </si>
  <si>
    <t xml:space="preserve"> Eppler E207 low Reynolds number airfoil </t>
  </si>
  <si>
    <t xml:space="preserve"> Eppler E209 low Reynolds number airfoil </t>
  </si>
  <si>
    <t xml:space="preserve"> Eppler E210 low Reynolds number airfoil </t>
  </si>
  <si>
    <t xml:space="preserve"> Eppler E211 low Reynolds number airfoil </t>
  </si>
  <si>
    <t xml:space="preserve"> Eppler E212 low Reynolds number airfoil </t>
  </si>
  <si>
    <t xml:space="preserve"> Eppler E214 low Reynolds number airfoil </t>
  </si>
  <si>
    <t xml:space="preserve"> Eppler E216 low Reynolds number airfoil </t>
  </si>
  <si>
    <t xml:space="preserve"> Eppler E220 low Reynolds number airfoil </t>
  </si>
  <si>
    <t xml:space="preserve"> Eppler E221 low Reynolds number airfoil </t>
  </si>
  <si>
    <t xml:space="preserve"> Eppler E222 low Reynolds number airfoil </t>
  </si>
  <si>
    <t xml:space="preserve"> Eppler E224 low Reynolds number airfoil </t>
  </si>
  <si>
    <t xml:space="preserve"> Eppler E226 low Reynolds number airfoil </t>
  </si>
  <si>
    <t xml:space="preserve"> Eppler E228 low Reynolds number airfoil </t>
  </si>
  <si>
    <t xml:space="preserve"> Eppler E230 airfoil </t>
  </si>
  <si>
    <t xml:space="preserve"> Eppler E266 general purpose airfoil </t>
  </si>
  <si>
    <t xml:space="preserve"> Eppler E297 tailplane airfoil </t>
  </si>
  <si>
    <t xml:space="preserve"> Eppler E325 flying wing airfoil </t>
  </si>
  <si>
    <t xml:space="preserve"> Eppler E326 flying wing airfoil </t>
  </si>
  <si>
    <t xml:space="preserve"> Eppler E327 flying wing airfoil </t>
  </si>
  <si>
    <t xml:space="preserve"> Eppler E328 flying wing airfoil </t>
  </si>
  <si>
    <t xml:space="preserve"> Eppler E329 flying wing airfoil </t>
  </si>
  <si>
    <t xml:space="preserve"> Eppler E330 flying wing airfoil </t>
  </si>
  <si>
    <t xml:space="preserve"> Eppler E331 flying wing airfoil </t>
  </si>
  <si>
    <t xml:space="preserve"> Eppler E332 flying wing airfoil </t>
  </si>
  <si>
    <t xml:space="preserve"> Eppler E333 flying wing airfoil </t>
  </si>
  <si>
    <t xml:space="preserve"> Eppler E334 flying wing airfoil </t>
  </si>
  <si>
    <t xml:space="preserve"> Eppler E335 flying wing airfoil </t>
  </si>
  <si>
    <t xml:space="preserve"> Eppler E336 flying wing airfoil </t>
  </si>
  <si>
    <t xml:space="preserve"> Eppler E337 flying wing airfoil </t>
  </si>
  <si>
    <t xml:space="preserve"> Eppler E338 flying wing airfoil </t>
  </si>
  <si>
    <t xml:space="preserve"> Eppler E339 flying wing airfoil </t>
  </si>
  <si>
    <t xml:space="preserve"> Eppler E341 flying wing airfoil </t>
  </si>
  <si>
    <t xml:space="preserve"> Eppler E342 flying wing airfoil </t>
  </si>
  <si>
    <t xml:space="preserve"> Eppler E343 flying wing airfoil </t>
  </si>
  <si>
    <t xml:space="preserve"> Eppler E344 flying wing airfoil </t>
  </si>
  <si>
    <t xml:space="preserve"> Eppler E360 rotorcraft airfoil </t>
  </si>
  <si>
    <t xml:space="preserve"> Eppler E361 rotorcraft airfoil </t>
  </si>
  <si>
    <t xml:space="preserve"> Eppler E374 low Reynolds number airfoil </t>
  </si>
  <si>
    <t xml:space="preserve"> Eppler E376 ultralight airfoil </t>
  </si>
  <si>
    <t xml:space="preserve"> Eppler E377 ultralight airfoil </t>
  </si>
  <si>
    <t xml:space="preserve"> Eppler E377 (modified) ultralight airfoil </t>
  </si>
  <si>
    <t xml:space="preserve"> Eppler E378 ultralight airfoil </t>
  </si>
  <si>
    <t xml:space="preserve"> Eppler E379 ultralight airfoil </t>
  </si>
  <si>
    <t xml:space="preserve"> Eppler E385 airfoil </t>
  </si>
  <si>
    <t xml:space="preserve"> Eppler E387 low Reynolds number airfoil </t>
  </si>
  <si>
    <t xml:space="preserve"> Eppler E392 low Reynolds number airfoil </t>
  </si>
  <si>
    <t xml:space="preserve"> Eppler E393 airfoil </t>
  </si>
  <si>
    <t xml:space="preserve"> Eppler E395 human powered aircraft airfoil </t>
  </si>
  <si>
    <t xml:space="preserve"> Eppler E396 human powered aircraft airfoil </t>
  </si>
  <si>
    <t xml:space="preserve"> Eppler E397 human powered aircraft airfoil </t>
  </si>
  <si>
    <t xml:space="preserve"> Eppler E398 human powered aircraft airfoil </t>
  </si>
  <si>
    <t xml:space="preserve"> Eppler E399 human powered aircraft airfoil </t>
  </si>
  <si>
    <t xml:space="preserve"> Eppler E403 general purpose airfoil </t>
  </si>
  <si>
    <t xml:space="preserve"> Eppler E407 sailplane airfoil </t>
  </si>
  <si>
    <t xml:space="preserve"> Eppler E417 general purpose airfoil </t>
  </si>
  <si>
    <t xml:space="preserve"> Eppler E420 high lift airfoil </t>
  </si>
  <si>
    <t xml:space="preserve"> Eppler E421 high lift airfoil </t>
  </si>
  <si>
    <t xml:space="preserve"> Eppler E422 high lift airfoil </t>
  </si>
  <si>
    <t xml:space="preserve"> Eppler E423 high lift airfoil </t>
  </si>
  <si>
    <t xml:space="preserve"> Eppler E426 airfoil </t>
  </si>
  <si>
    <t xml:space="preserve"> Eppler E428 airfoil </t>
  </si>
  <si>
    <t xml:space="preserve"> Eppler E431 sailplane airfoil </t>
  </si>
  <si>
    <t xml:space="preserve"> Eppler E432 sailplane airfoil </t>
  </si>
  <si>
    <t xml:space="preserve"> Eppler E433 sailplane airfoil </t>
  </si>
  <si>
    <t xml:space="preserve"> Eppler E434 sailplane airfoil </t>
  </si>
  <si>
    <t xml:space="preserve"> Eppler E435 sailplane airfoil </t>
  </si>
  <si>
    <t xml:space="preserve"> Eppler E471 airfoil </t>
  </si>
  <si>
    <t xml:space="preserve"> Eppler E472 aerobatic aircraft airfoil </t>
  </si>
  <si>
    <t xml:space="preserve"> Eppler E473 aerobatic aircraft airfoil </t>
  </si>
  <si>
    <t xml:space="preserve"> Eppler E474 aerobatic aircraft airfoil </t>
  </si>
  <si>
    <t xml:space="preserve"> Eppler E475 aerobatic aircraft airfoil </t>
  </si>
  <si>
    <t xml:space="preserve"> Eppler E479 aerobatic aircraft airfoil </t>
  </si>
  <si>
    <t xml:space="preserve"> Eppler E485 tailplane airfoil </t>
  </si>
  <si>
    <t xml:space="preserve"> Eppler E49 low Reynolds number airfoil </t>
  </si>
  <si>
    <t xml:space="preserve"> Eppler E502 general purpose airfoil </t>
  </si>
  <si>
    <t xml:space="preserve"> Eppler E520 tailplane airfoil </t>
  </si>
  <si>
    <t xml:space="preserve"> Eppler E521 tailplane airfoil </t>
  </si>
  <si>
    <t xml:space="preserve"> Eppler E540 general aviation airfoil </t>
  </si>
  <si>
    <t xml:space="preserve"> Eppler E541 general aviation airfoil </t>
  </si>
  <si>
    <t xml:space="preserve"> Eppler E542 general aviation airfoil </t>
  </si>
  <si>
    <t xml:space="preserve"> Eppler E543 general aviation airfoil </t>
  </si>
  <si>
    <t xml:space="preserve"> Eppler E544 general aviation airfoil </t>
  </si>
  <si>
    <t xml:space="preserve"> Eppler E545 general aviation airfoil </t>
  </si>
  <si>
    <t xml:space="preserve"> Eppler E546 general aviation airfoil </t>
  </si>
  <si>
    <t xml:space="preserve"> Eppler E547 general aviation airfoil </t>
  </si>
  <si>
    <t xml:space="preserve"> Eppler E548 general aviation airfoil </t>
  </si>
  <si>
    <t xml:space="preserve"> Eppler E549 general aviation airfoil </t>
  </si>
  <si>
    <t xml:space="preserve"> Eppler E550 general aviation airfoil </t>
  </si>
  <si>
    <t xml:space="preserve"> Eppler E551 general aviation airfoil </t>
  </si>
  <si>
    <t xml:space="preserve"> Eppler E552 general aviation airfoil </t>
  </si>
  <si>
    <t xml:space="preserve"> Eppler E553 general aviation airfoil </t>
  </si>
  <si>
    <t xml:space="preserve"> Eppler E554 general aviation airfoil </t>
  </si>
  <si>
    <t xml:space="preserve"> Eppler E555 general aviation airfoil </t>
  </si>
  <si>
    <t xml:space="preserve"> Eppler E556 general aviation airfoil </t>
  </si>
  <si>
    <t xml:space="preserve"> Eppler E557 general aviation airfoil </t>
  </si>
  <si>
    <t xml:space="preserve"> Eppler E558 general aviation airfoil </t>
  </si>
  <si>
    <t xml:space="preserve"> Eppler E559 general aviation airfoil </t>
  </si>
  <si>
    <t xml:space="preserve"> Eppler E560 general aviation airfoil </t>
  </si>
  <si>
    <t xml:space="preserve"> Eppler E561 general aviation airfoil </t>
  </si>
  <si>
    <t xml:space="preserve"> Eppler E562 general aviation airfoil </t>
  </si>
  <si>
    <t xml:space="preserve"> Eppler E58 low Reynolds number airfoil </t>
  </si>
  <si>
    <t xml:space="preserve"> Eppler E580 general purpose airfoil </t>
  </si>
  <si>
    <t xml:space="preserve"> Eppler E582 sailplane airfoil </t>
  </si>
  <si>
    <t xml:space="preserve"> Eppler E583 sailplane airfoil </t>
  </si>
  <si>
    <t xml:space="preserve"> Eppler E584 sailplane airfoil </t>
  </si>
  <si>
    <t xml:space="preserve"> Eppler E585 sailplane airfoil </t>
  </si>
  <si>
    <t xml:space="preserve"> Eppler E587 sailplane airfoil </t>
  </si>
  <si>
    <t xml:space="preserve"> Eppler E59 low Reynolds number airfoil </t>
  </si>
  <si>
    <t xml:space="preserve"> Eppler E591 airfoil </t>
  </si>
  <si>
    <t xml:space="preserve"> Eppler E593 airfoil </t>
  </si>
  <si>
    <t xml:space="preserve"> Eppler E598 airfoil </t>
  </si>
  <si>
    <t xml:space="preserve"> Eppler E603 general purpose airfoil </t>
  </si>
  <si>
    <t xml:space="preserve"> Eppler E604 sailplane airfoil </t>
  </si>
  <si>
    <t xml:space="preserve"> Eppler E61 low Reynolds number airfoil </t>
  </si>
  <si>
    <t xml:space="preserve"> Eppler E62 low Reynolds number airfoil </t>
  </si>
  <si>
    <t xml:space="preserve"> Eppler E625 airfoil </t>
  </si>
  <si>
    <t xml:space="preserve"> Eppler E63 low Reynolds number airfoil </t>
  </si>
  <si>
    <t xml:space="preserve"> Eppler E635 airfoil </t>
  </si>
  <si>
    <t xml:space="preserve"> Eppler E636 airfoil </t>
  </si>
  <si>
    <t xml:space="preserve"> Eppler E637 airfoil </t>
  </si>
  <si>
    <t xml:space="preserve"> Eppler E638 airfoil </t>
  </si>
  <si>
    <t xml:space="preserve"> Eppler E639 airfoil </t>
  </si>
  <si>
    <t xml:space="preserve"> Eppler E64 low Reynolds number airfoil </t>
  </si>
  <si>
    <t xml:space="preserve"> Eppler E642 sailplane airfoil </t>
  </si>
  <si>
    <t xml:space="preserve"> Eppler E654 sailplane airfoil </t>
  </si>
  <si>
    <t xml:space="preserve"> Eppler E655 sailplane airfoil </t>
  </si>
  <si>
    <t xml:space="preserve"> Eppler E656 sailplane airfoil </t>
  </si>
  <si>
    <t xml:space="preserve"> Eppler E657 sailplane airfoil </t>
  </si>
  <si>
    <t xml:space="preserve"> Eppler E66 low Reynolds number airfoil </t>
  </si>
  <si>
    <t xml:space="preserve"> Eppler E662 sailplane airfoil </t>
  </si>
  <si>
    <t xml:space="preserve"> Eppler E664 variable geometry sailplane airfoil </t>
  </si>
  <si>
    <t xml:space="preserve"> Eppler E664 (extended) variable geometry sailplane airfoil </t>
  </si>
  <si>
    <t xml:space="preserve"> Eppler E668 sailplane airfoil </t>
  </si>
  <si>
    <t xml:space="preserve"> Eppler E67 low Reynolds number airfoil </t>
  </si>
  <si>
    <t xml:space="preserve"> Eppler E678 sailplane airfoil </t>
  </si>
  <si>
    <t xml:space="preserve"> Eppler E68 low Reynolds number airfoil </t>
  </si>
  <si>
    <t xml:space="preserve"> Eppler E682 sailplane airfoil </t>
  </si>
  <si>
    <t xml:space="preserve"> Eppler E694 sailplane airfoil </t>
  </si>
  <si>
    <t xml:space="preserve"> Eppler E71 low Reynolds number airfoil </t>
  </si>
  <si>
    <t xml:space="preserve"> Eppler E715 tailplane airfoil </t>
  </si>
  <si>
    <t xml:space="preserve"> Eppler E748 sailplane airfoil </t>
  </si>
  <si>
    <t xml:space="preserve"> Eppler E793 general purpose airfoil (gyroflug speed canard canard) </t>
  </si>
  <si>
    <t xml:space="preserve"> Eppler E817 hydrofoil </t>
  </si>
  <si>
    <t xml:space="preserve"> Eppler E818 hydrofoil </t>
  </si>
  <si>
    <t xml:space="preserve"> Eppler E836 hydrofoil </t>
  </si>
  <si>
    <t xml:space="preserve"> Eppler E837 hydrofoil </t>
  </si>
  <si>
    <t xml:space="preserve"> Eppler E838 hydrofoil </t>
  </si>
  <si>
    <t xml:space="preserve"> Eppler E851 propeller airfoil </t>
  </si>
  <si>
    <t xml:space="preserve"> Eppler E853 propeller airfoil </t>
  </si>
  <si>
    <t xml:space="preserve"> Eppler E854 propeller airfoil </t>
  </si>
  <si>
    <t xml:space="preserve"> Eppler E855 propeller airfoil </t>
  </si>
  <si>
    <t xml:space="preserve"> Eppler E856 propeller airfoil </t>
  </si>
  <si>
    <t xml:space="preserve"> Eppler E857 propeller airfoil </t>
  </si>
  <si>
    <t xml:space="preserve"> Eppler E858 propeller airfoil </t>
  </si>
  <si>
    <t xml:space="preserve"> Eppler E862 strut airfoil </t>
  </si>
  <si>
    <t xml:space="preserve"> Eppler E863 strut airfoil </t>
  </si>
  <si>
    <t xml:space="preserve"> Eppler E864 strut airfoil </t>
  </si>
  <si>
    <t xml:space="preserve"> Eppler E874 hydrofoil </t>
  </si>
  <si>
    <t xml:space="preserve"> Eppler E904 hydrofoil </t>
  </si>
  <si>
    <t xml:space="preserve"> Eppler E908 hydrofoil </t>
  </si>
  <si>
    <t xml:space="preserve"> Eppler EA 6(-1)-009 airfoil </t>
  </si>
  <si>
    <t xml:space="preserve"> Eppler EA 6(-1)-012 airfoil </t>
  </si>
  <si>
    <t xml:space="preserve"> Eppler EA 8(-1)-006 airfoil </t>
  </si>
  <si>
    <t xml:space="preserve"> John Yost EH 0.0/9.0 for tailless R/C aircraft </t>
  </si>
  <si>
    <t xml:space="preserve"> John Yost EH 1.0/7.0 for tailless R/C aircraft </t>
  </si>
  <si>
    <t xml:space="preserve"> John Yost EH 1.0/9.0 for tailless R/C aircraft </t>
  </si>
  <si>
    <t xml:space="preserve"> John Yost EH 1.5/9.0 for tailless R/C aircraft </t>
  </si>
  <si>
    <t xml:space="preserve"> John Yost EH 2.0/10 for tailless R/C aircraft </t>
  </si>
  <si>
    <t xml:space="preserve"> John Yost EH 2.0/12 for tailless R/C aircraft </t>
  </si>
  <si>
    <t xml:space="preserve"> John Yost EH 2.0/7.0 for tailless R/C aircraft </t>
  </si>
  <si>
    <t xml:space="preserve"> John Yost EH 2.5/10 for tailless R/C aircraft </t>
  </si>
  <si>
    <t xml:space="preserve"> John Yost EH 3.0/12 for tailless R/C aircraft </t>
  </si>
  <si>
    <t xml:space="preserve"> Wortmann FX 049-915 airfoil </t>
  </si>
  <si>
    <t xml:space="preserve"> Wortmann FX 05-188 airfoil </t>
  </si>
  <si>
    <t xml:space="preserve"> Wortmann FX 05-191 airfoil </t>
  </si>
  <si>
    <t xml:space="preserve"> Wortmann FX 057-816 airfoil </t>
  </si>
  <si>
    <t xml:space="preserve"> Wortmann FX 05-H-126 rotorcraft airfoil </t>
  </si>
  <si>
    <t xml:space="preserve"> Wortmann FX 082-512 airfoil </t>
  </si>
  <si>
    <t xml:space="preserve"> Wortmann FX 08-S-176 airfoil </t>
  </si>
  <si>
    <t xml:space="preserve"> Wortmann FX 2 airfoil </t>
  </si>
  <si>
    <t xml:space="preserve"> Wortmann FX 38-153 airfoil </t>
  </si>
  <si>
    <t xml:space="preserve"> Wortmann FX 60-100 airfoil </t>
  </si>
  <si>
    <t xml:space="preserve"> Wortmann FX 60-100 (126) airfoil </t>
  </si>
  <si>
    <t xml:space="preserve"> Wortmann FX 60-100 airfoil (smoothed) </t>
  </si>
  <si>
    <t xml:space="preserve"> Wortmann FX 60-126 airfoil </t>
  </si>
  <si>
    <t xml:space="preserve"> Wortmann FX 60-126/1 airfoil </t>
  </si>
  <si>
    <t xml:space="preserve"> Wortmann FX 60-157 airfoil </t>
  </si>
  <si>
    <t xml:space="preserve"> Wortmann FX 60-160 airfoil </t>
  </si>
  <si>
    <t xml:space="preserve"> Wortmann FX 60-177 airfoil </t>
  </si>
  <si>
    <t xml:space="preserve"> Wortmann FX 61-147 airfoil </t>
  </si>
  <si>
    <t xml:space="preserve"> Wortmann FX 61-168 airfoil </t>
  </si>
  <si>
    <t xml:space="preserve"> Wortmann FX 61-184 airfoil </t>
  </si>
  <si>
    <t xml:space="preserve"> Wortmann FX 63-100 airfoil </t>
  </si>
  <si>
    <t xml:space="preserve"> Wortmann FX 63-110 airfoil </t>
  </si>
  <si>
    <t xml:space="preserve"> Wortmann FX 63-120 airfoil </t>
  </si>
  <si>
    <t xml:space="preserve"> Wortmann FX 63-137 human power aircraft airfoil (Puffin II and Liverpuffin) airfoil </t>
  </si>
  <si>
    <t xml:space="preserve"> Wortmann FX 63-143 airfoil </t>
  </si>
  <si>
    <t xml:space="preserve"> Wortmann FX 63-145 airfoil </t>
  </si>
  <si>
    <t xml:space="preserve"> Wortmann FX 63-158 airfoil </t>
  </si>
  <si>
    <t xml:space="preserve"> Wortmann FX 66-17AII-182 airfoil </t>
  </si>
  <si>
    <t xml:space="preserve"> Wortmann FX 66-17AII-182 airfoil (as tested at NASA) </t>
  </si>
  <si>
    <t xml:space="preserve"> Wortmann FX 66-182 airfoil </t>
  </si>
  <si>
    <t xml:space="preserve"> Wortmann FX 66-S-196 V1 airfoil </t>
  </si>
  <si>
    <t xml:space="preserve"> Wortmann FX 66-17A-175 airfoil </t>
  </si>
  <si>
    <t xml:space="preserve"> Wortmann FX 66-H-60 airfoil </t>
  </si>
  <si>
    <t xml:space="preserve"> Wortmann FX 66-H-80 airfoil </t>
  </si>
  <si>
    <t xml:space="preserve"> Wortmann FX 66-S-161 airfoil </t>
  </si>
  <si>
    <t xml:space="preserve"> Wortmann FX 66-S-171 airfoil </t>
  </si>
  <si>
    <t xml:space="preserve"> Wortmann FX 66-S-196 airfoil </t>
  </si>
  <si>
    <t xml:space="preserve"> Wortmann FX 67-K-150/17 airfoil </t>
  </si>
  <si>
    <t xml:space="preserve"> Wortmann FX 67-K-170/17 airfoil </t>
  </si>
  <si>
    <t xml:space="preserve"> Wortmann FX 68-H-120 airfoil </t>
  </si>
  <si>
    <t xml:space="preserve"> Bell/Wortmann FX 69-H-083 rotorcraft airfoil </t>
  </si>
  <si>
    <t xml:space="preserve"> Bell/Wortmann FX 69-H-098 rotorcraft airfoil </t>
  </si>
  <si>
    <t xml:space="preserve"> Wortmann FX 69-PR-281 airfoil </t>
  </si>
  <si>
    <t xml:space="preserve"> Wortmann FX 71-089A airfoil </t>
  </si>
  <si>
    <t xml:space="preserve"> Wortmann FX 71-120 airfoil </t>
  </si>
  <si>
    <t xml:space="preserve"> Wortmann FX 71-L-150/20 airfoil </t>
  </si>
  <si>
    <t xml:space="preserve"> Wortmann FX 71-L-150/25 airfoil </t>
  </si>
  <si>
    <t xml:space="preserve"> Wortmann FX 71-L-150/30 airfoil </t>
  </si>
  <si>
    <t xml:space="preserve"> Wortmann FX 72-MS-150B airfoil </t>
  </si>
  <si>
    <t xml:space="preserve"> Wortmann FX 72-LS-160 airfoil </t>
  </si>
  <si>
    <t xml:space="preserve"> Wortmann FX 73-170 airfoil </t>
  </si>
  <si>
    <t xml:space="preserve"> Wortmann FX 73-170 A airfoil </t>
  </si>
  <si>
    <t xml:space="preserve"> Wortmann FX 73-CL1-152 airfoil </t>
  </si>
  <si>
    <t xml:space="preserve"> Wortmann FX 73-CL2-152 airfoil </t>
  </si>
  <si>
    <t xml:space="preserve"> Wortmann FX 73-CL3-152 airfoil </t>
  </si>
  <si>
    <t xml:space="preserve"> Wortmann FX 73-K-170/22 airfoil for use with flaps (K) </t>
  </si>
  <si>
    <t xml:space="preserve"> Wortmann FX 74-080 airfoil </t>
  </si>
  <si>
    <t xml:space="preserve"> Wortmann FX 74-130 WP1 airfoil </t>
  </si>
  <si>
    <t xml:space="preserve"> Wortmann 74-130 WP2 airfoil </t>
  </si>
  <si>
    <t xml:space="preserve"> Wortmann 74-130 WP2 MOD airfoil </t>
  </si>
  <si>
    <t xml:space="preserve"> Wortmann FX 74-CL5-140 high lift airfoil </t>
  </si>
  <si>
    <t xml:space="preserve"> Wortmann FX 74-CL6-140 airfoil </t>
  </si>
  <si>
    <t xml:space="preserve"> Modified Wortmann FX 74-CL5-140 high lift airfoil </t>
  </si>
  <si>
    <t xml:space="preserve"> Wortmann FX 75-141 airfoil </t>
  </si>
  <si>
    <t xml:space="preserve"> Wortmann FX 75-193 airfoil </t>
  </si>
  <si>
    <t xml:space="preserve"> Wortmann FX 75-VG-166/22 variable geometry airfoil </t>
  </si>
  <si>
    <t xml:space="preserve"> Wortmann FX 76-100 symmetrical airfoil </t>
  </si>
  <si>
    <t xml:space="preserve"> Wortmann FX 76-120 symmetrical airfoil </t>
  </si>
  <si>
    <t xml:space="preserve"> Wortmann FX 77-080 symmetrical airfoil </t>
  </si>
  <si>
    <t xml:space="preserve"> Wortmann FX 77-W-121 airfoil for use on wind turbines (W) </t>
  </si>
  <si>
    <t xml:space="preserve"> Wortmann FX 77-W-153 wind turbine airfoil </t>
  </si>
  <si>
    <t xml:space="preserve"> Wortmann FX 77-W-258 wind turbine airfoil </t>
  </si>
  <si>
    <t xml:space="preserve"> Wortmann FX 77-W-270 airfoil for use on wind turbines (W) </t>
  </si>
  <si>
    <t xml:space="preserve"> Wortmann FX 77-W-343 wind turbine airfoil </t>
  </si>
  <si>
    <t xml:space="preserve"> Wortmann FX 78-K-140/20 airfoil for use with flaps (K) </t>
  </si>
  <si>
    <t xml:space="preserve"> Wortmann FX 78-K-140 airfoil for use with flaps (K) A/20 </t>
  </si>
  <si>
    <t xml:space="preserve"> Wortmann FX 78-K-150/20 airfoil for use with flaps (K) </t>
  </si>
  <si>
    <t xml:space="preserve"> Wortmann FX 78-K-161 airfoil for use with flaps (K) </t>
  </si>
  <si>
    <t xml:space="preserve"> Wortmann FX 78-PK-188/20 variable geometry airfoil </t>
  </si>
  <si>
    <t xml:space="preserve"> Wortmann FX 79-K-144/17 sailplane airfoil </t>
  </si>
  <si>
    <t xml:space="preserve"> Wortmann FX 79-L-100 symmetrical airfoil </t>
  </si>
  <si>
    <t xml:space="preserve"> Wortmann FX 79-L-120 symmetrical airfoil </t>
  </si>
  <si>
    <t xml:space="preserve"> Wortmann FX 79-W-151 airfoil for use on wind turbines (W) A </t>
  </si>
  <si>
    <t xml:space="preserve"> Wortmann FX 80-080 airfoil </t>
  </si>
  <si>
    <t xml:space="preserve"> Wortmann FX 83-W-108 airfoil for use on wind turbines (W) </t>
  </si>
  <si>
    <t xml:space="preserve"> Wortmann FX 83-W-160 airfoil for use on wind turbines (W) </t>
  </si>
  <si>
    <t xml:space="preserve"> Wortmann FX 83-W-227 airfoil for use on wind turbines (W) </t>
  </si>
  <si>
    <t xml:space="preserve"> Wortmann FX 84-W-097 airfoil for use on wind turbines (W) </t>
  </si>
  <si>
    <t xml:space="preserve"> Wortmann FX 84-W-127 airfoil for use on wind turbines (W) </t>
  </si>
  <si>
    <t xml:space="preserve"> Wortmann FX 84-W-140 airfoil for use on wind turbines (W) </t>
  </si>
  <si>
    <t xml:space="preserve"> Wortmann FX 84-W-150 airfoil for use on wind turbines (W) </t>
  </si>
  <si>
    <t xml:space="preserve"> Wortmann FX 84-W-175 airfoil for use on wind turbines (W) </t>
  </si>
  <si>
    <t xml:space="preserve"> Wortmann FX 84-W-218 airfoil for use on wind turbines (W) </t>
  </si>
  <si>
    <t xml:space="preserve"> Wortmann FX LIII-142 K 25 airfoil </t>
  </si>
  <si>
    <t xml:space="preserve"> Wortmann FX L V-152 airfoil </t>
  </si>
  <si>
    <t xml:space="preserve"> Wortmann FX M2 airfoil </t>
  </si>
  <si>
    <t xml:space="preserve"> Wortmann FX S 02-196 airfoil </t>
  </si>
  <si>
    <t xml:space="preserve"> Wortmann FX S 03-182 airfoil </t>
  </si>
  <si>
    <t xml:space="preserve"> Wortmann FX S 02/1-158 airfoil </t>
  </si>
  <si>
    <t xml:space="preserve"> Quabeck HQ 0/10 R/C sailplane airfoil </t>
  </si>
  <si>
    <t xml:space="preserve"> Quabeck HQ 0/7 R/C sailplane airfoil </t>
  </si>
  <si>
    <t xml:space="preserve"> Quabeck HQ 0/9 R/C sailplane airfoil </t>
  </si>
  <si>
    <t xml:space="preserve"> Quabeck HQ 1.0/10 R/C sailplane airfoil </t>
  </si>
  <si>
    <t xml:space="preserve"> Quabeck HQ 1.0/8 R/C sailplane airfoil </t>
  </si>
  <si>
    <t xml:space="preserve"> Quabeck HQ 1.0/9 R/C sailplane airfoil </t>
  </si>
  <si>
    <t xml:space="preserve"> Quabeck HQ 1.5/10 R/C sailplane airfoil </t>
  </si>
  <si>
    <t xml:space="preserve"> Quabeck HQ 1.5/11 R/C sailplane airfoil </t>
  </si>
  <si>
    <t xml:space="preserve"> Quabeck HQ 1.5/12 R/C sailplane airfoil </t>
  </si>
  <si>
    <t xml:space="preserve"> Quabeck HQ 1.5/8 R/C sailplane airfoil </t>
  </si>
  <si>
    <t xml:space="preserve"> Quabeck HQ 1.5/8.5 R/C sailplane airfoil </t>
  </si>
  <si>
    <t xml:space="preserve"> Quabeck HQ 1.5/9 B R/C sailplane airfoil </t>
  </si>
  <si>
    <t xml:space="preserve"> Quabeck HQ 2.0/10 R/C sailplane airfoil </t>
  </si>
  <si>
    <t xml:space="preserve"> Quabeck HQ 2.0/12 R/C sailplane airfoil </t>
  </si>
  <si>
    <t xml:space="preserve"> Quabeck HQ 2.0/8 R/C sailplane airfoil </t>
  </si>
  <si>
    <t xml:space="preserve"> Quabeck HQ 2.0/9 R/C sailplane airfoil </t>
  </si>
  <si>
    <t xml:space="preserve"> Quabeck HQ 2.0/9 R/C sailplane airfoil (smoothed) </t>
  </si>
  <si>
    <t xml:space="preserve"> Quabeck HQ 2.1/9.5 R/C sailplane airfoil </t>
  </si>
  <si>
    <t xml:space="preserve"> Quabeck HQ 2.5/10 R/C sailplane airfoil </t>
  </si>
  <si>
    <t xml:space="preserve"> Quabeck HQ 2.5/11 R/C sailplane airfoil </t>
  </si>
  <si>
    <t xml:space="preserve"> Quabeck HQ 2.5/12 R/C sailplane airfoil </t>
  </si>
  <si>
    <t xml:space="preserve"> Quabeck HQ 2.5/8 R/C sailplane airfoil </t>
  </si>
  <si>
    <t xml:space="preserve"> Quabeck HQ 2.5/9 R/C sailplane airfoil </t>
  </si>
  <si>
    <t xml:space="preserve"> Quabeck HQ 2.5/9 R/C sailplane airfoil (smoothed) </t>
  </si>
  <si>
    <t xml:space="preserve"> Quabeck HQ 2.5/9 B R/C sailplane airfoil </t>
  </si>
  <si>
    <t xml:space="preserve"> DFVLR/Braunschweig Horstmann and Quast HQ-300 GD(MOD 2) sailplane airfoil </t>
  </si>
  <si>
    <t xml:space="preserve"> Quabeck HQ 3.0/10 R/C sailplane airfoil </t>
  </si>
  <si>
    <t xml:space="preserve"> Quabeck HQ 3.0/11 R/C sailplane airfoil </t>
  </si>
  <si>
    <t xml:space="preserve"> Quabeck HQ 3.0/12 R/C sailplane airfoil </t>
  </si>
  <si>
    <t xml:space="preserve"> Quabeck HQ 3.0/13 R/C sailplane airfoil </t>
  </si>
  <si>
    <t xml:space="preserve"> Quabeck HQ 3.0/14 R/C sailplane airfoil </t>
  </si>
  <si>
    <t xml:space="preserve"> Quabeck HQ 3.0/15 R/C sailplane airfoil </t>
  </si>
  <si>
    <t xml:space="preserve"> Quabeck HQ 3.0/8 R/C sailplane airfoil </t>
  </si>
  <si>
    <t xml:space="preserve"> Quabeck HQ 3.0/9 R/C sailplane airfoil </t>
  </si>
  <si>
    <t xml:space="preserve"> Quabeck HQ 3.5/10 R/C sailplane airfoil </t>
  </si>
  <si>
    <t xml:space="preserve"> Quabeck HQ 3.5/12 R/C sailplane airfoil </t>
  </si>
  <si>
    <t xml:space="preserve"> Quabeck HQ 3.5/13 R/C sailplane airfoil </t>
  </si>
  <si>
    <t xml:space="preserve"> Quabeck HQ 3.5/14 R/C sailplane airfoil </t>
  </si>
  <si>
    <t xml:space="preserve"> Quabeck HQ 3.5/18 R/C sailplane airfoil </t>
  </si>
  <si>
    <t xml:space="preserve"> Quabeck HQ 3.5/8 R/C sailplane airfoil </t>
  </si>
  <si>
    <t xml:space="preserve"> Quabeck HQ 3.5/9 R/C sailplane airfoil </t>
  </si>
  <si>
    <t xml:space="preserve"> Drela HT05 airfoil </t>
  </si>
  <si>
    <t xml:space="preserve"> Drela HT08 airfoil </t>
  </si>
  <si>
    <t xml:space="preserve"> Drela HT12 airfoil </t>
  </si>
  <si>
    <t xml:space="preserve"> Drela HT22 airfoil </t>
  </si>
  <si>
    <t xml:space="preserve"> Drela HT23 airfoil </t>
  </si>
  <si>
    <t xml:space="preserve"> Lissaman 7769 human powered aircraft airfoil </t>
  </si>
  <si>
    <t xml:space="preserve"> Liebeck LA2573A airfoil </t>
  </si>
  <si>
    <t xml:space="preserve"> Martin Hepperle MH 102 for stall controlled wind turbines (root) </t>
  </si>
  <si>
    <t xml:space="preserve"> Martin Hepperle MH 104 for stall controlled wind turbines </t>
  </si>
  <si>
    <t xml:space="preserve"> Martin Hepperle MH 106 for stall controlled wind turbines </t>
  </si>
  <si>
    <t xml:space="preserve"> Martin Hepperle MH 108 for stall controlled wind turbines </t>
  </si>
  <si>
    <t xml:space="preserve"> Martin Hepperle MH 110 for stall controlled wind turbines (tip) </t>
  </si>
  <si>
    <t xml:space="preserve"> Martin Hepperle MH 112 for a propeller for ultralight (root) </t>
  </si>
  <si>
    <t xml:space="preserve"> Martin Hepperle MH 113 for a propeller for ultralight </t>
  </si>
  <si>
    <t xml:space="preserve"> Martin Hepperle MH 114 for a propeller for ultralight </t>
  </si>
  <si>
    <t xml:space="preserve"> Martin Hepperle MH 115 for a propeller for ultralight </t>
  </si>
  <si>
    <t xml:space="preserve"> Martin Hepperle MH 116 for a propeller for ultralight </t>
  </si>
  <si>
    <t xml:space="preserve"> Martin Hepperle MH 117 for a propeller for ultralight (tip) </t>
  </si>
  <si>
    <t xml:space="preserve"> Martin Hepperle MH 120 for tip section of a propeller </t>
  </si>
  <si>
    <t xml:space="preserve"> Martin Hepperle MH 121 for tip section of a propeller </t>
  </si>
  <si>
    <t xml:space="preserve"> Martin Hepperle MH 122 for tip section of a propeller </t>
  </si>
  <si>
    <t xml:space="preserve"> Martin Hepperle MH 18 for F3D Pylon Racing </t>
  </si>
  <si>
    <t xml:space="preserve"> Martin Hepperle MH 20 for F3D Pylon Racing </t>
  </si>
  <si>
    <t xml:space="preserve"> Martin Hepperle MH 200 for a canard airplane (main wing) </t>
  </si>
  <si>
    <t xml:space="preserve"> Martin Hepperle MH 201 for a canard airplane (canard) </t>
  </si>
  <si>
    <t xml:space="preserve"> Martin Hepperle MH 22 for F3D Pylon Racing </t>
  </si>
  <si>
    <t xml:space="preserve"> Martin Hepperle MH 23 for F3D Pylon Racing (extended laminar flow) </t>
  </si>
  <si>
    <t xml:space="preserve"> Martin Hepperle MH 24 for F3D Pylon Racing (extended laminar flow) </t>
  </si>
  <si>
    <t xml:space="preserve"> Martin Hepperle MH 25 for F3D Pylon Racing (extended laminar flow) </t>
  </si>
  <si>
    <t xml:space="preserve"> Martin Hepperle MH 26 for F3D Pylon Racing (extended laminar flow) </t>
  </si>
  <si>
    <t xml:space="preserve"> Martin Hepperle MH 27 for F3D Pylon Racing (extended laminar flow) </t>
  </si>
  <si>
    <t xml:space="preserve"> Martin Hepperle MH 30 for F3E and F3B </t>
  </si>
  <si>
    <t xml:space="preserve"> Martin Hepperle MH 32 for F3E and F3B </t>
  </si>
  <si>
    <t xml:space="preserve"> Martin Hepperle MH 38 for Endurance Model </t>
  </si>
  <si>
    <t xml:space="preserve"> Martin Hepperle MH 42 low Reynolds number airfoil </t>
  </si>
  <si>
    <t xml:space="preserve"> Martin Hepperle MH 43 for F3B and F3E </t>
  </si>
  <si>
    <t xml:space="preserve"> Martin Hepperle MH 44 for flying wings </t>
  </si>
  <si>
    <t xml:space="preserve"> Martin Hepperle MH 45 for flying wings </t>
  </si>
  <si>
    <t xml:space="preserve"> Martin Hepperle MH 46 for flying wings </t>
  </si>
  <si>
    <t xml:space="preserve"> Martin Hepperle MH 60 for flying wings </t>
  </si>
  <si>
    <t xml:space="preserve"> Martin Hepperle MH 61 for flying wings </t>
  </si>
  <si>
    <t xml:space="preserve"> Martin Hepperle MH 62 for flying wings </t>
  </si>
  <si>
    <t xml:space="preserve"> Martin Hepperle MH 64 for flying wings </t>
  </si>
  <si>
    <t xml:space="preserve"> Martin Hepperle MH 70 for fying wing (full size) </t>
  </si>
  <si>
    <t xml:space="preserve"> Martin Hepperle MH 78 for flying wings (hang glider) </t>
  </si>
  <si>
    <t xml:space="preserve"> Martin Hepperle MH 80 for flying wings (hang glider) </t>
  </si>
  <si>
    <t xml:space="preserve"> Martin Hepperle MH 81 for flying wings (hang glider) </t>
  </si>
  <si>
    <t xml:space="preserve"> Martin Hepperle MH 82 for flying wings (hang glider) </t>
  </si>
  <si>
    <t xml:space="preserve"> Martin Hepperle MH 83 for flying wings (hang glider) </t>
  </si>
  <si>
    <t xml:space="preserve"> Martin Hepperle MH 84 for flying wings (hang glider) </t>
  </si>
  <si>
    <t xml:space="preserve"> Martin Hepperle MH 91 parafoil </t>
  </si>
  <si>
    <t xml:space="preserve"> Martin Hepperle MH 92 parafoil </t>
  </si>
  <si>
    <t xml:space="preserve"> Martin Hepperle MH 93 parafoil </t>
  </si>
  <si>
    <t xml:space="preserve"> Martin Hepperle MH 94 parafoil </t>
  </si>
  <si>
    <t xml:space="preserve"> Martin Hepperle MH 95 parafoil </t>
  </si>
  <si>
    <t xml:space="preserve"> Drela MRC-16 </t>
  </si>
  <si>
    <t xml:space="preserve"> Drela MRC-20 </t>
  </si>
  <si>
    <t xml:space="preserve"> NASA/Langley/Somers-Selig-Maughmer NLF(1)-0115 natural laminar flow airfoil </t>
  </si>
  <si>
    <t xml:space="preserve"> NASA/Langley/Somers NLF(1)-0215F natural laminar flow airfoil </t>
  </si>
  <si>
    <t xml:space="preserve"> NASA/Langley/Somers-Maughmer NLF(1)-1015 natural laminar flow airfoil </t>
  </si>
  <si>
    <t xml:space="preserve"> NASA/Langley/Viken NLF(1)-0414F natural laminar flow airfoil </t>
  </si>
  <si>
    <t xml:space="preserve"> NASA/Langley-DFVLR/Somers(NASA)-Horstmann(DFVLR) NLF(2)-0415 natural laminar flow airfoil </t>
  </si>
  <si>
    <t xml:space="preserve"> NASA/Langley/Somers NLF(1)-0416 natural laminar flow airfoil </t>
  </si>
  <si>
    <t xml:space="preserve"> PSU-90-125WL sailplane winglet airfoil </t>
  </si>
  <si>
    <t xml:space="preserve"> Maughmer PSU 94-097 winglet airfoil </t>
  </si>
  <si>
    <t xml:space="preserve"> Rolf Girsberger RG 12 airfoil </t>
  </si>
  <si>
    <t xml:space="preserve"> Rolf Girsberger RG 12A airfoil </t>
  </si>
  <si>
    <t xml:space="preserve"> Rolf Girsberger RG 12A-1.8/9.0 airfoil </t>
  </si>
  <si>
    <t xml:space="preserve"> Rolf Girsberger RG 14 airfoil </t>
  </si>
  <si>
    <t xml:space="preserve"> Rolf Girsberger RG 14 (10%) airfoil </t>
  </si>
  <si>
    <t xml:space="preserve"> Rolf Girsberger RG 14 (9%) airfoil </t>
  </si>
  <si>
    <t xml:space="preserve"> Rolf Girsberger RG 14 (9.5%) airfoil </t>
  </si>
  <si>
    <t xml:space="preserve"> Rolf Girsberger RG 14A-1.4/7.0 airfoil </t>
  </si>
  <si>
    <t xml:space="preserve"> Rolf Girsberger RG 15 low Reynolds number airfoil </t>
  </si>
  <si>
    <t xml:space="preserve"> Rolf Girsberger RG 15A-1.8/11.0 airfoil </t>
  </si>
  <si>
    <t xml:space="preserve"> Rolf Girsberger RG 15A 2.5/13.0 airfoil </t>
  </si>
  <si>
    <t xml:space="preserve"> Rolf Girsberger RG 8 airfoil </t>
  </si>
  <si>
    <t xml:space="preserve"> Selig S1010 HPV airfoil, Wayback Machine: Cheetah HPV </t>
  </si>
  <si>
    <t xml:space="preserve"> Selig S1012 HPV airfoil, Wayback Machine: Cheetah HPV </t>
  </si>
  <si>
    <t xml:space="preserve"> Selig S1014 HPV airfoil, Wayback Machine: Cheetah HPV </t>
  </si>
  <si>
    <t xml:space="preserve"> Selig S1016 HPV airfoil, Wayback Machine: Cheetah HPV </t>
  </si>
  <si>
    <t xml:space="preserve"> Selig S1020 ornithopter airfoil </t>
  </si>
  <si>
    <t xml:space="preserve"> Selig S1046 airfoil </t>
  </si>
  <si>
    <t xml:space="preserve"> Selig S1048 airfoil </t>
  </si>
  <si>
    <t xml:space="preserve"> Selig S1091 airfoil </t>
  </si>
  <si>
    <t xml:space="preserve"> Selig S1210 high lift low Reynolds number airfoil </t>
  </si>
  <si>
    <t xml:space="preserve"> Selig S1223 high lift low Reynolds number airfoil </t>
  </si>
  <si>
    <t xml:space="preserve"> Selig S2027 low Reynolds number airfoil </t>
  </si>
  <si>
    <t xml:space="preserve"> Selig S2046 low Reynolds number airfoil </t>
  </si>
  <si>
    <t xml:space="preserve"> Selig S2048 low Reynolds number airfoil </t>
  </si>
  <si>
    <t xml:space="preserve"> Selig S2050 low Reynolds number airfoil </t>
  </si>
  <si>
    <t xml:space="preserve"> Selig S2055 low Reynolds number airfoil </t>
  </si>
  <si>
    <t xml:space="preserve"> Selig S2060 low Reynolds number airfoil </t>
  </si>
  <si>
    <t xml:space="preserve"> Selig S2062 low Reynolds number airfoil </t>
  </si>
  <si>
    <t xml:space="preserve"> Selig S2091 low Reynolds number airfoil </t>
  </si>
  <si>
    <t xml:space="preserve"> Selig S3002 low Reynolds number airfoil </t>
  </si>
  <si>
    <t xml:space="preserve"> Selig S3010 low Reynolds number airfoil </t>
  </si>
  <si>
    <t xml:space="preserve"> Selig S3014 low Reynolds number airfoil </t>
  </si>
  <si>
    <t xml:space="preserve"> Selig S3016 low Reynolds number airfoil </t>
  </si>
  <si>
    <t xml:space="preserve"> Selig S3021 low Reynolds number airfoil </t>
  </si>
  <si>
    <t xml:space="preserve"> Selig S3024 low Reynolds number airfoil </t>
  </si>
  <si>
    <t xml:space="preserve"> Selig S3025 low Reynolds number airfoil </t>
  </si>
  <si>
    <t xml:space="preserve"> Selig S4022 low Reynolds number airfoil </t>
  </si>
  <si>
    <t xml:space="preserve"> Selig S4053 low Reynolds number airfoil </t>
  </si>
  <si>
    <t xml:space="preserve"> Selig S4061 low Reynolds number airfoil </t>
  </si>
  <si>
    <t xml:space="preserve"> Selig S4062 low Reynolds number airfoil </t>
  </si>
  <si>
    <t xml:space="preserve"> Selig S4083 low Reynolds number airfoil </t>
  </si>
  <si>
    <t xml:space="preserve"> Selig S4110 low Reynolds number airfoil </t>
  </si>
  <si>
    <t xml:space="preserve"> Selig S4158 low Reynolds number airfoil </t>
  </si>
  <si>
    <t xml:space="preserve"> Selig S4180 low Reynolds number airfoil </t>
  </si>
  <si>
    <t xml:space="preserve"> Selig S4233 low Reynolds number airfoil </t>
  </si>
  <si>
    <t xml:space="preserve"> Selig S4310 low Reynolds number airfoil </t>
  </si>
  <si>
    <t xml:space="preserve"> Selig S4320 low Reynolds number airfoil </t>
  </si>
  <si>
    <t xml:space="preserve"> Selig S5010 low Reynolds number airfoil </t>
  </si>
  <si>
    <t xml:space="preserve"> Selig S5020 low Reynolds number airfoil </t>
  </si>
  <si>
    <t xml:space="preserve"> Selig S6061 low Reynolds number airfoil </t>
  </si>
  <si>
    <t xml:space="preserve"> Selig S6062 low Reynolds number airfoil </t>
  </si>
  <si>
    <t xml:space="preserve"> Selig S6063 low Reynolds number airfoil </t>
  </si>
  <si>
    <t xml:space="preserve"> Selig S7012 low Reynolds number airfoil </t>
  </si>
  <si>
    <t xml:space="preserve"> Selig S7055 low Reynolds number airfoil </t>
  </si>
  <si>
    <t xml:space="preserve"> Selig S7075 low Reynolds number airfoil </t>
  </si>
  <si>
    <t xml:space="preserve"> Selig S8025 low Reynolds number airfoil </t>
  </si>
  <si>
    <t xml:space="preserve"> Selig S8035 low Reynolds number airfoil </t>
  </si>
  <si>
    <t xml:space="preserve"> Selig S8036 low Reynolds number airfoil </t>
  </si>
  <si>
    <t xml:space="preserve"> Selig S8037 low Reynolds number airfoil </t>
  </si>
  <si>
    <t xml:space="preserve"> Selig S8038 (13%) low Reynolds number airfoil </t>
  </si>
  <si>
    <t xml:space="preserve"> Selig S8055 (12%) low Reynolds number airfoil </t>
  </si>
  <si>
    <t xml:space="preserve"> Selig S9000 (9%) low Reynolds number airfoil used on the Blackhawk R/C sailplane </t>
  </si>
  <si>
    <t xml:space="preserve"> Selig S9026 (9.5%) symmetrical horizontal stab airfoil used on the Opus R/C sailplane </t>
  </si>
  <si>
    <t xml:space="preserve"> Selig S9027 (8%) symmetrical vertical stab airfoil used on the Opus R/C sailplane </t>
  </si>
  <si>
    <t xml:space="preserve"> Selig S9032 (9%) symmetrical horizontal stab airfoil used on the Blackhawk R/C sailplane </t>
  </si>
  <si>
    <t xml:space="preserve"> Selig S9033 (7.5%) symmetrical vertical stab airfoil used on the Blackhawk R/C sailplane</t>
  </si>
  <si>
    <t xml:space="preserve"> Selig S9037 (9%) low Reynolds number airfoil used on the Opus R/C sailplane </t>
  </si>
  <si>
    <t xml:space="preserve"> Selig / Ashok Gopalarathnam SA7035 </t>
  </si>
  <si>
    <t xml:space="preserve"> Selig / Ashok Gopalarathnam SA7036 </t>
  </si>
  <si>
    <t xml:space="preserve"> Selig / Ashok Gopalarathnam SA7038 </t>
  </si>
  <si>
    <t xml:space="preserve"> Selig/Donovan SD2030 low Reynolds number airfoil </t>
  </si>
  <si>
    <t xml:space="preserve"> Selig/Donovan SD2083 low Reynolds number airfoil </t>
  </si>
  <si>
    <t xml:space="preserve"> Selig/Donovan SD5060 low Reynolds number airfoil </t>
  </si>
  <si>
    <t xml:space="preserve"> Selig/Donovan SD6060 low Reynolds number airfoil </t>
  </si>
  <si>
    <t xml:space="preserve"> Selig/Donovan SD6080 low Reynolds number airfoil </t>
  </si>
  <si>
    <t xml:space="preserve"> Selig/Donovan SD7003 low Reynolds number airfoil </t>
  </si>
  <si>
    <t xml:space="preserve"> Selig/Donovan SD7032 low Reynolds number airfoil </t>
  </si>
  <si>
    <t xml:space="preserve"> Selig/Donovan SD7034 low Reynolds number airfoil </t>
  </si>
  <si>
    <t xml:space="preserve"> Selig/Donovan SD7037 low Reynolds number airfoil </t>
  </si>
  <si>
    <t xml:space="preserve"> Selig/Donovan SD7043 low Reynolds number airfoil </t>
  </si>
  <si>
    <t xml:space="preserve"> Selig/Donovan SD7062 low Reynolds number airfoil </t>
  </si>
  <si>
    <t xml:space="preserve"> Selig/Donovan SD7080 low Reynolds number airfoil </t>
  </si>
  <si>
    <t xml:space="preserve"> Selig/Donovan SD7084 low Reynolds number airfoil </t>
  </si>
  <si>
    <t xml:space="preserve"> Selig/Donovan SD8000 low Reynolds number airfoil </t>
  </si>
  <si>
    <t xml:space="preserve"> Selig/Donovan SD8020 low Reynolds number airfoil </t>
  </si>
  <si>
    <t xml:space="preserve"> Selig/Donovan SD8040 low Reynolds number airfoil </t>
  </si>
  <si>
    <t xml:space="preserve"> Selig / Giguere SG6040 wind turbine airfoil </t>
  </si>
  <si>
    <t xml:space="preserve"> Selig / Giguere SG6041 wind turbine airfoil (high L/D) </t>
  </si>
  <si>
    <t xml:space="preserve"> Selig / Giguere SG6042 wind turbine airfoil (high L/D) </t>
  </si>
  <si>
    <t xml:space="preserve"> Selig / Giguere SG6043 wind turbine airfoil (high L/D) </t>
  </si>
  <si>
    <t xml:space="preserve"> Selig / Giguere SG6050 wind turbine airfoil </t>
  </si>
  <si>
    <t xml:space="preserve"> Selig / Giguere SG6051 wind turbine airfoil </t>
  </si>
  <si>
    <t xml:space="preserve"> Somers / Maughmer SM701 airfoil </t>
  </si>
  <si>
    <t xml:space="preserve"> Eppler STE 871-514 airfoil </t>
  </si>
  <si>
    <t xml:space="preserve"> Eppler STE 87(-3)-914 airfoil </t>
  </si>
  <si>
    <t xml:space="preserve"> Eppler STF 863-615 airfoil </t>
  </si>
  <si>
    <t xml:space="preserve"> Naval Air Development Center/Doug Hall high altitude, long endurance vehicle airfoil </t>
  </si>
  <si>
    <t xml:space="preserve"> YS915 hydrofoil (Shen / Eppler) </t>
  </si>
  <si>
    <t xml:space="preserve"> YS930 hydrofoil (Shen / Eppler) </t>
  </si>
  <si>
    <t xml:space="preserve"> Wortmann FX 76-MP-140 airfoil  (Human powered aircraft)</t>
  </si>
  <si>
    <t xml:space="preserve"> Wortmann FX 76-MP-160 airfoil  (Human powered aircraft)</t>
  </si>
  <si>
    <t xml:space="preserve"> Wortmann FX 76-MP-120 airfoil  (Human powered aircraft)</t>
  </si>
  <si>
    <t>re_num</t>
  </si>
  <si>
    <t>cl</t>
  </si>
  <si>
    <t>cm</t>
  </si>
  <si>
    <t>cd</t>
  </si>
  <si>
    <t>cdf</t>
  </si>
  <si>
    <t>cdp</t>
  </si>
  <si>
    <t>xtr_upp</t>
  </si>
  <si>
    <t>xtr_bot</t>
  </si>
  <si>
    <t>airfoil</t>
  </si>
  <si>
    <t xml:space="preserve"> cd * sqrt(RE)</t>
  </si>
  <si>
    <t>cl/cd</t>
  </si>
  <si>
    <t>ag03</t>
  </si>
  <si>
    <t>ag04</t>
  </si>
  <si>
    <t>ag08</t>
  </si>
  <si>
    <t>ag09</t>
  </si>
  <si>
    <t>ag10</t>
  </si>
  <si>
    <t>ag11</t>
  </si>
  <si>
    <t>ag12</t>
  </si>
  <si>
    <t>ag13</t>
  </si>
  <si>
    <t>ag14</t>
  </si>
  <si>
    <t>ag16</t>
  </si>
  <si>
    <t>ag17</t>
  </si>
  <si>
    <t>ag18</t>
  </si>
  <si>
    <t>ag19</t>
  </si>
  <si>
    <t>ag35</t>
  </si>
  <si>
    <t>ag36</t>
  </si>
  <si>
    <t>ag37</t>
  </si>
  <si>
    <t>ag38</t>
  </si>
  <si>
    <t>ag44ct02r</t>
  </si>
  <si>
    <t>ag455ct02r</t>
  </si>
  <si>
    <t>ag45c03</t>
  </si>
  <si>
    <t>ag45ct02r</t>
  </si>
  <si>
    <t>ag46c03</t>
  </si>
  <si>
    <t>ag46ct02r</t>
  </si>
  <si>
    <t>ag47c03</t>
  </si>
  <si>
    <t>ag47ct02r</t>
  </si>
  <si>
    <t>ah63k127</t>
  </si>
  <si>
    <t>ah6407</t>
  </si>
  <si>
    <t>ah7476</t>
  </si>
  <si>
    <t>ah79100a</t>
  </si>
  <si>
    <t>ah79100b</t>
  </si>
  <si>
    <t>ah79100c</t>
  </si>
  <si>
    <t>ah79k132</t>
  </si>
  <si>
    <t>ah79k135</t>
  </si>
  <si>
    <t>ah79k143</t>
  </si>
  <si>
    <t>ah80129</t>
  </si>
  <si>
    <t>ah80136</t>
  </si>
  <si>
    <t>ah80140</t>
  </si>
  <si>
    <t>ah81131</t>
  </si>
  <si>
    <t>ah81k144</t>
  </si>
  <si>
    <t>ah81k144wfKlappe</t>
  </si>
  <si>
    <t>ah82150a</t>
  </si>
  <si>
    <t>ah82150f</t>
  </si>
  <si>
    <t>ah83150q</t>
  </si>
  <si>
    <t>ah83159</t>
  </si>
  <si>
    <t>ah85l120</t>
  </si>
  <si>
    <t>ah88k130</t>
  </si>
  <si>
    <t>ah88k136</t>
  </si>
  <si>
    <t>ah93156</t>
  </si>
  <si>
    <t>ah93157</t>
  </si>
  <si>
    <t>ah93k130</t>
  </si>
  <si>
    <t>ah93k131</t>
  </si>
  <si>
    <t>ah93k132</t>
  </si>
  <si>
    <t>ah93w145</t>
  </si>
  <si>
    <t>ah93w174</t>
  </si>
  <si>
    <t>ah93w215</t>
  </si>
  <si>
    <t>ah93w257</t>
  </si>
  <si>
    <t>ah93w300</t>
  </si>
  <si>
    <t>ah94145</t>
  </si>
  <si>
    <t>ah94156</t>
  </si>
  <si>
    <t>ah94w301</t>
  </si>
  <si>
    <t>ah95160</t>
  </si>
  <si>
    <t>dae11</t>
  </si>
  <si>
    <t>dae21</t>
  </si>
  <si>
    <t>dae31</t>
  </si>
  <si>
    <t>dae51</t>
  </si>
  <si>
    <t>defcnd1</t>
  </si>
  <si>
    <t>defcnd2</t>
  </si>
  <si>
    <t>defcnd3</t>
  </si>
  <si>
    <t>du8608418</t>
  </si>
  <si>
    <t>du861372</t>
  </si>
  <si>
    <t>e1098</t>
  </si>
  <si>
    <t>e1210</t>
  </si>
  <si>
    <t>e1211</t>
  </si>
  <si>
    <t>e1212</t>
  </si>
  <si>
    <t>e1213</t>
  </si>
  <si>
    <t>e1214</t>
  </si>
  <si>
    <t>e1230</t>
  </si>
  <si>
    <t>e1233</t>
  </si>
  <si>
    <t>e168</t>
  </si>
  <si>
    <t>e169</t>
  </si>
  <si>
    <t>e171</t>
  </si>
  <si>
    <t>e174</t>
  </si>
  <si>
    <t>e176</t>
  </si>
  <si>
    <t>e178</t>
  </si>
  <si>
    <t>e180</t>
  </si>
  <si>
    <t>e182</t>
  </si>
  <si>
    <t>e184</t>
  </si>
  <si>
    <t>e186</t>
  </si>
  <si>
    <t>e193</t>
  </si>
  <si>
    <t>e195</t>
  </si>
  <si>
    <t>e197</t>
  </si>
  <si>
    <t>e201</t>
  </si>
  <si>
    <t>e203</t>
  </si>
  <si>
    <t>e205</t>
  </si>
  <si>
    <t>e207</t>
  </si>
  <si>
    <t>e209</t>
  </si>
  <si>
    <t>e210</t>
  </si>
  <si>
    <t>e211</t>
  </si>
  <si>
    <t>e212</t>
  </si>
  <si>
    <t>e214</t>
  </si>
  <si>
    <t>e216</t>
  </si>
  <si>
    <t>e220</t>
  </si>
  <si>
    <t>e221</t>
  </si>
  <si>
    <t>e222</t>
  </si>
  <si>
    <t>e224</t>
  </si>
  <si>
    <t>e226</t>
  </si>
  <si>
    <t>e228</t>
  </si>
  <si>
    <t>e230</t>
  </si>
  <si>
    <t>e266</t>
  </si>
  <si>
    <t>e297</t>
  </si>
  <si>
    <t>e325</t>
  </si>
  <si>
    <t>e326</t>
  </si>
  <si>
    <t>e327</t>
  </si>
  <si>
    <t>e328</t>
  </si>
  <si>
    <t>e329</t>
  </si>
  <si>
    <t>e330</t>
  </si>
  <si>
    <t>e331</t>
  </si>
  <si>
    <t>e332</t>
  </si>
  <si>
    <t>e333</t>
  </si>
  <si>
    <t>e334</t>
  </si>
  <si>
    <t>e335</t>
  </si>
  <si>
    <t>e336</t>
  </si>
  <si>
    <t>e337</t>
  </si>
  <si>
    <t>e338</t>
  </si>
  <si>
    <t>e339</t>
  </si>
  <si>
    <t>e341</t>
  </si>
  <si>
    <t>e342</t>
  </si>
  <si>
    <t>e343</t>
  </si>
  <si>
    <t>e344</t>
  </si>
  <si>
    <t>e360</t>
  </si>
  <si>
    <t>e361</t>
  </si>
  <si>
    <t>e374</t>
  </si>
  <si>
    <t>e376</t>
  </si>
  <si>
    <t>e377</t>
  </si>
  <si>
    <t>e377m</t>
  </si>
  <si>
    <t>e378</t>
  </si>
  <si>
    <t>e379</t>
  </si>
  <si>
    <t>e385</t>
  </si>
  <si>
    <t>e387</t>
  </si>
  <si>
    <t>e392</t>
  </si>
  <si>
    <t>e393</t>
  </si>
  <si>
    <t>e395</t>
  </si>
  <si>
    <t>e396</t>
  </si>
  <si>
    <t>e397</t>
  </si>
  <si>
    <t>e398</t>
  </si>
  <si>
    <t>e399</t>
  </si>
  <si>
    <t>e403</t>
  </si>
  <si>
    <t>e407</t>
  </si>
  <si>
    <t>e417</t>
  </si>
  <si>
    <t>e420</t>
  </si>
  <si>
    <t>e421</t>
  </si>
  <si>
    <t>e422</t>
  </si>
  <si>
    <t>e423</t>
  </si>
  <si>
    <t>e426</t>
  </si>
  <si>
    <t>e428</t>
  </si>
  <si>
    <t>e431</t>
  </si>
  <si>
    <t>e432</t>
  </si>
  <si>
    <t>e433</t>
  </si>
  <si>
    <t>e434</t>
  </si>
  <si>
    <t>e435</t>
  </si>
  <si>
    <t>e471</t>
  </si>
  <si>
    <t>e472</t>
  </si>
  <si>
    <t>e473</t>
  </si>
  <si>
    <t>e474</t>
  </si>
  <si>
    <t>e475</t>
  </si>
  <si>
    <t>e479</t>
  </si>
  <si>
    <t>e485</t>
  </si>
  <si>
    <t>e49</t>
  </si>
  <si>
    <t>e502</t>
  </si>
  <si>
    <t>e520</t>
  </si>
  <si>
    <t>e521</t>
  </si>
  <si>
    <t>e540</t>
  </si>
  <si>
    <t>e541</t>
  </si>
  <si>
    <t>e542</t>
  </si>
  <si>
    <t>e543</t>
  </si>
  <si>
    <t>e544</t>
  </si>
  <si>
    <t>e545</t>
  </si>
  <si>
    <t>e546</t>
  </si>
  <si>
    <t>e547</t>
  </si>
  <si>
    <t>e548</t>
  </si>
  <si>
    <t>e549</t>
  </si>
  <si>
    <t>e550</t>
  </si>
  <si>
    <t>e551</t>
  </si>
  <si>
    <t>e552</t>
  </si>
  <si>
    <t>e553</t>
  </si>
  <si>
    <t>e554</t>
  </si>
  <si>
    <t>e555</t>
  </si>
  <si>
    <t>e556</t>
  </si>
  <si>
    <t>e557</t>
  </si>
  <si>
    <t>e558</t>
  </si>
  <si>
    <t>e559</t>
  </si>
  <si>
    <t>e560</t>
  </si>
  <si>
    <t>e561</t>
  </si>
  <si>
    <t>e562</t>
  </si>
  <si>
    <t>e58</t>
  </si>
  <si>
    <t>e580</t>
  </si>
  <si>
    <t>e582</t>
  </si>
  <si>
    <t>e583</t>
  </si>
  <si>
    <t>e584</t>
  </si>
  <si>
    <t>e585</t>
  </si>
  <si>
    <t>e587</t>
  </si>
  <si>
    <t>e59</t>
  </si>
  <si>
    <t>e591</t>
  </si>
  <si>
    <t>e593</t>
  </si>
  <si>
    <t>e598</t>
  </si>
  <si>
    <t>e603</t>
  </si>
  <si>
    <t>e604</t>
  </si>
  <si>
    <t>e61</t>
  </si>
  <si>
    <t>e62</t>
  </si>
  <si>
    <t>e625</t>
  </si>
  <si>
    <t>e63</t>
  </si>
  <si>
    <t>e635</t>
  </si>
  <si>
    <t>e636</t>
  </si>
  <si>
    <t>e637</t>
  </si>
  <si>
    <t>e638</t>
  </si>
  <si>
    <t>e639</t>
  </si>
  <si>
    <t>e64</t>
  </si>
  <si>
    <t>e642</t>
  </si>
  <si>
    <t>e654</t>
  </si>
  <si>
    <t>e655</t>
  </si>
  <si>
    <t>e656</t>
  </si>
  <si>
    <t>e657</t>
  </si>
  <si>
    <t>e66</t>
  </si>
  <si>
    <t>e662</t>
  </si>
  <si>
    <t>e664</t>
  </si>
  <si>
    <t>e664ex</t>
  </si>
  <si>
    <t>e668</t>
  </si>
  <si>
    <t>e67</t>
  </si>
  <si>
    <t>e678</t>
  </si>
  <si>
    <t>e68</t>
  </si>
  <si>
    <t>e682</t>
  </si>
  <si>
    <t>e694</t>
  </si>
  <si>
    <t>e71</t>
  </si>
  <si>
    <t>e715</t>
  </si>
  <si>
    <t>e748</t>
  </si>
  <si>
    <t>e793</t>
  </si>
  <si>
    <t>e817</t>
  </si>
  <si>
    <t>e818</t>
  </si>
  <si>
    <t>e836</t>
  </si>
  <si>
    <t>e837</t>
  </si>
  <si>
    <t>e838</t>
  </si>
  <si>
    <t>e851</t>
  </si>
  <si>
    <t>e853</t>
  </si>
  <si>
    <t>e854</t>
  </si>
  <si>
    <t>e855</t>
  </si>
  <si>
    <t>e856</t>
  </si>
  <si>
    <t>e857</t>
  </si>
  <si>
    <t>e858</t>
  </si>
  <si>
    <t>e862</t>
  </si>
  <si>
    <t>e863</t>
  </si>
  <si>
    <t>e864</t>
  </si>
  <si>
    <t>e874</t>
  </si>
  <si>
    <t>e904</t>
  </si>
  <si>
    <t>e908</t>
  </si>
  <si>
    <t>ea61009</t>
  </si>
  <si>
    <t>ea61012</t>
  </si>
  <si>
    <t>ea81006</t>
  </si>
  <si>
    <t>eh0009</t>
  </si>
  <si>
    <t>eh1070</t>
  </si>
  <si>
    <t>eh1090</t>
  </si>
  <si>
    <t>eh1590</t>
  </si>
  <si>
    <t>eh2010</t>
  </si>
  <si>
    <t>eh2012</t>
  </si>
  <si>
    <t>eh2070</t>
  </si>
  <si>
    <t>eh2510</t>
  </si>
  <si>
    <t>eh3012</t>
  </si>
  <si>
    <t>fx049915</t>
  </si>
  <si>
    <t>fx05188</t>
  </si>
  <si>
    <t>fx05191</t>
  </si>
  <si>
    <t>fx057816</t>
  </si>
  <si>
    <t>fx05h126</t>
  </si>
  <si>
    <t>fx082512</t>
  </si>
  <si>
    <t>fx08s176</t>
  </si>
  <si>
    <t>fx2</t>
  </si>
  <si>
    <t>fx38153</t>
  </si>
  <si>
    <t>fx60100</t>
  </si>
  <si>
    <t>fx601001</t>
  </si>
  <si>
    <t>fx60100sm</t>
  </si>
  <si>
    <t>fx60126</t>
  </si>
  <si>
    <t>fx601261</t>
  </si>
  <si>
    <t>fx60157</t>
  </si>
  <si>
    <t>fx60160</t>
  </si>
  <si>
    <t>fx60177</t>
  </si>
  <si>
    <t>fx61147</t>
  </si>
  <si>
    <t>fx61168</t>
  </si>
  <si>
    <t>fx61184</t>
  </si>
  <si>
    <t>fx63100</t>
  </si>
  <si>
    <t>fx63110</t>
  </si>
  <si>
    <t>fx63120</t>
  </si>
  <si>
    <t>fx63137</t>
  </si>
  <si>
    <t>fx63143</t>
  </si>
  <si>
    <t>fx63145</t>
  </si>
  <si>
    <t>fx63158</t>
  </si>
  <si>
    <t>fx6617a2</t>
  </si>
  <si>
    <t>fx6617ai</t>
  </si>
  <si>
    <t>fx66182</t>
  </si>
  <si>
    <t>fx66196v</t>
  </si>
  <si>
    <t>fx66a175</t>
  </si>
  <si>
    <t>fx66h60</t>
  </si>
  <si>
    <t>fx66h80</t>
  </si>
  <si>
    <t>fx66s161</t>
  </si>
  <si>
    <t>fx66s171</t>
  </si>
  <si>
    <t>fx66s196</t>
  </si>
  <si>
    <t>fx67k150</t>
  </si>
  <si>
    <t>fx67k170</t>
  </si>
  <si>
    <t>fx68h120</t>
  </si>
  <si>
    <t>fx69h083</t>
  </si>
  <si>
    <t>fx69h098</t>
  </si>
  <si>
    <t>fx69pr281</t>
  </si>
  <si>
    <t>fx71089a</t>
  </si>
  <si>
    <t>fx71120</t>
  </si>
  <si>
    <t>fx711520</t>
  </si>
  <si>
    <t>fx711525</t>
  </si>
  <si>
    <t>fx711530</t>
  </si>
  <si>
    <t>fx71l150</t>
  </si>
  <si>
    <t>fx72150b</t>
  </si>
  <si>
    <t>fx72ls160</t>
  </si>
  <si>
    <t>fx73170</t>
  </si>
  <si>
    <t>fx73170a</t>
  </si>
  <si>
    <t>fx73cl1152</t>
  </si>
  <si>
    <t>fx73cl2152</t>
  </si>
  <si>
    <t>fx73cl3152</t>
  </si>
  <si>
    <t>fx73k170</t>
  </si>
  <si>
    <t>fx74080</t>
  </si>
  <si>
    <t>fx74130wp1</t>
  </si>
  <si>
    <t>fx74130wp2</t>
  </si>
  <si>
    <t>fx74130wp2mod</t>
  </si>
  <si>
    <t>fx74cl5140</t>
  </si>
  <si>
    <t>fx74cl6140</t>
  </si>
  <si>
    <t>fx74modsm</t>
  </si>
  <si>
    <t>fx75141</t>
  </si>
  <si>
    <t>fx75193</t>
  </si>
  <si>
    <t>fx75vg166</t>
  </si>
  <si>
    <t>fx76100</t>
  </si>
  <si>
    <t>fx76120</t>
  </si>
  <si>
    <t>fx76mp120</t>
  </si>
  <si>
    <t>fx76mp140</t>
  </si>
  <si>
    <t>fx76mp160</t>
  </si>
  <si>
    <t>fx77080</t>
  </si>
  <si>
    <t>fx77w121</t>
  </si>
  <si>
    <t>fx77w153</t>
  </si>
  <si>
    <t>fx77w258</t>
  </si>
  <si>
    <t>fx77w270</t>
  </si>
  <si>
    <t>fx77w343</t>
  </si>
  <si>
    <t>fx78k140</t>
  </si>
  <si>
    <t>fx78k140a20</t>
  </si>
  <si>
    <t>fx78k150</t>
  </si>
  <si>
    <t>fx78k161</t>
  </si>
  <si>
    <t>fx78pk188</t>
  </si>
  <si>
    <t>fx79k144</t>
  </si>
  <si>
    <t>fx79l100</t>
  </si>
  <si>
    <t>fx79l120</t>
  </si>
  <si>
    <t>fx79w151a</t>
  </si>
  <si>
    <t>fx80080</t>
  </si>
  <si>
    <t>fx83w108</t>
  </si>
  <si>
    <t>fx83w160</t>
  </si>
  <si>
    <t>fx83w227</t>
  </si>
  <si>
    <t>fx84w097</t>
  </si>
  <si>
    <t>fx84w127</t>
  </si>
  <si>
    <t>fx84w140</t>
  </si>
  <si>
    <t>fx84w150</t>
  </si>
  <si>
    <t>fx84w175</t>
  </si>
  <si>
    <t>fx84w218</t>
  </si>
  <si>
    <t>fxl142k</t>
  </si>
  <si>
    <t>fxlv152</t>
  </si>
  <si>
    <t>fxm2</t>
  </si>
  <si>
    <t>fxs02196</t>
  </si>
  <si>
    <t>fxs03182</t>
  </si>
  <si>
    <t>fxs21158</t>
  </si>
  <si>
    <t>hq010</t>
  </si>
  <si>
    <t>hq07</t>
  </si>
  <si>
    <t>hq09</t>
  </si>
  <si>
    <t>hq1010</t>
  </si>
  <si>
    <t>hq108</t>
  </si>
  <si>
    <t>hq109</t>
  </si>
  <si>
    <t>hq1510</t>
  </si>
  <si>
    <t>hq1511</t>
  </si>
  <si>
    <t>hq1512</t>
  </si>
  <si>
    <t>hq158</t>
  </si>
  <si>
    <t>hq1585</t>
  </si>
  <si>
    <t>hq159b</t>
  </si>
  <si>
    <t>hq2010</t>
  </si>
  <si>
    <t>hq2012</t>
  </si>
  <si>
    <t>hq208</t>
  </si>
  <si>
    <t>hq209</t>
  </si>
  <si>
    <t>hq2090sm</t>
  </si>
  <si>
    <t>hq2195</t>
  </si>
  <si>
    <t>hq2510</t>
  </si>
  <si>
    <t>hq2511</t>
  </si>
  <si>
    <t>hq2512</t>
  </si>
  <si>
    <t>hq258</t>
  </si>
  <si>
    <t>hq259</t>
  </si>
  <si>
    <t>hq2590sm</t>
  </si>
  <si>
    <t>hq259b</t>
  </si>
  <si>
    <t>hq300gd2</t>
  </si>
  <si>
    <t>hq3010</t>
  </si>
  <si>
    <t>hq3011</t>
  </si>
  <si>
    <t>hq3012</t>
  </si>
  <si>
    <t>hq3013</t>
  </si>
  <si>
    <t>hq3014</t>
  </si>
  <si>
    <t>hq3015</t>
  </si>
  <si>
    <t>hq308</t>
  </si>
  <si>
    <t>hq309</t>
  </si>
  <si>
    <t>hq3510</t>
  </si>
  <si>
    <t>hq3512</t>
  </si>
  <si>
    <t>hq3513</t>
  </si>
  <si>
    <t>hq3514</t>
  </si>
  <si>
    <t>hq3518</t>
  </si>
  <si>
    <t>hq358</t>
  </si>
  <si>
    <t>hq359</t>
  </si>
  <si>
    <t>ht05</t>
  </si>
  <si>
    <t>ht08</t>
  </si>
  <si>
    <t>ht12</t>
  </si>
  <si>
    <t>ht22</t>
  </si>
  <si>
    <t>ht23</t>
  </si>
  <si>
    <t>l7769</t>
  </si>
  <si>
    <t>la2573a</t>
  </si>
  <si>
    <t>mh102</t>
  </si>
  <si>
    <t>mh104</t>
  </si>
  <si>
    <t>mh106</t>
  </si>
  <si>
    <t>mh108</t>
  </si>
  <si>
    <t>mh110</t>
  </si>
  <si>
    <t>mh112</t>
  </si>
  <si>
    <t>mh113</t>
  </si>
  <si>
    <t>mh114</t>
  </si>
  <si>
    <t>mh115</t>
  </si>
  <si>
    <t>mh116</t>
  </si>
  <si>
    <t>mh117</t>
  </si>
  <si>
    <t>mh120</t>
  </si>
  <si>
    <t>mh121</t>
  </si>
  <si>
    <t>mh122</t>
  </si>
  <si>
    <t>mh18</t>
  </si>
  <si>
    <t>mh20</t>
  </si>
  <si>
    <t>mh200</t>
  </si>
  <si>
    <t>mh201</t>
  </si>
  <si>
    <t>mh22</t>
  </si>
  <si>
    <t>mh23</t>
  </si>
  <si>
    <t>mh24</t>
  </si>
  <si>
    <t>mh25</t>
  </si>
  <si>
    <t>mh26</t>
  </si>
  <si>
    <t>mh27</t>
  </si>
  <si>
    <t>mh30</t>
  </si>
  <si>
    <t>mh32</t>
  </si>
  <si>
    <t>mh38</t>
  </si>
  <si>
    <t>mh42</t>
  </si>
  <si>
    <t>mh43</t>
  </si>
  <si>
    <t>mh44</t>
  </si>
  <si>
    <t>mh45</t>
  </si>
  <si>
    <t>mh46</t>
  </si>
  <si>
    <t>mh60</t>
  </si>
  <si>
    <t>mh61</t>
  </si>
  <si>
    <t>mh62</t>
  </si>
  <si>
    <t>mh64</t>
  </si>
  <si>
    <t>mh70</t>
  </si>
  <si>
    <t>mh78</t>
  </si>
  <si>
    <t>mh80</t>
  </si>
  <si>
    <t>mh81</t>
  </si>
  <si>
    <t>mh82</t>
  </si>
  <si>
    <t>mh83</t>
  </si>
  <si>
    <t>mh84</t>
  </si>
  <si>
    <t>mh91</t>
  </si>
  <si>
    <t>mh92</t>
  </si>
  <si>
    <t>mh93</t>
  </si>
  <si>
    <t>mh94</t>
  </si>
  <si>
    <t>mh95</t>
  </si>
  <si>
    <t>mrc-16</t>
  </si>
  <si>
    <t>mrc-20</t>
  </si>
  <si>
    <t>nlf0115</t>
  </si>
  <si>
    <t>nlf0215f</t>
  </si>
  <si>
    <t>nlf1015</t>
  </si>
  <si>
    <t>nlf414f</t>
  </si>
  <si>
    <t>nlf415</t>
  </si>
  <si>
    <t>nlf416</t>
  </si>
  <si>
    <t>psu-90-125wl</t>
  </si>
  <si>
    <t>psu94097</t>
  </si>
  <si>
    <t>rg12</t>
  </si>
  <si>
    <t>rg12a</t>
  </si>
  <si>
    <t>rg12a189</t>
  </si>
  <si>
    <t>rg14</t>
  </si>
  <si>
    <t>rg1410</t>
  </si>
  <si>
    <t>rg149</t>
  </si>
  <si>
    <t>rg1495</t>
  </si>
  <si>
    <t>rg14a147</t>
  </si>
  <si>
    <t>rg15</t>
  </si>
  <si>
    <t>rg15a111</t>
  </si>
  <si>
    <t>rg15a213</t>
  </si>
  <si>
    <t>rg8</t>
  </si>
  <si>
    <t>s1010</t>
  </si>
  <si>
    <t>s1012</t>
  </si>
  <si>
    <t>s1014</t>
  </si>
  <si>
    <t>s1016</t>
  </si>
  <si>
    <t>s1020</t>
  </si>
  <si>
    <t>s1046</t>
  </si>
  <si>
    <t>s1048</t>
  </si>
  <si>
    <t>s1091</t>
  </si>
  <si>
    <t>s1210</t>
  </si>
  <si>
    <t>s1223</t>
  </si>
  <si>
    <t>s2027</t>
  </si>
  <si>
    <t>s2046</t>
  </si>
  <si>
    <t>s2048</t>
  </si>
  <si>
    <t>s2050</t>
  </si>
  <si>
    <t>s2055</t>
  </si>
  <si>
    <t>s2060</t>
  </si>
  <si>
    <t>s2062</t>
  </si>
  <si>
    <t>s2091</t>
  </si>
  <si>
    <t>s3002</t>
  </si>
  <si>
    <t>s3010</t>
  </si>
  <si>
    <t>s3014</t>
  </si>
  <si>
    <t>s3016</t>
  </si>
  <si>
    <t>s3021</t>
  </si>
  <si>
    <t>s3024</t>
  </si>
  <si>
    <t>s3025</t>
  </si>
  <si>
    <t>s4022</t>
  </si>
  <si>
    <t>s4053</t>
  </si>
  <si>
    <t>s4061</t>
  </si>
  <si>
    <t>s4062</t>
  </si>
  <si>
    <t>s4083</t>
  </si>
  <si>
    <t>s4110</t>
  </si>
  <si>
    <t>s4158</t>
  </si>
  <si>
    <t>s4180</t>
  </si>
  <si>
    <t>s4233</t>
  </si>
  <si>
    <t>s4310</t>
  </si>
  <si>
    <t>s4320</t>
  </si>
  <si>
    <t>s5010</t>
  </si>
  <si>
    <t>s5020</t>
  </si>
  <si>
    <t>s6061</t>
  </si>
  <si>
    <t>s6062</t>
  </si>
  <si>
    <t>s6063</t>
  </si>
  <si>
    <t>s7012</t>
  </si>
  <si>
    <t>s7055</t>
  </si>
  <si>
    <t>s7075</t>
  </si>
  <si>
    <t>s8025</t>
  </si>
  <si>
    <t>s8035</t>
  </si>
  <si>
    <t>s8036</t>
  </si>
  <si>
    <t>s8037</t>
  </si>
  <si>
    <t>s8038</t>
  </si>
  <si>
    <t>s8055</t>
  </si>
  <si>
    <t>s9000</t>
  </si>
  <si>
    <t>s9026</t>
  </si>
  <si>
    <t>s9027</t>
  </si>
  <si>
    <t>s9032</t>
  </si>
  <si>
    <t>s9033</t>
  </si>
  <si>
    <t>s9037</t>
  </si>
  <si>
    <t>sa7035</t>
  </si>
  <si>
    <t>sa7036</t>
  </si>
  <si>
    <t>sa7038</t>
  </si>
  <si>
    <t>sd2030</t>
  </si>
  <si>
    <t>sd2083</t>
  </si>
  <si>
    <t>sd5060</t>
  </si>
  <si>
    <t>sd6060</t>
  </si>
  <si>
    <t>sd6080</t>
  </si>
  <si>
    <t>sd7003</t>
  </si>
  <si>
    <t>sd7032</t>
  </si>
  <si>
    <t>sd7034</t>
  </si>
  <si>
    <t>sd7037</t>
  </si>
  <si>
    <t>sd7043</t>
  </si>
  <si>
    <t>sd7062</t>
  </si>
  <si>
    <t>sd7080</t>
  </si>
  <si>
    <t>sd7084</t>
  </si>
  <si>
    <t>sd7090</t>
  </si>
  <si>
    <t>sd8000</t>
  </si>
  <si>
    <t>sd8020</t>
  </si>
  <si>
    <t>sd8040</t>
  </si>
  <si>
    <t>sg6040</t>
  </si>
  <si>
    <t>sg6041</t>
  </si>
  <si>
    <t>sg6042</t>
  </si>
  <si>
    <t>sg6043</t>
  </si>
  <si>
    <t>sg6050</t>
  </si>
  <si>
    <t>sg6051</t>
  </si>
  <si>
    <t>sm701</t>
  </si>
  <si>
    <t>ste87151</t>
  </si>
  <si>
    <t>ste87391</t>
  </si>
  <si>
    <t>stf86361</t>
  </si>
  <si>
    <t>th25816</t>
  </si>
  <si>
    <t>ys915</t>
  </si>
  <si>
    <t>ys930</t>
  </si>
  <si>
    <t>ag03_</t>
  </si>
  <si>
    <t>re_num_</t>
  </si>
  <si>
    <t>ag04_</t>
  </si>
  <si>
    <t>ag08_</t>
  </si>
  <si>
    <t>ag09_</t>
  </si>
  <si>
    <t>ag10_</t>
  </si>
  <si>
    <t>ag11_</t>
  </si>
  <si>
    <t>ag12_</t>
  </si>
  <si>
    <t>ag13_</t>
  </si>
  <si>
    <t>ag14_</t>
  </si>
  <si>
    <t>ag16_</t>
  </si>
  <si>
    <t>ag17_</t>
  </si>
  <si>
    <t>ag18_</t>
  </si>
  <si>
    <t>ag19_</t>
  </si>
  <si>
    <t>ag35_</t>
  </si>
  <si>
    <t>ag36_</t>
  </si>
  <si>
    <t>ag37_</t>
  </si>
  <si>
    <t>ag38_</t>
  </si>
  <si>
    <t>ag44ct02r_</t>
  </si>
  <si>
    <t>ag455ct02r_</t>
  </si>
  <si>
    <t>ag45c03_</t>
  </si>
  <si>
    <t>ag45ct02r_</t>
  </si>
  <si>
    <t>ag46c03_</t>
  </si>
  <si>
    <t>ag46ct02r_</t>
  </si>
  <si>
    <t>ag47c03_</t>
  </si>
  <si>
    <t>ag47ct02r_</t>
  </si>
  <si>
    <t>ah63k127_</t>
  </si>
  <si>
    <t>ah6407_</t>
  </si>
  <si>
    <t>ah7476_</t>
  </si>
  <si>
    <t>ah79100a_</t>
  </si>
  <si>
    <t>ah79100b_</t>
  </si>
  <si>
    <t>ah79100c_</t>
  </si>
  <si>
    <t>ah79k132_</t>
  </si>
  <si>
    <t>ah79k135_</t>
  </si>
  <si>
    <t>ah79k143_</t>
  </si>
  <si>
    <t>ah80129_</t>
  </si>
  <si>
    <t>ah80136_</t>
  </si>
  <si>
    <t>ah80140_</t>
  </si>
  <si>
    <t>ah81131_</t>
  </si>
  <si>
    <t>ah81k144_</t>
  </si>
  <si>
    <t>ah81k144wfKlappe_</t>
  </si>
  <si>
    <t>ah82150a_</t>
  </si>
  <si>
    <t>ah82150f_</t>
  </si>
  <si>
    <t>ah83150q_</t>
  </si>
  <si>
    <t>ah83159_</t>
  </si>
  <si>
    <t>ah85l120_</t>
  </si>
  <si>
    <t>ah88k130_</t>
  </si>
  <si>
    <t>ah88k136_</t>
  </si>
  <si>
    <t>ah93156_</t>
  </si>
  <si>
    <t>ah93157_</t>
  </si>
  <si>
    <t>ah93k130_</t>
  </si>
  <si>
    <t>ah93k131_</t>
  </si>
  <si>
    <t>ah93k132_</t>
  </si>
  <si>
    <t>ah93w145_</t>
  </si>
  <si>
    <t>ah93w174_</t>
  </si>
  <si>
    <t>ah93w215_</t>
  </si>
  <si>
    <t>ah93w257_</t>
  </si>
  <si>
    <t>ah93w300_</t>
  </si>
  <si>
    <t>ah94145_</t>
  </si>
  <si>
    <t>ah94156_</t>
  </si>
  <si>
    <t>ah94w301_</t>
  </si>
  <si>
    <t>ah95160_</t>
  </si>
  <si>
    <t>dae11_</t>
  </si>
  <si>
    <t>dae21_</t>
  </si>
  <si>
    <t>dae31_</t>
  </si>
  <si>
    <t>dae51_</t>
  </si>
  <si>
    <t>defcnd1_</t>
  </si>
  <si>
    <t>defcnd2_</t>
  </si>
  <si>
    <t>defcnd3_</t>
  </si>
  <si>
    <t>du8608418_</t>
  </si>
  <si>
    <t>du861372_</t>
  </si>
  <si>
    <t>e1098_</t>
  </si>
  <si>
    <t>e1210_</t>
  </si>
  <si>
    <t>e1211_</t>
  </si>
  <si>
    <t>e1212_</t>
  </si>
  <si>
    <t>e1213_</t>
  </si>
  <si>
    <t>e1214_</t>
  </si>
  <si>
    <t>e1230_</t>
  </si>
  <si>
    <t>e1233_</t>
  </si>
  <si>
    <t>e168_</t>
  </si>
  <si>
    <t>e169_</t>
  </si>
  <si>
    <t>e171_</t>
  </si>
  <si>
    <t>e174_</t>
  </si>
  <si>
    <t>e176_</t>
  </si>
  <si>
    <t>e178_</t>
  </si>
  <si>
    <t>e180_</t>
  </si>
  <si>
    <t>e182_</t>
  </si>
  <si>
    <t>e184_</t>
  </si>
  <si>
    <t>e186_</t>
  </si>
  <si>
    <t>e193_</t>
  </si>
  <si>
    <t>e195_</t>
  </si>
  <si>
    <t>e197_</t>
  </si>
  <si>
    <t>e201_</t>
  </si>
  <si>
    <t>e203_</t>
  </si>
  <si>
    <t>e205_</t>
  </si>
  <si>
    <t>e207_</t>
  </si>
  <si>
    <t>e209_</t>
  </si>
  <si>
    <t>e210_</t>
  </si>
  <si>
    <t>e211_</t>
  </si>
  <si>
    <t>e212_</t>
  </si>
  <si>
    <t>e214_</t>
  </si>
  <si>
    <t>e216_</t>
  </si>
  <si>
    <t>e220_</t>
  </si>
  <si>
    <t>e221_</t>
  </si>
  <si>
    <t>e222_</t>
  </si>
  <si>
    <t>e224_</t>
  </si>
  <si>
    <t>e226_</t>
  </si>
  <si>
    <t>e228_</t>
  </si>
  <si>
    <t>e230_</t>
  </si>
  <si>
    <t>e266_</t>
  </si>
  <si>
    <t>e297_</t>
  </si>
  <si>
    <t>e325_</t>
  </si>
  <si>
    <t>e326_</t>
  </si>
  <si>
    <t>e327_</t>
  </si>
  <si>
    <t>e328_</t>
  </si>
  <si>
    <t>e329_</t>
  </si>
  <si>
    <t>e330_</t>
  </si>
  <si>
    <t>e331_</t>
  </si>
  <si>
    <t>e332_</t>
  </si>
  <si>
    <t>e333_</t>
  </si>
  <si>
    <t>e334_</t>
  </si>
  <si>
    <t>e335_</t>
  </si>
  <si>
    <t>e336_</t>
  </si>
  <si>
    <t>e337_</t>
  </si>
  <si>
    <t>e338_</t>
  </si>
  <si>
    <t>e339_</t>
  </si>
  <si>
    <t>e341_</t>
  </si>
  <si>
    <t>e342_</t>
  </si>
  <si>
    <t>e343_</t>
  </si>
  <si>
    <t>e344_</t>
  </si>
  <si>
    <t>e360_</t>
  </si>
  <si>
    <t>e361_</t>
  </si>
  <si>
    <t>e374_</t>
  </si>
  <si>
    <t>e376_</t>
  </si>
  <si>
    <t>e377_</t>
  </si>
  <si>
    <t>e377m_</t>
  </si>
  <si>
    <t>e378_</t>
  </si>
  <si>
    <t>e379_</t>
  </si>
  <si>
    <t>e385_</t>
  </si>
  <si>
    <t>e387_</t>
  </si>
  <si>
    <t>e392_</t>
  </si>
  <si>
    <t>e393_</t>
  </si>
  <si>
    <t>e395_</t>
  </si>
  <si>
    <t>e396_</t>
  </si>
  <si>
    <t>e397_</t>
  </si>
  <si>
    <t>e398_</t>
  </si>
  <si>
    <t>e399_</t>
  </si>
  <si>
    <t>e403_</t>
  </si>
  <si>
    <t>e407_</t>
  </si>
  <si>
    <t>e417_</t>
  </si>
  <si>
    <t>e420_</t>
  </si>
  <si>
    <t>e421_</t>
  </si>
  <si>
    <t>e422_</t>
  </si>
  <si>
    <t>e423_</t>
  </si>
  <si>
    <t>e426_</t>
  </si>
  <si>
    <t>e428_</t>
  </si>
  <si>
    <t>e431_</t>
  </si>
  <si>
    <t>e432_</t>
  </si>
  <si>
    <t>e433_</t>
  </si>
  <si>
    <t>e434_</t>
  </si>
  <si>
    <t>e435_</t>
  </si>
  <si>
    <t>e471_</t>
  </si>
  <si>
    <t>e472_</t>
  </si>
  <si>
    <t>e473_</t>
  </si>
  <si>
    <t>e474_</t>
  </si>
  <si>
    <t>e475_</t>
  </si>
  <si>
    <t>e479_</t>
  </si>
  <si>
    <t>e485_</t>
  </si>
  <si>
    <t>e49_</t>
  </si>
  <si>
    <t>e502_</t>
  </si>
  <si>
    <t>e520_</t>
  </si>
  <si>
    <t>e521_</t>
  </si>
  <si>
    <t>e540_</t>
  </si>
  <si>
    <t>e541_</t>
  </si>
  <si>
    <t>e542_</t>
  </si>
  <si>
    <t>e543_</t>
  </si>
  <si>
    <t>e544_</t>
  </si>
  <si>
    <t>e545_</t>
  </si>
  <si>
    <t>e546_</t>
  </si>
  <si>
    <t>e547_</t>
  </si>
  <si>
    <t>e548_</t>
  </si>
  <si>
    <t>e549_</t>
  </si>
  <si>
    <t>e550_</t>
  </si>
  <si>
    <t>e551_</t>
  </si>
  <si>
    <t>e552_</t>
  </si>
  <si>
    <t>e553_</t>
  </si>
  <si>
    <t>e554_</t>
  </si>
  <si>
    <t>e555_</t>
  </si>
  <si>
    <t>e556_</t>
  </si>
  <si>
    <t>e557_</t>
  </si>
  <si>
    <t>e558_</t>
  </si>
  <si>
    <t>e559_</t>
  </si>
  <si>
    <t>e560_</t>
  </si>
  <si>
    <t>e561_</t>
  </si>
  <si>
    <t>e562_</t>
  </si>
  <si>
    <t>e58_</t>
  </si>
  <si>
    <t>e580_</t>
  </si>
  <si>
    <t>e582_</t>
  </si>
  <si>
    <t>e583_</t>
  </si>
  <si>
    <t>e584_</t>
  </si>
  <si>
    <t>e585_</t>
  </si>
  <si>
    <t>e587_</t>
  </si>
  <si>
    <t>e59_</t>
  </si>
  <si>
    <t>e591_</t>
  </si>
  <si>
    <t>e593_</t>
  </si>
  <si>
    <t>e598_</t>
  </si>
  <si>
    <t>e603_</t>
  </si>
  <si>
    <t>e604_</t>
  </si>
  <si>
    <t>e61_</t>
  </si>
  <si>
    <t>e62_</t>
  </si>
  <si>
    <t>e625_</t>
  </si>
  <si>
    <t>e63_</t>
  </si>
  <si>
    <t>e635_</t>
  </si>
  <si>
    <t>e636_</t>
  </si>
  <si>
    <t>e637_</t>
  </si>
  <si>
    <t>e638_</t>
  </si>
  <si>
    <t>e639_</t>
  </si>
  <si>
    <t>e64_</t>
  </si>
  <si>
    <t>e642_</t>
  </si>
  <si>
    <t>e654_</t>
  </si>
  <si>
    <t>e655_</t>
  </si>
  <si>
    <t>e656_</t>
  </si>
  <si>
    <t>e657_</t>
  </si>
  <si>
    <t>e66_</t>
  </si>
  <si>
    <t>e662_</t>
  </si>
  <si>
    <t>e664_</t>
  </si>
  <si>
    <t>e664ex_</t>
  </si>
  <si>
    <t>e668_</t>
  </si>
  <si>
    <t>e67_</t>
  </si>
  <si>
    <t>e678_</t>
  </si>
  <si>
    <t>e68_</t>
  </si>
  <si>
    <t>e682_</t>
  </si>
  <si>
    <t>e694_</t>
  </si>
  <si>
    <t>e71_</t>
  </si>
  <si>
    <t>e715_</t>
  </si>
  <si>
    <t>e748_</t>
  </si>
  <si>
    <t>e793_</t>
  </si>
  <si>
    <t>e817_</t>
  </si>
  <si>
    <t>e818_</t>
  </si>
  <si>
    <t>e836_</t>
  </si>
  <si>
    <t>e837_</t>
  </si>
  <si>
    <t>e838_</t>
  </si>
  <si>
    <t>e851_</t>
  </si>
  <si>
    <t>e853_</t>
  </si>
  <si>
    <t>e854_</t>
  </si>
  <si>
    <t>e855_</t>
  </si>
  <si>
    <t>e856_</t>
  </si>
  <si>
    <t>e857_</t>
  </si>
  <si>
    <t>e858_</t>
  </si>
  <si>
    <t>e862_</t>
  </si>
  <si>
    <t>e863_</t>
  </si>
  <si>
    <t>e864_</t>
  </si>
  <si>
    <t>e874_</t>
  </si>
  <si>
    <t>e904_</t>
  </si>
  <si>
    <t>e908_</t>
  </si>
  <si>
    <t>ea61009_</t>
  </si>
  <si>
    <t>ea61012_</t>
  </si>
  <si>
    <t>ea81006_</t>
  </si>
  <si>
    <t>eh0009_</t>
  </si>
  <si>
    <t>eh1070_</t>
  </si>
  <si>
    <t>eh1090_</t>
  </si>
  <si>
    <t>eh1590_</t>
  </si>
  <si>
    <t>eh2010_</t>
  </si>
  <si>
    <t>eh2012_</t>
  </si>
  <si>
    <t>eh2070_</t>
  </si>
  <si>
    <t>eh2510_</t>
  </si>
  <si>
    <t>eh3012_</t>
  </si>
  <si>
    <t>fx049915_</t>
  </si>
  <si>
    <t>fx05188_</t>
  </si>
  <si>
    <t>fx05191_</t>
  </si>
  <si>
    <t>fx057816_</t>
  </si>
  <si>
    <t>fx05h126_</t>
  </si>
  <si>
    <t>fx082512_</t>
  </si>
  <si>
    <t>fx08s176_</t>
  </si>
  <si>
    <t>fx2_</t>
  </si>
  <si>
    <t>fx38153_</t>
  </si>
  <si>
    <t>fx60100_</t>
  </si>
  <si>
    <t>fx601001_</t>
  </si>
  <si>
    <t>fx60100sm_</t>
  </si>
  <si>
    <t>fx60126_</t>
  </si>
  <si>
    <t>fx601261_</t>
  </si>
  <si>
    <t>fx60157_</t>
  </si>
  <si>
    <t>fx60160_</t>
  </si>
  <si>
    <t>fx60177_</t>
  </si>
  <si>
    <t>fx61147_</t>
  </si>
  <si>
    <t>fx61168_</t>
  </si>
  <si>
    <t>fx61184_</t>
  </si>
  <si>
    <t>fx63100_</t>
  </si>
  <si>
    <t>fx63110_</t>
  </si>
  <si>
    <t>fx63120_</t>
  </si>
  <si>
    <t>fx63137_</t>
  </si>
  <si>
    <t>fx63143_</t>
  </si>
  <si>
    <t>fx63145_</t>
  </si>
  <si>
    <t>fx63158_</t>
  </si>
  <si>
    <t>fx6617a2_</t>
  </si>
  <si>
    <t>fx6617ai_</t>
  </si>
  <si>
    <t>fx66182_</t>
  </si>
  <si>
    <t>fx66196v_</t>
  </si>
  <si>
    <t>fx66a175_</t>
  </si>
  <si>
    <t>fx66h60_</t>
  </si>
  <si>
    <t>fx66h80_</t>
  </si>
  <si>
    <t>fx66s161_</t>
  </si>
  <si>
    <t>fx66s171_</t>
  </si>
  <si>
    <t>fx66s196_</t>
  </si>
  <si>
    <t>fx67k150_</t>
  </si>
  <si>
    <t>fx67k170_</t>
  </si>
  <si>
    <t>fx68h120_</t>
  </si>
  <si>
    <t>fx69h083_</t>
  </si>
  <si>
    <t>fx69h098_</t>
  </si>
  <si>
    <t>fx69pr281_</t>
  </si>
  <si>
    <t>fx71089a_</t>
  </si>
  <si>
    <t>fx71120_</t>
  </si>
  <si>
    <t>fx711520_</t>
  </si>
  <si>
    <t>fx711525_</t>
  </si>
  <si>
    <t>fx711530_</t>
  </si>
  <si>
    <t>fx71l150_</t>
  </si>
  <si>
    <t>fx72150b_</t>
  </si>
  <si>
    <t>fx72ls160_</t>
  </si>
  <si>
    <t>fx73170_</t>
  </si>
  <si>
    <t>fx73170a_</t>
  </si>
  <si>
    <t>fx73cl1152_</t>
  </si>
  <si>
    <t>fx73cl2152_</t>
  </si>
  <si>
    <t>fx73cl3152_</t>
  </si>
  <si>
    <t>fx73k170_</t>
  </si>
  <si>
    <t>fx74080_</t>
  </si>
  <si>
    <t>fx74130wp1_</t>
  </si>
  <si>
    <t>fx74130wp2_</t>
  </si>
  <si>
    <t>fx74130wp2mod_</t>
  </si>
  <si>
    <t>fx74cl5140_</t>
  </si>
  <si>
    <t>fx74cl6140_</t>
  </si>
  <si>
    <t>fx74modsm_</t>
  </si>
  <si>
    <t>fx75141_</t>
  </si>
  <si>
    <t>fx75193_</t>
  </si>
  <si>
    <t>fx75vg166_</t>
  </si>
  <si>
    <t>fx76100_</t>
  </si>
  <si>
    <t>fx76120_</t>
  </si>
  <si>
    <t>fx76mp120_</t>
  </si>
  <si>
    <t>fx76mp140_</t>
  </si>
  <si>
    <t>fx76mp160_</t>
  </si>
  <si>
    <t>fx77080_</t>
  </si>
  <si>
    <t>fx77w121_</t>
  </si>
  <si>
    <t>fx77w153_</t>
  </si>
  <si>
    <t>fx77w258_</t>
  </si>
  <si>
    <t>fx77w270_</t>
  </si>
  <si>
    <t>fx77w343_</t>
  </si>
  <si>
    <t>fx78k140_</t>
  </si>
  <si>
    <t>fx78k140a20_</t>
  </si>
  <si>
    <t>fx78k150_</t>
  </si>
  <si>
    <t>fx78k161_</t>
  </si>
  <si>
    <t>fx78pk188_</t>
  </si>
  <si>
    <t>fx79k144_</t>
  </si>
  <si>
    <t>fx79l100_</t>
  </si>
  <si>
    <t>fx79l120_</t>
  </si>
  <si>
    <t>fx79w151a_</t>
  </si>
  <si>
    <t>fx80080_</t>
  </si>
  <si>
    <t>fx83w108_</t>
  </si>
  <si>
    <t>fx83w160_</t>
  </si>
  <si>
    <t>fx83w227_</t>
  </si>
  <si>
    <t>fx84w097_</t>
  </si>
  <si>
    <t>fx84w127_</t>
  </si>
  <si>
    <t>fx84w140_</t>
  </si>
  <si>
    <t>fx84w150_</t>
  </si>
  <si>
    <t>fx84w175_</t>
  </si>
  <si>
    <t>fx84w218_</t>
  </si>
  <si>
    <t>fxl142k_</t>
  </si>
  <si>
    <t>fxlv152_</t>
  </si>
  <si>
    <t>fxm2_</t>
  </si>
  <si>
    <t>fxs02196_</t>
  </si>
  <si>
    <t>fxs03182_</t>
  </si>
  <si>
    <t>fxs21158_</t>
  </si>
  <si>
    <t>hq010_</t>
  </si>
  <si>
    <t>hq07_</t>
  </si>
  <si>
    <t>hq09_</t>
  </si>
  <si>
    <t>hq1010_</t>
  </si>
  <si>
    <t>hq108_</t>
  </si>
  <si>
    <t>hq109_</t>
  </si>
  <si>
    <t>hq1510_</t>
  </si>
  <si>
    <t>hq1511_</t>
  </si>
  <si>
    <t>hq1512_</t>
  </si>
  <si>
    <t>hq158_</t>
  </si>
  <si>
    <t>hq1585_</t>
  </si>
  <si>
    <t>hq159b_</t>
  </si>
  <si>
    <t>hq2010_</t>
  </si>
  <si>
    <t>hq2012_</t>
  </si>
  <si>
    <t>hq208_</t>
  </si>
  <si>
    <t>hq209_</t>
  </si>
  <si>
    <t>hq2090sm_</t>
  </si>
  <si>
    <t>hq2195_</t>
  </si>
  <si>
    <t>hq2510_</t>
  </si>
  <si>
    <t>hq2511_</t>
  </si>
  <si>
    <t>hq2512_</t>
  </si>
  <si>
    <t>hq258_</t>
  </si>
  <si>
    <t>hq259_</t>
  </si>
  <si>
    <t>hq2590sm_</t>
  </si>
  <si>
    <t>hq259b_</t>
  </si>
  <si>
    <t>hq300gd2_</t>
  </si>
  <si>
    <t>hq3010_</t>
  </si>
  <si>
    <t>hq3011_</t>
  </si>
  <si>
    <t>hq3012_</t>
  </si>
  <si>
    <t>hq3013_</t>
  </si>
  <si>
    <t>hq3014_</t>
  </si>
  <si>
    <t>hq3015_</t>
  </si>
  <si>
    <t>hq308_</t>
  </si>
  <si>
    <t>hq309_</t>
  </si>
  <si>
    <t>hq3510_</t>
  </si>
  <si>
    <t>hq3512_</t>
  </si>
  <si>
    <t>hq3513_</t>
  </si>
  <si>
    <t>hq3514_</t>
  </si>
  <si>
    <t>hq3518_</t>
  </si>
  <si>
    <t>hq358_</t>
  </si>
  <si>
    <t>hq359_</t>
  </si>
  <si>
    <t>ht05_</t>
  </si>
  <si>
    <t>ht08_</t>
  </si>
  <si>
    <t>ht12_</t>
  </si>
  <si>
    <t>ht22_</t>
  </si>
  <si>
    <t>ht23_</t>
  </si>
  <si>
    <t>l7769_</t>
  </si>
  <si>
    <t>la2573a_</t>
  </si>
  <si>
    <t>mh102_</t>
  </si>
  <si>
    <t>mh104_</t>
  </si>
  <si>
    <t>mh106_</t>
  </si>
  <si>
    <t>mh108_</t>
  </si>
  <si>
    <t>mh110_</t>
  </si>
  <si>
    <t>mh112_</t>
  </si>
  <si>
    <t>mh113_</t>
  </si>
  <si>
    <t>mh114_</t>
  </si>
  <si>
    <t>mh115_</t>
  </si>
  <si>
    <t>mh116_</t>
  </si>
  <si>
    <t>mh117_</t>
  </si>
  <si>
    <t>mh120_</t>
  </si>
  <si>
    <t>mh121_</t>
  </si>
  <si>
    <t>mh122_</t>
  </si>
  <si>
    <t>mh18_</t>
  </si>
  <si>
    <t>mh20_</t>
  </si>
  <si>
    <t>mh200_</t>
  </si>
  <si>
    <t>mh201_</t>
  </si>
  <si>
    <t>mh22_</t>
  </si>
  <si>
    <t>mh23_</t>
  </si>
  <si>
    <t>mh24_</t>
  </si>
  <si>
    <t>mh25_</t>
  </si>
  <si>
    <t>mh26_</t>
  </si>
  <si>
    <t>mh27_</t>
  </si>
  <si>
    <t>mh30_</t>
  </si>
  <si>
    <t>mh32_</t>
  </si>
  <si>
    <t>mh38_</t>
  </si>
  <si>
    <t>mh42_</t>
  </si>
  <si>
    <t>mh43_</t>
  </si>
  <si>
    <t>mh44_</t>
  </si>
  <si>
    <t>mh45_</t>
  </si>
  <si>
    <t>mh46_</t>
  </si>
  <si>
    <t>mh60_</t>
  </si>
  <si>
    <t>mh61_</t>
  </si>
  <si>
    <t>mh62_</t>
  </si>
  <si>
    <t>mh64_</t>
  </si>
  <si>
    <t>mh70_</t>
  </si>
  <si>
    <t>mh78_</t>
  </si>
  <si>
    <t>mh80_</t>
  </si>
  <si>
    <t>mh81_</t>
  </si>
  <si>
    <t>mh82_</t>
  </si>
  <si>
    <t>mh83_</t>
  </si>
  <si>
    <t>mh84_</t>
  </si>
  <si>
    <t>mh91_</t>
  </si>
  <si>
    <t>mh92_</t>
  </si>
  <si>
    <t>mh93_</t>
  </si>
  <si>
    <t>mh94_</t>
  </si>
  <si>
    <t>mh95_</t>
  </si>
  <si>
    <t>mrc-16_</t>
  </si>
  <si>
    <t>mrc-20_</t>
  </si>
  <si>
    <t>nlf0115_</t>
  </si>
  <si>
    <t>nlf0215f_</t>
  </si>
  <si>
    <t>nlf1015_</t>
  </si>
  <si>
    <t>nlf414f_</t>
  </si>
  <si>
    <t>nlf415_</t>
  </si>
  <si>
    <t>nlf416_</t>
  </si>
  <si>
    <t>psu-90-125wl_</t>
  </si>
  <si>
    <t>psu94097_</t>
  </si>
  <si>
    <t>r1046_</t>
  </si>
  <si>
    <t>r1080_</t>
  </si>
  <si>
    <t>r1082_</t>
  </si>
  <si>
    <t>r1082t_</t>
  </si>
  <si>
    <t>rg12_</t>
  </si>
  <si>
    <t>rg12a_</t>
  </si>
  <si>
    <t>rg12a189_</t>
  </si>
  <si>
    <t>rg14_</t>
  </si>
  <si>
    <t>rg1410_</t>
  </si>
  <si>
    <t>rg149_</t>
  </si>
  <si>
    <t>rg1495_</t>
  </si>
  <si>
    <t>rg14a147_</t>
  </si>
  <si>
    <t>rg15_</t>
  </si>
  <si>
    <t>rg15a111_</t>
  </si>
  <si>
    <t>rg15a213_</t>
  </si>
  <si>
    <t>rg8_</t>
  </si>
  <si>
    <t>s1010_</t>
  </si>
  <si>
    <t>s1012_</t>
  </si>
  <si>
    <t>s1014_</t>
  </si>
  <si>
    <t>s1016_</t>
  </si>
  <si>
    <t>s1020_</t>
  </si>
  <si>
    <t>s1046_</t>
  </si>
  <si>
    <t>s1048_</t>
  </si>
  <si>
    <t>s1091_</t>
  </si>
  <si>
    <t>s1210_</t>
  </si>
  <si>
    <t>s1223_</t>
  </si>
  <si>
    <t>s2027_</t>
  </si>
  <si>
    <t>s2046_</t>
  </si>
  <si>
    <t>s2048_</t>
  </si>
  <si>
    <t>s2050_</t>
  </si>
  <si>
    <t>s2055_</t>
  </si>
  <si>
    <t>s2060_</t>
  </si>
  <si>
    <t>s2062_</t>
  </si>
  <si>
    <t>s2091_</t>
  </si>
  <si>
    <t>s3002_</t>
  </si>
  <si>
    <t>s3010_</t>
  </si>
  <si>
    <t>s3014_</t>
  </si>
  <si>
    <t>s3016_</t>
  </si>
  <si>
    <t>s3021_</t>
  </si>
  <si>
    <t>s3024_</t>
  </si>
  <si>
    <t>s3025_</t>
  </si>
  <si>
    <t>s4022_</t>
  </si>
  <si>
    <t>s4053_</t>
  </si>
  <si>
    <t>s4061_</t>
  </si>
  <si>
    <t>s4062_</t>
  </si>
  <si>
    <t>s4083_</t>
  </si>
  <si>
    <t>s4110_</t>
  </si>
  <si>
    <t>s4158_</t>
  </si>
  <si>
    <t>s4180_</t>
  </si>
  <si>
    <t>s4233_</t>
  </si>
  <si>
    <t>s4310_</t>
  </si>
  <si>
    <t>s4320_</t>
  </si>
  <si>
    <t>s5010_</t>
  </si>
  <si>
    <t>s5020_</t>
  </si>
  <si>
    <t>s6061_</t>
  </si>
  <si>
    <t>s6062_</t>
  </si>
  <si>
    <t>s6063_</t>
  </si>
  <si>
    <t>s7012_</t>
  </si>
  <si>
    <t>s7055_</t>
  </si>
  <si>
    <t>s7075_</t>
  </si>
  <si>
    <t>s8025_</t>
  </si>
  <si>
    <t>s8035_</t>
  </si>
  <si>
    <t>s8036_</t>
  </si>
  <si>
    <t>s8037_</t>
  </si>
  <si>
    <t>s8038_</t>
  </si>
  <si>
    <t>s8055_</t>
  </si>
  <si>
    <t>s9000_</t>
  </si>
  <si>
    <t>s9026_</t>
  </si>
  <si>
    <t>s9027_</t>
  </si>
  <si>
    <t>s9032_</t>
  </si>
  <si>
    <t>s9033_</t>
  </si>
  <si>
    <t>s9037_</t>
  </si>
  <si>
    <t>sa7035_</t>
  </si>
  <si>
    <t>sa7036_</t>
  </si>
  <si>
    <t>sa7038_</t>
  </si>
  <si>
    <t>sd2030_</t>
  </si>
  <si>
    <t>sd2083_</t>
  </si>
  <si>
    <t>sd5060_</t>
  </si>
  <si>
    <t>sd6060_</t>
  </si>
  <si>
    <t>sd6080_</t>
  </si>
  <si>
    <t>sd7003_</t>
  </si>
  <si>
    <t>sd7032_</t>
  </si>
  <si>
    <t>sd7034_</t>
  </si>
  <si>
    <t>sd7037_</t>
  </si>
  <si>
    <t>sd7043_</t>
  </si>
  <si>
    <t>sd7062_</t>
  </si>
  <si>
    <t>sd7080_</t>
  </si>
  <si>
    <t>sd7084_</t>
  </si>
  <si>
    <t>sd7090_</t>
  </si>
  <si>
    <t>sd8000_</t>
  </si>
  <si>
    <t>sd8020_</t>
  </si>
  <si>
    <t>sd8040_</t>
  </si>
  <si>
    <t>sg6040_</t>
  </si>
  <si>
    <t>sg6041_</t>
  </si>
  <si>
    <t>sg6042_</t>
  </si>
  <si>
    <t>sg6043_</t>
  </si>
  <si>
    <t>sg6050_</t>
  </si>
  <si>
    <t>sg6051_</t>
  </si>
  <si>
    <t>sm701_</t>
  </si>
  <si>
    <t>ste87151_</t>
  </si>
  <si>
    <t>ste87391_</t>
  </si>
  <si>
    <t>stf86361_</t>
  </si>
  <si>
    <t>th25816_</t>
  </si>
  <si>
    <t>ys915_</t>
  </si>
  <si>
    <t>ys930_</t>
  </si>
  <si>
    <t>NOTE : IF MORE THAN 256 AIRFOILS WERE SELECTED NO PLOT WILL BE GENERATED</t>
  </si>
  <si>
    <t>r1046</t>
  </si>
  <si>
    <t>r1080</t>
  </si>
  <si>
    <t>r1082</t>
  </si>
  <si>
    <t>r1082t</t>
  </si>
  <si>
    <t>RE@cd=0.01</t>
  </si>
  <si>
    <t>RE@cd=0.02</t>
  </si>
  <si>
    <t>RE@cd=3*min_cd</t>
  </si>
  <si>
    <t>RE@min_cd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</si>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</sst>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1" fontId="0" fillId="0" borderId="0" xfId="0" applyNumberFormat="1"/>
    <xf numFmtId="0" fontId="0" fillId="2" borderId="0" xfId="0" applyFill="1"/>
    <xf numFmtId="10" fontId="0" fillId="2" borderId="0" xfId="0" applyNumberFormat="1" applyFill="1"/>
    <xf numFmtId="10" fontId="0" fillId="0" borderId="0" xfId="0" applyNumberFormat="1"/>
    <xf numFmtId="0" fontId="1" fillId="0" borderId="1" xfId="0" applyFont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5" borderId="0" xfId="0" applyFont="1" applyFill="1" applyAlignment="1">
      <alignment horizontal="center"/>
    </xf>
    <xf numFmtId="0" fontId="0" fillId="0" borderId="0" xfId="0" applyFill="1"/>
    <xf numFmtId="0" fontId="1" fillId="6" borderId="2" xfId="0" applyFont="1" applyFill="1" applyBorder="1" applyAlignment="1">
      <alignment horizontal="center" vertical="top"/>
    </xf>
    <xf numFmtId="0" fontId="3" fillId="7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Re-CD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fx601261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RECD!$A$2:$A$73</c:f>
              <c:numCache>
                <c:formatCode>General</c:formatCode>
                <c:ptCount val="72"/>
                <c:pt idx="0">
                  <c:v>50000</c:v>
                </c:pt>
                <c:pt idx="1">
                  <c:v>60000</c:v>
                </c:pt>
                <c:pt idx="2">
                  <c:v>70000</c:v>
                </c:pt>
                <c:pt idx="3">
                  <c:v>80000</c:v>
                </c:pt>
                <c:pt idx="4">
                  <c:v>90000</c:v>
                </c:pt>
                <c:pt idx="5">
                  <c:v>100000</c:v>
                </c:pt>
                <c:pt idx="6">
                  <c:v>125000</c:v>
                </c:pt>
                <c:pt idx="7">
                  <c:v>150000</c:v>
                </c:pt>
                <c:pt idx="8">
                  <c:v>175000</c:v>
                </c:pt>
                <c:pt idx="9">
                  <c:v>200000</c:v>
                </c:pt>
                <c:pt idx="10">
                  <c:v>225000</c:v>
                </c:pt>
                <c:pt idx="11">
                  <c:v>250000</c:v>
                </c:pt>
                <c:pt idx="12">
                  <c:v>275000</c:v>
                </c:pt>
                <c:pt idx="13">
                  <c:v>300000</c:v>
                </c:pt>
                <c:pt idx="14">
                  <c:v>325000</c:v>
                </c:pt>
                <c:pt idx="15">
                  <c:v>350000</c:v>
                </c:pt>
                <c:pt idx="16">
                  <c:v>375000</c:v>
                </c:pt>
                <c:pt idx="17">
                  <c:v>400000</c:v>
                </c:pt>
                <c:pt idx="18">
                  <c:v>425000</c:v>
                </c:pt>
                <c:pt idx="19">
                  <c:v>450000</c:v>
                </c:pt>
                <c:pt idx="20">
                  <c:v>475000</c:v>
                </c:pt>
                <c:pt idx="21">
                  <c:v>500000</c:v>
                </c:pt>
                <c:pt idx="22">
                  <c:v>525000</c:v>
                </c:pt>
                <c:pt idx="23">
                  <c:v>550000</c:v>
                </c:pt>
                <c:pt idx="24">
                  <c:v>575000</c:v>
                </c:pt>
                <c:pt idx="25">
                  <c:v>600000</c:v>
                </c:pt>
                <c:pt idx="26">
                  <c:v>625000</c:v>
                </c:pt>
                <c:pt idx="27">
                  <c:v>650000</c:v>
                </c:pt>
                <c:pt idx="28">
                  <c:v>675000</c:v>
                </c:pt>
                <c:pt idx="29">
                  <c:v>700000</c:v>
                </c:pt>
                <c:pt idx="30">
                  <c:v>725000</c:v>
                </c:pt>
                <c:pt idx="31">
                  <c:v>750000</c:v>
                </c:pt>
                <c:pt idx="32">
                  <c:v>775000</c:v>
                </c:pt>
                <c:pt idx="33">
                  <c:v>800000</c:v>
                </c:pt>
                <c:pt idx="34">
                  <c:v>825000</c:v>
                </c:pt>
                <c:pt idx="35">
                  <c:v>850000</c:v>
                </c:pt>
                <c:pt idx="36">
                  <c:v>875000</c:v>
                </c:pt>
                <c:pt idx="37">
                  <c:v>900000</c:v>
                </c:pt>
                <c:pt idx="38">
                  <c:v>925000</c:v>
                </c:pt>
                <c:pt idx="39">
                  <c:v>950000</c:v>
                </c:pt>
                <c:pt idx="40">
                  <c:v>975000</c:v>
                </c:pt>
                <c:pt idx="41">
                  <c:v>1000000</c:v>
                </c:pt>
                <c:pt idx="42">
                  <c:v>1050000</c:v>
                </c:pt>
                <c:pt idx="43">
                  <c:v>1100000</c:v>
                </c:pt>
                <c:pt idx="44">
                  <c:v>1150000</c:v>
                </c:pt>
                <c:pt idx="45">
                  <c:v>1200000</c:v>
                </c:pt>
                <c:pt idx="46">
                  <c:v>1250000</c:v>
                </c:pt>
                <c:pt idx="47">
                  <c:v>1300000</c:v>
                </c:pt>
                <c:pt idx="48">
                  <c:v>1350000</c:v>
                </c:pt>
                <c:pt idx="49">
                  <c:v>1400000</c:v>
                </c:pt>
                <c:pt idx="50">
                  <c:v>1450000</c:v>
                </c:pt>
                <c:pt idx="51">
                  <c:v>1500000</c:v>
                </c:pt>
                <c:pt idx="52">
                  <c:v>1550000</c:v>
                </c:pt>
                <c:pt idx="53">
                  <c:v>1600000</c:v>
                </c:pt>
                <c:pt idx="54">
                  <c:v>1650000</c:v>
                </c:pt>
                <c:pt idx="55">
                  <c:v>1700000</c:v>
                </c:pt>
                <c:pt idx="56">
                  <c:v>1750000</c:v>
                </c:pt>
                <c:pt idx="57">
                  <c:v>1800000</c:v>
                </c:pt>
                <c:pt idx="58">
                  <c:v>1850000</c:v>
                </c:pt>
                <c:pt idx="59">
                  <c:v>1900000</c:v>
                </c:pt>
                <c:pt idx="60">
                  <c:v>1950000</c:v>
                </c:pt>
                <c:pt idx="61">
                  <c:v>2000000</c:v>
                </c:pt>
                <c:pt idx="62">
                  <c:v>2100000</c:v>
                </c:pt>
                <c:pt idx="63">
                  <c:v>2200000</c:v>
                </c:pt>
                <c:pt idx="64">
                  <c:v>2300000</c:v>
                </c:pt>
                <c:pt idx="65">
                  <c:v>2400000</c:v>
                </c:pt>
                <c:pt idx="66">
                  <c:v>2500000</c:v>
                </c:pt>
                <c:pt idx="67">
                  <c:v>2600000</c:v>
                </c:pt>
                <c:pt idx="68">
                  <c:v>2700000</c:v>
                </c:pt>
                <c:pt idx="69">
                  <c:v>2800000</c:v>
                </c:pt>
                <c:pt idx="70">
                  <c:v>2900000</c:v>
                </c:pt>
                <c:pt idx="71">
                  <c:v>3000000</c:v>
                </c:pt>
              </c:numCache>
            </c:numRef>
          </c:xVal>
          <c:yVal>
            <c:numRef>
              <c:f>RECD!$JU$2:$JU$73</c:f>
              <c:numCache>
                <c:formatCode>General</c:formatCode>
                <c:ptCount val="72"/>
                <c:pt idx="0">
                  <c:v>3.5209999999999998E-2</c:v>
                </c:pt>
                <c:pt idx="1">
                  <c:v>3.286E-2</c:v>
                </c:pt>
                <c:pt idx="2">
                  <c:v>2.9700000000000001E-2</c:v>
                </c:pt>
                <c:pt idx="3">
                  <c:v>2.6200000000000001E-2</c:v>
                </c:pt>
                <c:pt idx="4">
                  <c:v>2.3199999999999998E-2</c:v>
                </c:pt>
                <c:pt idx="5">
                  <c:v>2.0889999999999999E-2</c:v>
                </c:pt>
                <c:pt idx="6">
                  <c:v>1.7180000000000001E-2</c:v>
                </c:pt>
                <c:pt idx="7">
                  <c:v>1.4970000000000001E-2</c:v>
                </c:pt>
                <c:pt idx="8">
                  <c:v>1.3509999999999999E-2</c:v>
                </c:pt>
                <c:pt idx="9">
                  <c:v>1.242E-2</c:v>
                </c:pt>
                <c:pt idx="10">
                  <c:v>1.1560000000000001E-2</c:v>
                </c:pt>
                <c:pt idx="11">
                  <c:v>1.0869999999999999E-2</c:v>
                </c:pt>
                <c:pt idx="12">
                  <c:v>1.0319999999999999E-2</c:v>
                </c:pt>
                <c:pt idx="13">
                  <c:v>9.8799999999999999E-3</c:v>
                </c:pt>
                <c:pt idx="14">
                  <c:v>9.4900000000000002E-3</c:v>
                </c:pt>
                <c:pt idx="15">
                  <c:v>9.1800000000000007E-3</c:v>
                </c:pt>
                <c:pt idx="16">
                  <c:v>8.8999999999999999E-3</c:v>
                </c:pt>
                <c:pt idx="17">
                  <c:v>8.6700000000000006E-3</c:v>
                </c:pt>
                <c:pt idx="18">
                  <c:v>8.4799999999999997E-3</c:v>
                </c:pt>
                <c:pt idx="19">
                  <c:v>8.3000000000000001E-3</c:v>
                </c:pt>
                <c:pt idx="20">
                  <c:v>8.1499999999999993E-3</c:v>
                </c:pt>
                <c:pt idx="21">
                  <c:v>8.0300000000000007E-3</c:v>
                </c:pt>
                <c:pt idx="22">
                  <c:v>7.9100000000000004E-3</c:v>
                </c:pt>
                <c:pt idx="23">
                  <c:v>7.8300000000000002E-3</c:v>
                </c:pt>
                <c:pt idx="24">
                  <c:v>7.7400000000000004E-3</c:v>
                </c:pt>
                <c:pt idx="25">
                  <c:v>7.6699999999999997E-3</c:v>
                </c:pt>
                <c:pt idx="26">
                  <c:v>7.6099999999999996E-3</c:v>
                </c:pt>
                <c:pt idx="27">
                  <c:v>7.5500000000000003E-3</c:v>
                </c:pt>
                <c:pt idx="28">
                  <c:v>7.4999999999999997E-3</c:v>
                </c:pt>
                <c:pt idx="29">
                  <c:v>7.4700000000000001E-3</c:v>
                </c:pt>
                <c:pt idx="30">
                  <c:v>7.4599999999999996E-3</c:v>
                </c:pt>
                <c:pt idx="31">
                  <c:v>7.4400000000000004E-3</c:v>
                </c:pt>
                <c:pt idx="32">
                  <c:v>7.43E-3</c:v>
                </c:pt>
                <c:pt idx="33">
                  <c:v>7.45E-3</c:v>
                </c:pt>
                <c:pt idx="34">
                  <c:v>7.4900000000000001E-3</c:v>
                </c:pt>
                <c:pt idx="35">
                  <c:v>7.5100000000000002E-3</c:v>
                </c:pt>
                <c:pt idx="36">
                  <c:v>7.5500000000000003E-3</c:v>
                </c:pt>
                <c:pt idx="37">
                  <c:v>7.6099999999999996E-3</c:v>
                </c:pt>
                <c:pt idx="39">
                  <c:v>7.7200000000000003E-3</c:v>
                </c:pt>
                <c:pt idx="40">
                  <c:v>7.7799999999999996E-3</c:v>
                </c:pt>
                <c:pt idx="41">
                  <c:v>7.7799999999999996E-3</c:v>
                </c:pt>
                <c:pt idx="42">
                  <c:v>7.8200000000000006E-3</c:v>
                </c:pt>
                <c:pt idx="43">
                  <c:v>7.7799999999999996E-3</c:v>
                </c:pt>
                <c:pt idx="44">
                  <c:v>7.7999999999999996E-3</c:v>
                </c:pt>
                <c:pt idx="45">
                  <c:v>7.7600000000000004E-3</c:v>
                </c:pt>
                <c:pt idx="46">
                  <c:v>7.7499999999999999E-3</c:v>
                </c:pt>
                <c:pt idx="47">
                  <c:v>7.7099999999999998E-3</c:v>
                </c:pt>
                <c:pt idx="49">
                  <c:v>7.7000000000000002E-3</c:v>
                </c:pt>
                <c:pt idx="50">
                  <c:v>7.6899999999999998E-3</c:v>
                </c:pt>
                <c:pt idx="51">
                  <c:v>7.6600000000000001E-3</c:v>
                </c:pt>
                <c:pt idx="52">
                  <c:v>7.6499999999999997E-3</c:v>
                </c:pt>
                <c:pt idx="53">
                  <c:v>7.6299999999999996E-3</c:v>
                </c:pt>
                <c:pt idx="54">
                  <c:v>7.62E-3</c:v>
                </c:pt>
                <c:pt idx="55">
                  <c:v>7.6099999999999996E-3</c:v>
                </c:pt>
                <c:pt idx="56">
                  <c:v>7.5799999999999999E-3</c:v>
                </c:pt>
                <c:pt idx="57">
                  <c:v>7.5700000000000003E-3</c:v>
                </c:pt>
                <c:pt idx="58">
                  <c:v>7.5599999999999999E-3</c:v>
                </c:pt>
                <c:pt idx="59">
                  <c:v>7.5399999999999998E-3</c:v>
                </c:pt>
                <c:pt idx="60">
                  <c:v>7.5300000000000002E-3</c:v>
                </c:pt>
                <c:pt idx="61">
                  <c:v>7.5199999999999998E-3</c:v>
                </c:pt>
                <c:pt idx="62">
                  <c:v>7.5100000000000002E-3</c:v>
                </c:pt>
                <c:pt idx="63">
                  <c:v>7.4999999999999997E-3</c:v>
                </c:pt>
                <c:pt idx="64">
                  <c:v>7.4999999999999997E-3</c:v>
                </c:pt>
                <c:pt idx="65">
                  <c:v>7.4999999999999997E-3</c:v>
                </c:pt>
                <c:pt idx="66">
                  <c:v>7.4799999999999997E-3</c:v>
                </c:pt>
                <c:pt idx="67">
                  <c:v>7.4900000000000001E-3</c:v>
                </c:pt>
                <c:pt idx="68">
                  <c:v>7.4900000000000001E-3</c:v>
                </c:pt>
                <c:pt idx="69">
                  <c:v>7.4999999999999997E-3</c:v>
                </c:pt>
                <c:pt idx="70">
                  <c:v>7.5300000000000002E-3</c:v>
                </c:pt>
                <c:pt idx="71">
                  <c:v>7.5300000000000002E-3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2-4306-9916-9547A53FB86B}"/>
            </c:ext>
          </c:extLst>
        </c:ser>
        <c:ser>
          <c:idx val="1"/>
          <c:order val="1"/>
          <c:tx>
            <c:v>fx63158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RECD!$A$2:$A$73</c:f>
              <c:numCache>
                <c:formatCode>General</c:formatCode>
                <c:ptCount val="72"/>
                <c:pt idx="0">
                  <c:v>50000</c:v>
                </c:pt>
                <c:pt idx="1">
                  <c:v>60000</c:v>
                </c:pt>
                <c:pt idx="2">
                  <c:v>70000</c:v>
                </c:pt>
                <c:pt idx="3">
                  <c:v>80000</c:v>
                </c:pt>
                <c:pt idx="4">
                  <c:v>90000</c:v>
                </c:pt>
                <c:pt idx="5">
                  <c:v>100000</c:v>
                </c:pt>
                <c:pt idx="6">
                  <c:v>125000</c:v>
                </c:pt>
                <c:pt idx="7">
                  <c:v>150000</c:v>
                </c:pt>
                <c:pt idx="8">
                  <c:v>175000</c:v>
                </c:pt>
                <c:pt idx="9">
                  <c:v>200000</c:v>
                </c:pt>
                <c:pt idx="10">
                  <c:v>225000</c:v>
                </c:pt>
                <c:pt idx="11">
                  <c:v>250000</c:v>
                </c:pt>
                <c:pt idx="12">
                  <c:v>275000</c:v>
                </c:pt>
                <c:pt idx="13">
                  <c:v>300000</c:v>
                </c:pt>
                <c:pt idx="14">
                  <c:v>325000</c:v>
                </c:pt>
                <c:pt idx="15">
                  <c:v>350000</c:v>
                </c:pt>
                <c:pt idx="16">
                  <c:v>375000</c:v>
                </c:pt>
                <c:pt idx="17">
                  <c:v>400000</c:v>
                </c:pt>
                <c:pt idx="18">
                  <c:v>425000</c:v>
                </c:pt>
                <c:pt idx="19">
                  <c:v>450000</c:v>
                </c:pt>
                <c:pt idx="20">
                  <c:v>475000</c:v>
                </c:pt>
                <c:pt idx="21">
                  <c:v>500000</c:v>
                </c:pt>
                <c:pt idx="22">
                  <c:v>525000</c:v>
                </c:pt>
                <c:pt idx="23">
                  <c:v>550000</c:v>
                </c:pt>
                <c:pt idx="24">
                  <c:v>575000</c:v>
                </c:pt>
                <c:pt idx="25">
                  <c:v>600000</c:v>
                </c:pt>
                <c:pt idx="26">
                  <c:v>625000</c:v>
                </c:pt>
                <c:pt idx="27">
                  <c:v>650000</c:v>
                </c:pt>
                <c:pt idx="28">
                  <c:v>675000</c:v>
                </c:pt>
                <c:pt idx="29">
                  <c:v>700000</c:v>
                </c:pt>
                <c:pt idx="30">
                  <c:v>725000</c:v>
                </c:pt>
                <c:pt idx="31">
                  <c:v>750000</c:v>
                </c:pt>
                <c:pt idx="32">
                  <c:v>775000</c:v>
                </c:pt>
                <c:pt idx="33">
                  <c:v>800000</c:v>
                </c:pt>
                <c:pt idx="34">
                  <c:v>825000</c:v>
                </c:pt>
                <c:pt idx="35">
                  <c:v>850000</c:v>
                </c:pt>
                <c:pt idx="36">
                  <c:v>875000</c:v>
                </c:pt>
                <c:pt idx="37">
                  <c:v>900000</c:v>
                </c:pt>
                <c:pt idx="38">
                  <c:v>925000</c:v>
                </c:pt>
                <c:pt idx="39">
                  <c:v>950000</c:v>
                </c:pt>
                <c:pt idx="40">
                  <c:v>975000</c:v>
                </c:pt>
                <c:pt idx="41">
                  <c:v>1000000</c:v>
                </c:pt>
                <c:pt idx="42">
                  <c:v>1050000</c:v>
                </c:pt>
                <c:pt idx="43">
                  <c:v>1100000</c:v>
                </c:pt>
                <c:pt idx="44">
                  <c:v>1150000</c:v>
                </c:pt>
                <c:pt idx="45">
                  <c:v>1200000</c:v>
                </c:pt>
                <c:pt idx="46">
                  <c:v>1250000</c:v>
                </c:pt>
                <c:pt idx="47">
                  <c:v>1300000</c:v>
                </c:pt>
                <c:pt idx="48">
                  <c:v>1350000</c:v>
                </c:pt>
                <c:pt idx="49">
                  <c:v>1400000</c:v>
                </c:pt>
                <c:pt idx="50">
                  <c:v>1450000</c:v>
                </c:pt>
                <c:pt idx="51">
                  <c:v>1500000</c:v>
                </c:pt>
                <c:pt idx="52">
                  <c:v>1550000</c:v>
                </c:pt>
                <c:pt idx="53">
                  <c:v>1600000</c:v>
                </c:pt>
                <c:pt idx="54">
                  <c:v>1650000</c:v>
                </c:pt>
                <c:pt idx="55">
                  <c:v>1700000</c:v>
                </c:pt>
                <c:pt idx="56">
                  <c:v>1750000</c:v>
                </c:pt>
                <c:pt idx="57">
                  <c:v>1800000</c:v>
                </c:pt>
                <c:pt idx="58">
                  <c:v>1850000</c:v>
                </c:pt>
                <c:pt idx="59">
                  <c:v>1900000</c:v>
                </c:pt>
                <c:pt idx="60">
                  <c:v>1950000</c:v>
                </c:pt>
                <c:pt idx="61">
                  <c:v>2000000</c:v>
                </c:pt>
                <c:pt idx="62">
                  <c:v>2100000</c:v>
                </c:pt>
                <c:pt idx="63">
                  <c:v>2200000</c:v>
                </c:pt>
                <c:pt idx="64">
                  <c:v>2300000</c:v>
                </c:pt>
                <c:pt idx="65">
                  <c:v>2400000</c:v>
                </c:pt>
                <c:pt idx="66">
                  <c:v>2500000</c:v>
                </c:pt>
                <c:pt idx="67">
                  <c:v>2600000</c:v>
                </c:pt>
                <c:pt idx="68">
                  <c:v>2700000</c:v>
                </c:pt>
                <c:pt idx="69">
                  <c:v>2800000</c:v>
                </c:pt>
                <c:pt idx="70">
                  <c:v>2900000</c:v>
                </c:pt>
                <c:pt idx="71">
                  <c:v>3000000</c:v>
                </c:pt>
              </c:numCache>
            </c:numRef>
          </c:xVal>
          <c:yVal>
            <c:numRef>
              <c:f>RECD!$KH$2:$KH$73</c:f>
              <c:numCache>
                <c:formatCode>General</c:formatCode>
                <c:ptCount val="72"/>
                <c:pt idx="0">
                  <c:v>4.8099999999999997E-2</c:v>
                </c:pt>
                <c:pt idx="5">
                  <c:v>2.6599999999999999E-2</c:v>
                </c:pt>
                <c:pt idx="6">
                  <c:v>2.3269999999999999E-2</c:v>
                </c:pt>
                <c:pt idx="7">
                  <c:v>2.0490000000000001E-2</c:v>
                </c:pt>
                <c:pt idx="8">
                  <c:v>1.8409999999999999E-2</c:v>
                </c:pt>
                <c:pt idx="9">
                  <c:v>1.669E-2</c:v>
                </c:pt>
                <c:pt idx="10">
                  <c:v>1.5270000000000001E-2</c:v>
                </c:pt>
                <c:pt idx="11">
                  <c:v>1.422E-2</c:v>
                </c:pt>
                <c:pt idx="12">
                  <c:v>1.329E-2</c:v>
                </c:pt>
                <c:pt idx="13">
                  <c:v>1.251E-2</c:v>
                </c:pt>
                <c:pt idx="14">
                  <c:v>1.1950000000000001E-2</c:v>
                </c:pt>
                <c:pt idx="15">
                  <c:v>1.1390000000000001E-2</c:v>
                </c:pt>
                <c:pt idx="16">
                  <c:v>1.091E-2</c:v>
                </c:pt>
                <c:pt idx="19">
                  <c:v>9.8499999999999994E-3</c:v>
                </c:pt>
                <c:pt idx="20">
                  <c:v>9.5999999999999992E-3</c:v>
                </c:pt>
                <c:pt idx="21">
                  <c:v>9.41E-3</c:v>
                </c:pt>
                <c:pt idx="22">
                  <c:v>9.2099999999999994E-3</c:v>
                </c:pt>
                <c:pt idx="23">
                  <c:v>9.0600000000000003E-3</c:v>
                </c:pt>
                <c:pt idx="24">
                  <c:v>9.1000000000000004E-3</c:v>
                </c:pt>
                <c:pt idx="25">
                  <c:v>9.3399999999999993E-3</c:v>
                </c:pt>
                <c:pt idx="26">
                  <c:v>9.6200000000000001E-3</c:v>
                </c:pt>
                <c:pt idx="27">
                  <c:v>9.7900000000000001E-3</c:v>
                </c:pt>
                <c:pt idx="28">
                  <c:v>9.92E-3</c:v>
                </c:pt>
                <c:pt idx="29">
                  <c:v>9.8899999999999995E-3</c:v>
                </c:pt>
                <c:pt idx="30">
                  <c:v>9.9399999999999992E-3</c:v>
                </c:pt>
                <c:pt idx="31">
                  <c:v>9.9799999999999993E-3</c:v>
                </c:pt>
                <c:pt idx="32">
                  <c:v>1.005E-2</c:v>
                </c:pt>
                <c:pt idx="33">
                  <c:v>1.0109999999999999E-2</c:v>
                </c:pt>
                <c:pt idx="34">
                  <c:v>1.013E-2</c:v>
                </c:pt>
                <c:pt idx="35">
                  <c:v>1.0160000000000001E-2</c:v>
                </c:pt>
                <c:pt idx="36">
                  <c:v>1.0370000000000001E-2</c:v>
                </c:pt>
                <c:pt idx="37">
                  <c:v>1.044E-2</c:v>
                </c:pt>
                <c:pt idx="38">
                  <c:v>1.0659999999999999E-2</c:v>
                </c:pt>
                <c:pt idx="39">
                  <c:v>1.085E-2</c:v>
                </c:pt>
                <c:pt idx="41">
                  <c:v>1.107E-2</c:v>
                </c:pt>
                <c:pt idx="42">
                  <c:v>1.1220000000000001E-2</c:v>
                </c:pt>
                <c:pt idx="43">
                  <c:v>1.1379999999999999E-2</c:v>
                </c:pt>
                <c:pt idx="44">
                  <c:v>1.142E-2</c:v>
                </c:pt>
                <c:pt idx="45">
                  <c:v>1.14E-2</c:v>
                </c:pt>
                <c:pt idx="46">
                  <c:v>1.1350000000000001E-2</c:v>
                </c:pt>
                <c:pt idx="47">
                  <c:v>1.145E-2</c:v>
                </c:pt>
                <c:pt idx="48">
                  <c:v>1.141E-2</c:v>
                </c:pt>
                <c:pt idx="49">
                  <c:v>1.136E-2</c:v>
                </c:pt>
                <c:pt idx="50">
                  <c:v>1.1299999999999999E-2</c:v>
                </c:pt>
                <c:pt idx="51">
                  <c:v>1.124E-2</c:v>
                </c:pt>
                <c:pt idx="52">
                  <c:v>1.119E-2</c:v>
                </c:pt>
                <c:pt idx="53">
                  <c:v>1.1129999999999999E-2</c:v>
                </c:pt>
                <c:pt idx="54">
                  <c:v>1.1129999999999999E-2</c:v>
                </c:pt>
                <c:pt idx="55">
                  <c:v>1.112E-2</c:v>
                </c:pt>
                <c:pt idx="56">
                  <c:v>1.108E-2</c:v>
                </c:pt>
                <c:pt idx="57">
                  <c:v>1.1039999999999999E-2</c:v>
                </c:pt>
                <c:pt idx="58">
                  <c:v>1.0999999999999999E-2</c:v>
                </c:pt>
                <c:pt idx="59">
                  <c:v>1.0959999999999999E-2</c:v>
                </c:pt>
                <c:pt idx="60">
                  <c:v>1.0919999999999999E-2</c:v>
                </c:pt>
                <c:pt idx="61">
                  <c:v>1.0880000000000001E-2</c:v>
                </c:pt>
                <c:pt idx="62">
                  <c:v>1.0789999999999999E-2</c:v>
                </c:pt>
                <c:pt idx="63">
                  <c:v>1.0710000000000001E-2</c:v>
                </c:pt>
                <c:pt idx="64">
                  <c:v>1.064E-2</c:v>
                </c:pt>
                <c:pt idx="65">
                  <c:v>1.0580000000000001E-2</c:v>
                </c:pt>
                <c:pt idx="66">
                  <c:v>1.0500000000000001E-2</c:v>
                </c:pt>
                <c:pt idx="67">
                  <c:v>1.043E-2</c:v>
                </c:pt>
                <c:pt idx="68">
                  <c:v>1.0359999999999999E-2</c:v>
                </c:pt>
                <c:pt idx="69">
                  <c:v>1.0290000000000001E-2</c:v>
                </c:pt>
                <c:pt idx="70">
                  <c:v>1.0240000000000001E-2</c:v>
                </c:pt>
                <c:pt idx="71">
                  <c:v>1.018E-2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C2-4306-9916-9547A53FB86B}"/>
            </c:ext>
          </c:extLst>
        </c:ser>
        <c:ser>
          <c:idx val="2"/>
          <c:order val="2"/>
          <c:tx>
            <c:v>fx63137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RECD!$A$2:$A$73</c:f>
              <c:numCache>
                <c:formatCode>General</c:formatCode>
                <c:ptCount val="72"/>
                <c:pt idx="0">
                  <c:v>50000</c:v>
                </c:pt>
                <c:pt idx="1">
                  <c:v>60000</c:v>
                </c:pt>
                <c:pt idx="2">
                  <c:v>70000</c:v>
                </c:pt>
                <c:pt idx="3">
                  <c:v>80000</c:v>
                </c:pt>
                <c:pt idx="4">
                  <c:v>90000</c:v>
                </c:pt>
                <c:pt idx="5">
                  <c:v>100000</c:v>
                </c:pt>
                <c:pt idx="6">
                  <c:v>125000</c:v>
                </c:pt>
                <c:pt idx="7">
                  <c:v>150000</c:v>
                </c:pt>
                <c:pt idx="8">
                  <c:v>175000</c:v>
                </c:pt>
                <c:pt idx="9">
                  <c:v>200000</c:v>
                </c:pt>
                <c:pt idx="10">
                  <c:v>225000</c:v>
                </c:pt>
                <c:pt idx="11">
                  <c:v>250000</c:v>
                </c:pt>
                <c:pt idx="12">
                  <c:v>275000</c:v>
                </c:pt>
                <c:pt idx="13">
                  <c:v>300000</c:v>
                </c:pt>
                <c:pt idx="14">
                  <c:v>325000</c:v>
                </c:pt>
                <c:pt idx="15">
                  <c:v>350000</c:v>
                </c:pt>
                <c:pt idx="16">
                  <c:v>375000</c:v>
                </c:pt>
                <c:pt idx="17">
                  <c:v>400000</c:v>
                </c:pt>
                <c:pt idx="18">
                  <c:v>425000</c:v>
                </c:pt>
                <c:pt idx="19">
                  <c:v>450000</c:v>
                </c:pt>
                <c:pt idx="20">
                  <c:v>475000</c:v>
                </c:pt>
                <c:pt idx="21">
                  <c:v>500000</c:v>
                </c:pt>
                <c:pt idx="22">
                  <c:v>525000</c:v>
                </c:pt>
                <c:pt idx="23">
                  <c:v>550000</c:v>
                </c:pt>
                <c:pt idx="24">
                  <c:v>575000</c:v>
                </c:pt>
                <c:pt idx="25">
                  <c:v>600000</c:v>
                </c:pt>
                <c:pt idx="26">
                  <c:v>625000</c:v>
                </c:pt>
                <c:pt idx="27">
                  <c:v>650000</c:v>
                </c:pt>
                <c:pt idx="28">
                  <c:v>675000</c:v>
                </c:pt>
                <c:pt idx="29">
                  <c:v>700000</c:v>
                </c:pt>
                <c:pt idx="30">
                  <c:v>725000</c:v>
                </c:pt>
                <c:pt idx="31">
                  <c:v>750000</c:v>
                </c:pt>
                <c:pt idx="32">
                  <c:v>775000</c:v>
                </c:pt>
                <c:pt idx="33">
                  <c:v>800000</c:v>
                </c:pt>
                <c:pt idx="34">
                  <c:v>825000</c:v>
                </c:pt>
                <c:pt idx="35">
                  <c:v>850000</c:v>
                </c:pt>
                <c:pt idx="36">
                  <c:v>875000</c:v>
                </c:pt>
                <c:pt idx="37">
                  <c:v>900000</c:v>
                </c:pt>
                <c:pt idx="38">
                  <c:v>925000</c:v>
                </c:pt>
                <c:pt idx="39">
                  <c:v>950000</c:v>
                </c:pt>
                <c:pt idx="40">
                  <c:v>975000</c:v>
                </c:pt>
                <c:pt idx="41">
                  <c:v>1000000</c:v>
                </c:pt>
                <c:pt idx="42">
                  <c:v>1050000</c:v>
                </c:pt>
                <c:pt idx="43">
                  <c:v>1100000</c:v>
                </c:pt>
                <c:pt idx="44">
                  <c:v>1150000</c:v>
                </c:pt>
                <c:pt idx="45">
                  <c:v>1200000</c:v>
                </c:pt>
                <c:pt idx="46">
                  <c:v>1250000</c:v>
                </c:pt>
                <c:pt idx="47">
                  <c:v>1300000</c:v>
                </c:pt>
                <c:pt idx="48">
                  <c:v>1350000</c:v>
                </c:pt>
                <c:pt idx="49">
                  <c:v>1400000</c:v>
                </c:pt>
                <c:pt idx="50">
                  <c:v>1450000</c:v>
                </c:pt>
                <c:pt idx="51">
                  <c:v>1500000</c:v>
                </c:pt>
                <c:pt idx="52">
                  <c:v>1550000</c:v>
                </c:pt>
                <c:pt idx="53">
                  <c:v>1600000</c:v>
                </c:pt>
                <c:pt idx="54">
                  <c:v>1650000</c:v>
                </c:pt>
                <c:pt idx="55">
                  <c:v>1700000</c:v>
                </c:pt>
                <c:pt idx="56">
                  <c:v>1750000</c:v>
                </c:pt>
                <c:pt idx="57">
                  <c:v>1800000</c:v>
                </c:pt>
                <c:pt idx="58">
                  <c:v>1850000</c:v>
                </c:pt>
                <c:pt idx="59">
                  <c:v>1900000</c:v>
                </c:pt>
                <c:pt idx="60">
                  <c:v>1950000</c:v>
                </c:pt>
                <c:pt idx="61">
                  <c:v>2000000</c:v>
                </c:pt>
                <c:pt idx="62">
                  <c:v>2100000</c:v>
                </c:pt>
                <c:pt idx="63">
                  <c:v>2200000</c:v>
                </c:pt>
                <c:pt idx="64">
                  <c:v>2300000</c:v>
                </c:pt>
                <c:pt idx="65">
                  <c:v>2400000</c:v>
                </c:pt>
                <c:pt idx="66">
                  <c:v>2500000</c:v>
                </c:pt>
                <c:pt idx="67">
                  <c:v>2600000</c:v>
                </c:pt>
                <c:pt idx="68">
                  <c:v>2700000</c:v>
                </c:pt>
                <c:pt idx="69">
                  <c:v>2800000</c:v>
                </c:pt>
                <c:pt idx="70">
                  <c:v>2900000</c:v>
                </c:pt>
                <c:pt idx="71">
                  <c:v>3000000</c:v>
                </c:pt>
              </c:numCache>
            </c:numRef>
          </c:xVal>
          <c:yVal>
            <c:numRef>
              <c:f>RECD!$KE$2:$KE$73</c:f>
              <c:numCache>
                <c:formatCode>General</c:formatCode>
                <c:ptCount val="72"/>
                <c:pt idx="1">
                  <c:v>4.7050000000000002E-2</c:v>
                </c:pt>
                <c:pt idx="2">
                  <c:v>4.3020000000000003E-2</c:v>
                </c:pt>
                <c:pt idx="3">
                  <c:v>3.8679999999999999E-2</c:v>
                </c:pt>
                <c:pt idx="4">
                  <c:v>3.3369999999999997E-2</c:v>
                </c:pt>
                <c:pt idx="6">
                  <c:v>2.1579999999999998E-2</c:v>
                </c:pt>
                <c:pt idx="7">
                  <c:v>1.7919999999999998E-2</c:v>
                </c:pt>
                <c:pt idx="8">
                  <c:v>1.5869999999999999E-2</c:v>
                </c:pt>
                <c:pt idx="9">
                  <c:v>1.438E-2</c:v>
                </c:pt>
                <c:pt idx="10">
                  <c:v>1.323E-2</c:v>
                </c:pt>
                <c:pt idx="11">
                  <c:v>1.234E-2</c:v>
                </c:pt>
                <c:pt idx="12">
                  <c:v>1.167E-2</c:v>
                </c:pt>
                <c:pt idx="13">
                  <c:v>1.115E-2</c:v>
                </c:pt>
                <c:pt idx="14">
                  <c:v>1.068E-2</c:v>
                </c:pt>
                <c:pt idx="15">
                  <c:v>1.027E-2</c:v>
                </c:pt>
                <c:pt idx="16">
                  <c:v>9.9100000000000004E-3</c:v>
                </c:pt>
                <c:pt idx="17">
                  <c:v>9.6399999999999993E-3</c:v>
                </c:pt>
                <c:pt idx="18">
                  <c:v>9.3900000000000008E-3</c:v>
                </c:pt>
                <c:pt idx="19">
                  <c:v>9.1900000000000003E-3</c:v>
                </c:pt>
                <c:pt idx="20">
                  <c:v>9.0299999999999998E-3</c:v>
                </c:pt>
                <c:pt idx="21">
                  <c:v>8.8500000000000002E-3</c:v>
                </c:pt>
                <c:pt idx="22">
                  <c:v>8.7100000000000007E-3</c:v>
                </c:pt>
                <c:pt idx="23">
                  <c:v>8.5900000000000004E-3</c:v>
                </c:pt>
                <c:pt idx="24">
                  <c:v>8.4600000000000005E-3</c:v>
                </c:pt>
                <c:pt idx="25">
                  <c:v>8.3599999999999994E-3</c:v>
                </c:pt>
                <c:pt idx="26">
                  <c:v>8.2699999999999996E-3</c:v>
                </c:pt>
                <c:pt idx="27">
                  <c:v>8.2000000000000007E-3</c:v>
                </c:pt>
                <c:pt idx="28">
                  <c:v>8.1300000000000001E-3</c:v>
                </c:pt>
                <c:pt idx="29">
                  <c:v>8.09E-3</c:v>
                </c:pt>
                <c:pt idx="30">
                  <c:v>8.0700000000000008E-3</c:v>
                </c:pt>
                <c:pt idx="31">
                  <c:v>8.0400000000000003E-3</c:v>
                </c:pt>
                <c:pt idx="32">
                  <c:v>8.0400000000000003E-3</c:v>
                </c:pt>
                <c:pt idx="33">
                  <c:v>8.0599999999999995E-3</c:v>
                </c:pt>
                <c:pt idx="34">
                  <c:v>8.0700000000000008E-3</c:v>
                </c:pt>
                <c:pt idx="35">
                  <c:v>8.1200000000000005E-3</c:v>
                </c:pt>
                <c:pt idx="36">
                  <c:v>8.1700000000000002E-3</c:v>
                </c:pt>
                <c:pt idx="37">
                  <c:v>8.2000000000000007E-3</c:v>
                </c:pt>
                <c:pt idx="38">
                  <c:v>8.2500000000000004E-3</c:v>
                </c:pt>
                <c:pt idx="39">
                  <c:v>8.2299999999999995E-3</c:v>
                </c:pt>
                <c:pt idx="40">
                  <c:v>8.2400000000000008E-3</c:v>
                </c:pt>
                <c:pt idx="41">
                  <c:v>8.2500000000000004E-3</c:v>
                </c:pt>
                <c:pt idx="42">
                  <c:v>8.2299999999999995E-3</c:v>
                </c:pt>
                <c:pt idx="43">
                  <c:v>8.2400000000000008E-3</c:v>
                </c:pt>
                <c:pt idx="44">
                  <c:v>8.2199999999999999E-3</c:v>
                </c:pt>
                <c:pt idx="46">
                  <c:v>8.1899999999999994E-3</c:v>
                </c:pt>
                <c:pt idx="47">
                  <c:v>8.2100000000000003E-3</c:v>
                </c:pt>
                <c:pt idx="48">
                  <c:v>8.1899999999999994E-3</c:v>
                </c:pt>
                <c:pt idx="49">
                  <c:v>8.2000000000000007E-3</c:v>
                </c:pt>
                <c:pt idx="50">
                  <c:v>8.2100000000000003E-3</c:v>
                </c:pt>
                <c:pt idx="51">
                  <c:v>8.2299999999999995E-3</c:v>
                </c:pt>
                <c:pt idx="52">
                  <c:v>8.26E-3</c:v>
                </c:pt>
                <c:pt idx="53">
                  <c:v>8.2500000000000004E-3</c:v>
                </c:pt>
                <c:pt idx="54">
                  <c:v>8.2699999999999996E-3</c:v>
                </c:pt>
                <c:pt idx="55">
                  <c:v>8.2500000000000004E-3</c:v>
                </c:pt>
                <c:pt idx="56">
                  <c:v>8.2699999999999996E-3</c:v>
                </c:pt>
                <c:pt idx="57">
                  <c:v>8.3099999999999997E-3</c:v>
                </c:pt>
                <c:pt idx="58">
                  <c:v>8.3599999999999994E-3</c:v>
                </c:pt>
                <c:pt idx="59">
                  <c:v>8.3999999999999995E-3</c:v>
                </c:pt>
                <c:pt idx="60">
                  <c:v>8.3999999999999995E-3</c:v>
                </c:pt>
                <c:pt idx="61">
                  <c:v>8.4100000000000008E-3</c:v>
                </c:pt>
                <c:pt idx="62">
                  <c:v>8.3899999999999999E-3</c:v>
                </c:pt>
                <c:pt idx="63">
                  <c:v>8.4100000000000008E-3</c:v>
                </c:pt>
                <c:pt idx="64">
                  <c:v>8.4700000000000001E-3</c:v>
                </c:pt>
                <c:pt idx="65">
                  <c:v>8.5400000000000007E-3</c:v>
                </c:pt>
                <c:pt idx="66">
                  <c:v>8.5599999999999999E-3</c:v>
                </c:pt>
                <c:pt idx="67">
                  <c:v>8.5400000000000007E-3</c:v>
                </c:pt>
                <c:pt idx="68">
                  <c:v>8.5800000000000008E-3</c:v>
                </c:pt>
                <c:pt idx="69">
                  <c:v>8.7100000000000007E-3</c:v>
                </c:pt>
                <c:pt idx="70">
                  <c:v>8.7799999999999996E-3</c:v>
                </c:pt>
                <c:pt idx="71">
                  <c:v>8.8000000000000005E-3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2-4306-9916-9547A53FB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943407"/>
        <c:axId val="1791945071"/>
      </c:scatterChart>
      <c:valAx>
        <c:axId val="1791943407"/>
        <c:scaling>
          <c:orientation val="minMax"/>
          <c:max val="3000000"/>
          <c:min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945071"/>
        <c:crosses val="autoZero"/>
        <c:crossBetween val="midCat"/>
      </c:valAx>
      <c:valAx>
        <c:axId val="1791945071"/>
        <c:scaling>
          <c:orientation val="minMax"/>
          <c:max val="0.03"/>
          <c:min val="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9434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E3914C-8734-4108-9FA6-0E6B3F6A92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DD4BF-E8C0-44B2-A2BC-ACE6C830314B}">
  <sheetPr codeName="Sheet1"/>
  <dimension ref="A1:T577"/>
  <sheetViews>
    <sheetView tabSelected="1" workbookViewId="0">
      <selection activeCell="C14" sqref="C14"/>
    </sheetView>
  </sheetViews>
  <sheetFormatPr defaultRowHeight="15" x14ac:dyDescent="0.25"/>
  <cols>
    <col min="1" max="1" width="21.85546875" bestFit="1" customWidth="1"/>
    <col min="2" max="2" width="89.5703125" bestFit="1" customWidth="1"/>
    <col min="3" max="4" width="9.140625" style="4"/>
    <col min="5" max="5" width="9.5703125" style="4" bestFit="1" customWidth="1"/>
    <col min="6" max="6" width="9.5703125" style="4" customWidth="1"/>
    <col min="7" max="7" width="9.5703125" customWidth="1"/>
    <col min="8" max="8" width="14.85546875" bestFit="1" customWidth="1"/>
    <col min="9" max="11" width="14.85546875" customWidth="1"/>
    <col min="12" max="12" width="9.5703125" customWidth="1"/>
    <col min="13" max="13" width="14.140625" bestFit="1" customWidth="1"/>
    <col min="19" max="19" width="16.42578125" bestFit="1" customWidth="1"/>
  </cols>
  <sheetData>
    <row r="1" spans="1:20" x14ac:dyDescent="0.25">
      <c r="A1" s="7" t="s">
        <v>0</v>
      </c>
      <c r="B1" s="7" t="s">
        <v>6</v>
      </c>
      <c r="C1" s="3" t="s">
        <v>3</v>
      </c>
      <c r="D1" s="3" t="s">
        <v>4</v>
      </c>
      <c r="E1" s="3" t="s">
        <v>1</v>
      </c>
      <c r="F1" s="3" t="s">
        <v>2</v>
      </c>
      <c r="G1" s="2" t="s">
        <v>5</v>
      </c>
      <c r="H1" s="11" t="s">
        <v>1757</v>
      </c>
      <c r="I1" s="11" t="s">
        <v>1754</v>
      </c>
      <c r="J1" s="11" t="s">
        <v>1755</v>
      </c>
      <c r="K1" s="11" t="s">
        <v>1756</v>
      </c>
      <c r="L1" s="6" t="s">
        <v>582</v>
      </c>
      <c r="M1" s="6" t="s">
        <v>583</v>
      </c>
      <c r="N1" s="6" t="s">
        <v>584</v>
      </c>
      <c r="O1" s="6" t="s">
        <v>585</v>
      </c>
      <c r="P1" s="6" t="s">
        <v>586</v>
      </c>
      <c r="Q1" s="6" t="s">
        <v>587</v>
      </c>
      <c r="R1" s="6" t="s">
        <v>588</v>
      </c>
      <c r="S1" s="10" t="s">
        <v>590</v>
      </c>
      <c r="T1" s="10" t="s">
        <v>591</v>
      </c>
    </row>
    <row r="2" spans="1:20" x14ac:dyDescent="0.25">
      <c r="A2" t="s">
        <v>901</v>
      </c>
      <c r="B2" t="s">
        <v>316</v>
      </c>
      <c r="C2" s="4">
        <v>8.9359999999999995E-2</v>
      </c>
      <c r="D2" s="4">
        <v>0.222</v>
      </c>
      <c r="E2" s="4">
        <v>0</v>
      </c>
      <c r="F2" s="4">
        <v>1.7000000000000001E-2</v>
      </c>
      <c r="G2">
        <v>1.8159999999999999E-2</v>
      </c>
      <c r="H2">
        <f>VLOOKUP(A2,DB!A:I,2,FALSE)</f>
        <v>525000</v>
      </c>
      <c r="I2">
        <f>VLOOKUP(A2,'RE@CD'!A:D,2,FALSE)</f>
        <v>175000</v>
      </c>
      <c r="J2">
        <f>VLOOKUP(A2,'RE@CD'!A:D,3,FALSE)</f>
        <v>50000</v>
      </c>
      <c r="K2">
        <f>VLOOKUP(A2,'RE@CD'!A:D,4,FALSE)</f>
        <v>50000</v>
      </c>
      <c r="L2">
        <f>VLOOKUP(A2,DB!A:I,3,FALSE)</f>
        <v>0</v>
      </c>
      <c r="M2">
        <f>VLOOKUP(A2,DB!A:I,4,FALSE)</f>
        <v>0</v>
      </c>
      <c r="N2">
        <f>VLOOKUP(A2,DB!A:I,5,FALSE)</f>
        <v>5.8100000000000001E-3</v>
      </c>
      <c r="O2">
        <f>VLOOKUP(A2,DB!A:I,6,FALSE)</f>
        <v>4.1900000000000001E-3</v>
      </c>
      <c r="P2">
        <f>VLOOKUP(A2,DB!A:I,7,FALSE)</f>
        <v>1.6199999999999999E-3</v>
      </c>
      <c r="Q2">
        <f>VLOOKUP(A2,DB!A:I,8,FALSE)</f>
        <v>0.749</v>
      </c>
      <c r="R2">
        <f>VLOOKUP(A2,DB!A:I,9,FALSE)</f>
        <v>0.74839999999999995</v>
      </c>
      <c r="S2">
        <f>N2 *SQRT(H2)</f>
        <v>4.2097449447680324</v>
      </c>
      <c r="T2">
        <f>L2/N2</f>
        <v>0</v>
      </c>
    </row>
    <row r="3" spans="1:20" x14ac:dyDescent="0.25">
      <c r="A3" t="s">
        <v>724</v>
      </c>
      <c r="B3" t="s">
        <v>139</v>
      </c>
      <c r="C3" s="4">
        <v>2.4728E-2</v>
      </c>
      <c r="D3" s="4">
        <v>4.2999999999999997E-2</v>
      </c>
      <c r="E3" s="4">
        <v>8.8859999999999995E-2</v>
      </c>
      <c r="F3" s="4">
        <v>0.32600000000000001</v>
      </c>
      <c r="G3">
        <v>2.0699999999999998E-3</v>
      </c>
      <c r="H3">
        <f>VLOOKUP(A3,DB!A:I,2,FALSE)</f>
        <v>625000</v>
      </c>
      <c r="I3">
        <f>VLOOKUP(A3,'RE@CD'!A:D,2,FALSE)</f>
        <v>625000</v>
      </c>
      <c r="J3">
        <f>VLOOKUP(A3,'RE@CD'!A:D,3,FALSE)</f>
        <v>625000</v>
      </c>
      <c r="K3">
        <f>VLOOKUP(A3,'RE@CD'!A:D,4,FALSE)</f>
        <v>70000</v>
      </c>
      <c r="L3">
        <f>VLOOKUP(A3,DB!A:I,3,FALSE)</f>
        <v>0.61950000000000005</v>
      </c>
      <c r="M3">
        <f>VLOOKUP(A3,DB!A:I,4,FALSE)</f>
        <v>-0.1065</v>
      </c>
      <c r="N3">
        <f>VLOOKUP(A3,DB!A:I,5,FALSE)</f>
        <v>2.521E-2</v>
      </c>
      <c r="O3">
        <f>VLOOKUP(A3,DB!A:I,6,FALSE)</f>
        <v>4.5799999999999999E-3</v>
      </c>
      <c r="P3">
        <f>VLOOKUP(A3,DB!A:I,7,FALSE)</f>
        <v>2.0639999999999999E-2</v>
      </c>
      <c r="Q3">
        <f>VLOOKUP(A3,DB!A:I,8,FALSE)</f>
        <v>0.53410000000000002</v>
      </c>
      <c r="R3">
        <f>VLOOKUP(A3,DB!A:I,9,FALSE)</f>
        <v>1.0200000000000001E-2</v>
      </c>
      <c r="S3">
        <f>N3 *SQRT(H3)</f>
        <v>19.930254953211211</v>
      </c>
      <c r="T3">
        <f>L3/N3</f>
        <v>24.573581911939709</v>
      </c>
    </row>
    <row r="4" spans="1:20" x14ac:dyDescent="0.25">
      <c r="A4" t="s">
        <v>919</v>
      </c>
      <c r="B4" t="s">
        <v>333</v>
      </c>
      <c r="C4" s="4">
        <v>0.14049200000000001</v>
      </c>
      <c r="D4" s="4">
        <v>0.308</v>
      </c>
      <c r="E4" s="4">
        <v>9.8027000000000003E-2</v>
      </c>
      <c r="F4" s="4">
        <v>0.371</v>
      </c>
      <c r="G4">
        <v>3.13E-3</v>
      </c>
      <c r="H4">
        <f>VLOOKUP(A4,DB!A:I,2,FALSE)</f>
        <v>225000</v>
      </c>
      <c r="I4">
        <f>VLOOKUP(A4,'RE@CD'!A:D,2,FALSE)</f>
        <v>225000</v>
      </c>
      <c r="J4">
        <f>VLOOKUP(A4,'RE@CD'!A:D,3,FALSE)</f>
        <v>225000</v>
      </c>
      <c r="K4">
        <f>VLOOKUP(A4,'RE@CD'!A:D,4,FALSE)</f>
        <v>225000</v>
      </c>
      <c r="L4">
        <f>VLOOKUP(A4,DB!A:I,3,FALSE)</f>
        <v>1.1487000000000001</v>
      </c>
      <c r="M4">
        <f>VLOOKUP(A4,DB!A:I,4,FALSE)</f>
        <v>-0.2364</v>
      </c>
      <c r="N4">
        <f>VLOOKUP(A4,DB!A:I,5,FALSE)</f>
        <v>2.4469999999999999E-2</v>
      </c>
      <c r="O4">
        <f>VLOOKUP(A4,DB!A:I,6,FALSE)</f>
        <v>8.6E-3</v>
      </c>
      <c r="P4">
        <f>VLOOKUP(A4,DB!A:I,7,FALSE)</f>
        <v>1.5869999999999999E-2</v>
      </c>
      <c r="Q4">
        <f>VLOOKUP(A4,DB!A:I,8,FALSE)</f>
        <v>0.51749999999999996</v>
      </c>
      <c r="R4">
        <f>VLOOKUP(A4,DB!A:I,9,FALSE)</f>
        <v>5.2900000000000003E-2</v>
      </c>
      <c r="S4">
        <f>N4 *SQRT(H4)</f>
        <v>11.607140151648036</v>
      </c>
      <c r="T4">
        <f>L4/N4</f>
        <v>46.943195749897839</v>
      </c>
    </row>
    <row r="5" spans="1:20" x14ac:dyDescent="0.25">
      <c r="A5" t="s">
        <v>728</v>
      </c>
      <c r="B5" t="s">
        <v>143</v>
      </c>
      <c r="C5" s="4">
        <v>2.2246999999999999E-2</v>
      </c>
      <c r="D5" s="4">
        <v>5.8000000000000003E-2</v>
      </c>
      <c r="E5" s="4">
        <v>7.9923999999999995E-2</v>
      </c>
      <c r="F5" s="4">
        <v>0.318</v>
      </c>
      <c r="G5">
        <v>9.1E-4</v>
      </c>
      <c r="H5">
        <f>VLOOKUP(A5,DB!A:I,2,FALSE)</f>
        <v>900000</v>
      </c>
      <c r="I5">
        <f>VLOOKUP(A5,'RE@CD'!A:D,2,FALSE)</f>
        <v>900000</v>
      </c>
      <c r="J5">
        <f>VLOOKUP(A5,'RE@CD'!A:D,3,FALSE)</f>
        <v>900000</v>
      </c>
      <c r="K5">
        <f>VLOOKUP(A5,'RE@CD'!A:D,4,FALSE)</f>
        <v>100000</v>
      </c>
      <c r="L5">
        <f>VLOOKUP(A5,DB!A:I,3,FALSE)</f>
        <v>0.52410000000000001</v>
      </c>
      <c r="M5">
        <f>VLOOKUP(A5,DB!A:I,4,FALSE)</f>
        <v>-8.2299999999999998E-2</v>
      </c>
      <c r="N5">
        <f>VLOOKUP(A5,DB!A:I,5,FALSE)</f>
        <v>2.359E-2</v>
      </c>
      <c r="O5">
        <f>VLOOKUP(A5,DB!A:I,6,FALSE)</f>
        <v>4.3299999999999996E-3</v>
      </c>
      <c r="P5">
        <f>VLOOKUP(A5,DB!A:I,7,FALSE)</f>
        <v>1.9259999999999999E-2</v>
      </c>
      <c r="Q5">
        <f>VLOOKUP(A5,DB!A:I,8,FALSE)</f>
        <v>0.503</v>
      </c>
      <c r="R5">
        <f>VLOOKUP(A5,DB!A:I,9,FALSE)</f>
        <v>4.3E-3</v>
      </c>
      <c r="S5">
        <f>N5 *SQRT(H5)</f>
        <v>22.379439001011622</v>
      </c>
      <c r="T5">
        <f>L5/N5</f>
        <v>22.217041119118271</v>
      </c>
    </row>
    <row r="6" spans="1:20" x14ac:dyDescent="0.25">
      <c r="A6" t="s">
        <v>759</v>
      </c>
      <c r="B6" t="s">
        <v>174</v>
      </c>
      <c r="C6" s="4">
        <v>7.2354000000000002E-2</v>
      </c>
      <c r="D6" s="4">
        <v>0.39700000000000002</v>
      </c>
      <c r="E6" s="4">
        <v>6.8134E-2</v>
      </c>
      <c r="F6" s="4">
        <v>0.53700000000000003</v>
      </c>
      <c r="G6">
        <v>1.8000000000000001E-4</v>
      </c>
      <c r="H6">
        <f>VLOOKUP(A6,DB!A:I,2,FALSE)</f>
        <v>275000</v>
      </c>
      <c r="I6">
        <f>VLOOKUP(A6,'RE@CD'!A:D,2,FALSE)</f>
        <v>275000</v>
      </c>
      <c r="J6">
        <f>VLOOKUP(A6,'RE@CD'!A:D,3,FALSE)</f>
        <v>225000</v>
      </c>
      <c r="K6">
        <f>VLOOKUP(A6,'RE@CD'!A:D,4,FALSE)</f>
        <v>225000</v>
      </c>
      <c r="L6">
        <f>VLOOKUP(A6,DB!A:I,3,FALSE)</f>
        <v>0.76290000000000002</v>
      </c>
      <c r="M6">
        <f>VLOOKUP(A6,DB!A:I,4,FALSE)</f>
        <v>-0.17380000000000001</v>
      </c>
      <c r="N6">
        <f>VLOOKUP(A6,DB!A:I,5,FALSE)</f>
        <v>1.8720000000000001E-2</v>
      </c>
      <c r="O6">
        <f>VLOOKUP(A6,DB!A:I,6,FALSE)</f>
        <v>1.1639999999999999E-2</v>
      </c>
      <c r="P6">
        <f>VLOOKUP(A6,DB!A:I,7,FALSE)</f>
        <v>7.0699999999999999E-3</v>
      </c>
      <c r="Q6">
        <f>VLOOKUP(A6,DB!A:I,8,FALSE)</f>
        <v>3.7000000000000002E-3</v>
      </c>
      <c r="R6">
        <f>VLOOKUP(A6,DB!A:I,9,FALSE)</f>
        <v>1.26E-2</v>
      </c>
      <c r="S6">
        <f>N6 *SQRT(H6)</f>
        <v>9.8168508188726182</v>
      </c>
      <c r="T6">
        <f>L6/N6</f>
        <v>40.753205128205131</v>
      </c>
    </row>
    <row r="7" spans="1:20" x14ac:dyDescent="0.25">
      <c r="A7" t="s">
        <v>865</v>
      </c>
      <c r="B7" t="s">
        <v>280</v>
      </c>
      <c r="C7" s="4">
        <v>0.20447499999999999</v>
      </c>
      <c r="D7" s="4">
        <v>0.435</v>
      </c>
      <c r="E7" s="4">
        <v>3.7235999999999998E-2</v>
      </c>
      <c r="F7" s="4">
        <v>0.69199999999999995</v>
      </c>
      <c r="G7">
        <v>9.7300000000000008E-3</v>
      </c>
      <c r="H7">
        <f>VLOOKUP(A7,DB!A:I,2,FALSE)</f>
        <v>1000000</v>
      </c>
      <c r="I7">
        <f>VLOOKUP(A7,'RE@CD'!A:D,2,FALSE)</f>
        <v>1000000</v>
      </c>
      <c r="J7">
        <f>VLOOKUP(A7,'RE@CD'!A:D,3,FALSE)</f>
        <v>800000</v>
      </c>
      <c r="K7">
        <f>VLOOKUP(A7,'RE@CD'!A:D,4,FALSE)</f>
        <v>150000</v>
      </c>
      <c r="L7">
        <f>VLOOKUP(A7,DB!A:I,3,FALSE)</f>
        <v>0.24560000000000001</v>
      </c>
      <c r="M7">
        <f>VLOOKUP(A7,DB!A:I,4,FALSE)</f>
        <v>-8.9300000000000004E-2</v>
      </c>
      <c r="N7">
        <f>VLOOKUP(A7,DB!A:I,5,FALSE)</f>
        <v>1.669E-2</v>
      </c>
      <c r="O7">
        <f>VLOOKUP(A7,DB!A:I,6,FALSE)</f>
        <v>3.8999999999999998E-3</v>
      </c>
      <c r="P7">
        <f>VLOOKUP(A7,DB!A:I,7,FALSE)</f>
        <v>1.2789999999999999E-2</v>
      </c>
      <c r="Q7">
        <f>VLOOKUP(A7,DB!A:I,8,FALSE)</f>
        <v>0.7641</v>
      </c>
      <c r="R7">
        <f>VLOOKUP(A7,DB!A:I,9,FALSE)</f>
        <v>0.66490000000000005</v>
      </c>
      <c r="S7">
        <f>N7 *SQRT(H7)</f>
        <v>16.690000000000001</v>
      </c>
      <c r="T7">
        <f>L7/N7</f>
        <v>14.715398442180948</v>
      </c>
    </row>
    <row r="8" spans="1:20" x14ac:dyDescent="0.25">
      <c r="A8" t="s">
        <v>786</v>
      </c>
      <c r="B8" t="s">
        <v>201</v>
      </c>
      <c r="C8" s="4">
        <v>5.6011999999999999E-2</v>
      </c>
      <c r="D8" s="4">
        <v>0.2</v>
      </c>
      <c r="E8" s="4">
        <v>6.3861000000000001E-2</v>
      </c>
      <c r="F8" s="4">
        <v>0.5</v>
      </c>
      <c r="G8">
        <v>2.5100000000000001E-3</v>
      </c>
      <c r="H8">
        <f>VLOOKUP(A8,DB!A:I,2,FALSE)</f>
        <v>350000</v>
      </c>
      <c r="I8">
        <f>VLOOKUP(A8,'RE@CD'!A:D,2,FALSE)</f>
        <v>350000</v>
      </c>
      <c r="J8">
        <f>VLOOKUP(A8,'RE@CD'!A:D,3,FALSE)</f>
        <v>275000</v>
      </c>
      <c r="K8">
        <f>VLOOKUP(A8,'RE@CD'!A:D,4,FALSE)</f>
        <v>80000</v>
      </c>
      <c r="L8">
        <f>VLOOKUP(A8,DB!A:I,3,FALSE)</f>
        <v>0.78669999999999995</v>
      </c>
      <c r="M8">
        <f>VLOOKUP(A8,DB!A:I,4,FALSE)</f>
        <v>-0.20669999999999999</v>
      </c>
      <c r="N8">
        <f>VLOOKUP(A8,DB!A:I,5,FALSE)</f>
        <v>1.5970000000000002E-2</v>
      </c>
      <c r="O8">
        <f>VLOOKUP(A8,DB!A:I,6,FALSE)</f>
        <v>6.4000000000000003E-3</v>
      </c>
      <c r="P8">
        <f>VLOOKUP(A8,DB!A:I,7,FALSE)</f>
        <v>9.5700000000000004E-3</v>
      </c>
      <c r="Q8">
        <f>VLOOKUP(A8,DB!A:I,8,FALSE)</f>
        <v>0.90659999999999996</v>
      </c>
      <c r="R8">
        <f>VLOOKUP(A8,DB!A:I,9,FALSE)</f>
        <v>3.2199999999999999E-2</v>
      </c>
      <c r="S8">
        <f>N8 *SQRT(H8)</f>
        <v>9.4479794136100868</v>
      </c>
      <c r="T8">
        <f>L8/N8</f>
        <v>49.261114589855971</v>
      </c>
    </row>
    <row r="9" spans="1:20" x14ac:dyDescent="0.25">
      <c r="A9" t="s">
        <v>935</v>
      </c>
      <c r="B9" t="s">
        <v>346</v>
      </c>
      <c r="C9" s="4">
        <v>0.34397800000000001</v>
      </c>
      <c r="D9" s="4">
        <v>0.33700000000000002</v>
      </c>
      <c r="E9" s="4">
        <v>5.1734000000000002E-2</v>
      </c>
      <c r="F9" s="4">
        <v>0.252</v>
      </c>
      <c r="G9">
        <v>1.486E-2</v>
      </c>
      <c r="H9">
        <f>VLOOKUP(A9,DB!A:I,2,FALSE)</f>
        <v>1650000</v>
      </c>
      <c r="I9">
        <f>VLOOKUP(A9,'RE@CD'!A:D,2,FALSE)</f>
        <v>1650000</v>
      </c>
      <c r="J9">
        <f>VLOOKUP(A9,'RE@CD'!A:D,3,FALSE)</f>
        <v>725000</v>
      </c>
      <c r="K9">
        <f>VLOOKUP(A9,'RE@CD'!A:D,4,FALSE)</f>
        <v>725000</v>
      </c>
      <c r="L9">
        <f>VLOOKUP(A9,DB!A:I,3,FALSE)</f>
        <v>0.54400000000000004</v>
      </c>
      <c r="M9">
        <f>VLOOKUP(A9,DB!A:I,4,FALSE)</f>
        <v>-6.9599999999999995E-2</v>
      </c>
      <c r="N9">
        <f>VLOOKUP(A9,DB!A:I,5,FALSE)</f>
        <v>1.2630000000000001E-2</v>
      </c>
      <c r="O9">
        <f>VLOOKUP(A9,DB!A:I,6,FALSE)</f>
        <v>6.0699999999999999E-3</v>
      </c>
      <c r="P9">
        <f>VLOOKUP(A9,DB!A:I,7,FALSE)</f>
        <v>6.5599999999999999E-3</v>
      </c>
      <c r="Q9">
        <f>VLOOKUP(A9,DB!A:I,8,FALSE)</f>
        <v>0.38540000000000002</v>
      </c>
      <c r="R9">
        <f>VLOOKUP(A9,DB!A:I,9,FALSE)</f>
        <v>0.42730000000000001</v>
      </c>
      <c r="S9">
        <f>N9 *SQRT(H9)</f>
        <v>16.223528746854058</v>
      </c>
      <c r="T9">
        <f>L9/N9</f>
        <v>43.072050673000795</v>
      </c>
    </row>
    <row r="10" spans="1:20" x14ac:dyDescent="0.25">
      <c r="A10" t="s">
        <v>661</v>
      </c>
      <c r="B10" t="s">
        <v>76</v>
      </c>
      <c r="C10" s="4">
        <v>0.13644500000000001</v>
      </c>
      <c r="D10" s="4">
        <v>0.41599999999999998</v>
      </c>
      <c r="E10" s="4">
        <v>4.6369999999999996E-3</v>
      </c>
      <c r="F10" s="4">
        <v>2.5000000000000001E-2</v>
      </c>
      <c r="G10">
        <v>4.6999999999999999E-4</v>
      </c>
      <c r="H10">
        <f>VLOOKUP(A10,DB!A:I,2,FALSE)</f>
        <v>175000</v>
      </c>
      <c r="I10">
        <f>VLOOKUP(A10,'RE@CD'!A:D,2,FALSE)</f>
        <v>175000</v>
      </c>
      <c r="J10">
        <f>VLOOKUP(A10,'RE@CD'!A:D,3,FALSE)</f>
        <v>725000</v>
      </c>
      <c r="K10">
        <f>VLOOKUP(A10,'RE@CD'!A:D,4,FALSE)</f>
        <v>725000</v>
      </c>
      <c r="L10">
        <f>VLOOKUP(A10,DB!A:I,3,FALSE)</f>
        <v>4.1999999999999997E-3</v>
      </c>
      <c r="M10">
        <f>VLOOKUP(A10,DB!A:I,4,FALSE)</f>
        <v>-2.3E-3</v>
      </c>
      <c r="N10">
        <f>VLOOKUP(A10,DB!A:I,5,FALSE)</f>
        <v>1.2070000000000001E-2</v>
      </c>
      <c r="O10">
        <f>VLOOKUP(A10,DB!A:I,6,FALSE)</f>
        <v>7.5700000000000003E-3</v>
      </c>
      <c r="P10">
        <f>VLOOKUP(A10,DB!A:I,7,FALSE)</f>
        <v>4.4999999999999997E-3</v>
      </c>
      <c r="Q10">
        <f>VLOOKUP(A10,DB!A:I,8,FALSE)</f>
        <v>0.61760000000000004</v>
      </c>
      <c r="R10">
        <f>VLOOKUP(A10,DB!A:I,9,FALSE)</f>
        <v>0.41810000000000003</v>
      </c>
      <c r="S10">
        <f>N10 *SQRT(H10)</f>
        <v>5.0492432601331458</v>
      </c>
      <c r="T10">
        <f>L10/N10</f>
        <v>0.34797017398508695</v>
      </c>
    </row>
    <row r="11" spans="1:20" x14ac:dyDescent="0.25">
      <c r="A11" t="s">
        <v>934</v>
      </c>
      <c r="B11" t="s">
        <v>345</v>
      </c>
      <c r="C11" s="4">
        <v>0.27136199999999999</v>
      </c>
      <c r="D11" s="4">
        <v>0.33800000000000002</v>
      </c>
      <c r="E11" s="4">
        <v>4.7385999999999998E-2</v>
      </c>
      <c r="F11" s="4">
        <v>0.27700000000000002</v>
      </c>
      <c r="G11">
        <v>7.0800000000000004E-3</v>
      </c>
      <c r="H11">
        <f>VLOOKUP(A11,DB!A:I,2,FALSE)</f>
        <v>3000000</v>
      </c>
      <c r="I11">
        <f>VLOOKUP(A11,'RE@CD'!A:D,2,FALSE)</f>
        <v>3000000</v>
      </c>
      <c r="J11">
        <f>VLOOKUP(A11,'RE@CD'!A:D,3,FALSE)</f>
        <v>450000</v>
      </c>
      <c r="K11">
        <f>VLOOKUP(A11,'RE@CD'!A:D,4,FALSE)</f>
        <v>200000</v>
      </c>
      <c r="L11">
        <f>VLOOKUP(A11,DB!A:I,3,FALSE)</f>
        <v>0.4894</v>
      </c>
      <c r="M11">
        <f>VLOOKUP(A11,DB!A:I,4,FALSE)</f>
        <v>-6.6000000000000003E-2</v>
      </c>
      <c r="N11">
        <f>VLOOKUP(A11,DB!A:I,5,FALSE)</f>
        <v>1.1950000000000001E-2</v>
      </c>
      <c r="O11">
        <f>VLOOKUP(A11,DB!A:I,6,FALSE)</f>
        <v>6.6299999999999996E-3</v>
      </c>
      <c r="P11">
        <f>VLOOKUP(A11,DB!A:I,7,FALSE)</f>
        <v>5.3200000000000001E-3</v>
      </c>
      <c r="Q11">
        <f>VLOOKUP(A11,DB!A:I,8,FALSE)</f>
        <v>0.37809999999999999</v>
      </c>
      <c r="R11">
        <f>VLOOKUP(A11,DB!A:I,9,FALSE)</f>
        <v>1.4500000000000001E-2</v>
      </c>
      <c r="S11">
        <f>N11 *SQRT(H11)</f>
        <v>20.698007150448085</v>
      </c>
      <c r="T11">
        <f>L11/N11</f>
        <v>40.953974895397486</v>
      </c>
    </row>
    <row r="12" spans="1:20" x14ac:dyDescent="0.25">
      <c r="A12" t="s">
        <v>958</v>
      </c>
      <c r="B12" t="s">
        <v>369</v>
      </c>
      <c r="C12" s="4">
        <v>0.19588</v>
      </c>
      <c r="D12" s="4">
        <v>0.37</v>
      </c>
      <c r="E12" s="4">
        <v>3.6471000000000003E-2</v>
      </c>
      <c r="F12" s="4">
        <v>0.5</v>
      </c>
      <c r="G12">
        <v>3.9699999999999996E-3</v>
      </c>
      <c r="H12">
        <f>VLOOKUP(A12,DB!A:I,2,FALSE)</f>
        <v>3000000</v>
      </c>
      <c r="I12">
        <f>VLOOKUP(A12,'RE@CD'!A:D,2,FALSE)</f>
        <v>3000000</v>
      </c>
      <c r="J12">
        <f>VLOOKUP(A12,'RE@CD'!A:D,3,FALSE)</f>
        <v>175000</v>
      </c>
      <c r="K12">
        <f>VLOOKUP(A12,'RE@CD'!A:D,4,FALSE)</f>
        <v>150000</v>
      </c>
      <c r="L12">
        <f>VLOOKUP(A12,DB!A:I,3,FALSE)</f>
        <v>0.48370000000000002</v>
      </c>
      <c r="M12">
        <f>VLOOKUP(A12,DB!A:I,4,FALSE)</f>
        <v>-0.1014</v>
      </c>
      <c r="N12">
        <f>VLOOKUP(A12,DB!A:I,5,FALSE)</f>
        <v>1.0880000000000001E-2</v>
      </c>
      <c r="O12">
        <f>VLOOKUP(A12,DB!A:I,6,FALSE)</f>
        <v>7.5399999999999998E-3</v>
      </c>
      <c r="P12">
        <f>VLOOKUP(A12,DB!A:I,7,FALSE)</f>
        <v>3.3400000000000001E-3</v>
      </c>
      <c r="Q12">
        <f>VLOOKUP(A12,DB!A:I,8,FALSE)</f>
        <v>4.5999999999999999E-2</v>
      </c>
      <c r="R12">
        <f>VLOOKUP(A12,DB!A:I,9,FALSE)</f>
        <v>1.8599999999999998E-2</v>
      </c>
      <c r="S12">
        <f>N12 *SQRT(H12)</f>
        <v>18.844712786349387</v>
      </c>
      <c r="T12">
        <f>L12/N12</f>
        <v>44.45772058823529</v>
      </c>
    </row>
    <row r="13" spans="1:20" x14ac:dyDescent="0.25">
      <c r="A13" t="s">
        <v>883</v>
      </c>
      <c r="B13" t="s">
        <v>298</v>
      </c>
      <c r="C13" s="4">
        <v>0.14471600000000001</v>
      </c>
      <c r="D13" s="4">
        <v>0.308</v>
      </c>
      <c r="E13" s="4">
        <v>3.9493E-2</v>
      </c>
      <c r="F13" s="4">
        <v>0.371</v>
      </c>
      <c r="G13">
        <v>1.3799999999999999E-3</v>
      </c>
      <c r="H13">
        <f>VLOOKUP(A13,DB!A:I,2,FALSE)</f>
        <v>3000000</v>
      </c>
      <c r="I13">
        <f>VLOOKUP(A13,'RE@CD'!A:D,2,FALSE)</f>
        <v>2900000</v>
      </c>
      <c r="J13">
        <f>VLOOKUP(A13,'RE@CD'!A:D,3,FALSE)</f>
        <v>100000</v>
      </c>
      <c r="K13">
        <f>VLOOKUP(A13,'RE@CD'!A:D,4,FALSE)</f>
        <v>60000</v>
      </c>
      <c r="L13">
        <f>VLOOKUP(A13,DB!A:I,3,FALSE)</f>
        <v>0.61950000000000005</v>
      </c>
      <c r="M13">
        <f>VLOOKUP(A13,DB!A:I,4,FALSE)</f>
        <v>-0.12790000000000001</v>
      </c>
      <c r="N13">
        <f>VLOOKUP(A13,DB!A:I,5,FALSE)</f>
        <v>9.9600000000000001E-3</v>
      </c>
      <c r="O13">
        <f>VLOOKUP(A13,DB!A:I,6,FALSE)</f>
        <v>7.3099999999999997E-3</v>
      </c>
      <c r="P13">
        <f>VLOOKUP(A13,DB!A:I,7,FALSE)</f>
        <v>2.65E-3</v>
      </c>
      <c r="Q13">
        <f>VLOOKUP(A13,DB!A:I,8,FALSE)</f>
        <v>8.0100000000000005E-2</v>
      </c>
      <c r="R13">
        <f>VLOOKUP(A13,DB!A:I,9,FALSE)</f>
        <v>5.7000000000000002E-3</v>
      </c>
      <c r="S13">
        <f>N13 *SQRT(H13)</f>
        <v>17.251226043386016</v>
      </c>
      <c r="T13">
        <f>L13/N13</f>
        <v>62.198795180722897</v>
      </c>
    </row>
    <row r="14" spans="1:20" x14ac:dyDescent="0.25">
      <c r="A14" t="s">
        <v>933</v>
      </c>
      <c r="B14" t="s">
        <v>344</v>
      </c>
      <c r="C14" s="4">
        <v>0.261328</v>
      </c>
      <c r="D14" s="4">
        <v>0.31</v>
      </c>
      <c r="E14" s="4">
        <v>4.7413999999999998E-2</v>
      </c>
      <c r="F14" s="4">
        <v>0.27700000000000002</v>
      </c>
      <c r="G14">
        <v>6.9300000000000004E-3</v>
      </c>
      <c r="H14">
        <f>VLOOKUP(A14,DB!A:I,2,FALSE)</f>
        <v>3000000</v>
      </c>
      <c r="I14">
        <f>VLOOKUP(A14,'RE@CD'!A:D,2,FALSE)</f>
        <v>2700000</v>
      </c>
      <c r="J14">
        <f>VLOOKUP(A14,'RE@CD'!A:D,3,FALSE)</f>
        <v>375000</v>
      </c>
      <c r="K14">
        <f>VLOOKUP(A14,'RE@CD'!A:D,4,FALSE)</f>
        <v>250000</v>
      </c>
      <c r="L14">
        <f>VLOOKUP(A14,DB!A:I,3,FALSE)</f>
        <v>0.45639999999999997</v>
      </c>
      <c r="M14">
        <f>VLOOKUP(A14,DB!A:I,4,FALSE)</f>
        <v>-5.8099999999999999E-2</v>
      </c>
      <c r="N14">
        <f>VLOOKUP(A14,DB!A:I,5,FALSE)</f>
        <v>9.7199999999999995E-3</v>
      </c>
      <c r="O14">
        <f>VLOOKUP(A14,DB!A:I,6,FALSE)</f>
        <v>6.4099999999999999E-3</v>
      </c>
      <c r="P14">
        <f>VLOOKUP(A14,DB!A:I,7,FALSE)</f>
        <v>3.3E-3</v>
      </c>
      <c r="Q14">
        <f>VLOOKUP(A14,DB!A:I,8,FALSE)</f>
        <v>0.37819999999999998</v>
      </c>
      <c r="R14">
        <f>VLOOKUP(A14,DB!A:I,9,FALSE)</f>
        <v>1.49E-2</v>
      </c>
      <c r="S14">
        <f>N14 *SQRT(H14)</f>
        <v>16.835533849569487</v>
      </c>
      <c r="T14">
        <f>L14/N14</f>
        <v>46.954732510288068</v>
      </c>
    </row>
    <row r="15" spans="1:20" x14ac:dyDescent="0.25">
      <c r="A15" t="s">
        <v>1088</v>
      </c>
      <c r="B15" t="s">
        <v>499</v>
      </c>
      <c r="C15" s="4">
        <v>0.121406</v>
      </c>
      <c r="D15" s="4">
        <v>0.19900000000000001</v>
      </c>
      <c r="E15" s="4">
        <v>8.6924000000000001E-2</v>
      </c>
      <c r="F15" s="4">
        <v>0.49</v>
      </c>
      <c r="G15">
        <v>7.0899999999999999E-3</v>
      </c>
      <c r="H15">
        <f>VLOOKUP(A15,DB!A:I,2,FALSE)</f>
        <v>3000000</v>
      </c>
      <c r="I15">
        <f>VLOOKUP(A15,'RE@CD'!A:D,2,FALSE)</f>
        <v>2300000</v>
      </c>
      <c r="J15">
        <f>VLOOKUP(A15,'RE@CD'!A:D,3,FALSE)</f>
        <v>150000</v>
      </c>
      <c r="K15">
        <f>VLOOKUP(A15,'RE@CD'!A:D,4,FALSE)</f>
        <v>125000</v>
      </c>
      <c r="L15">
        <f>VLOOKUP(A15,DB!A:I,3,FALSE)</f>
        <v>1.2527999999999999</v>
      </c>
      <c r="M15">
        <f>VLOOKUP(A15,DB!A:I,4,FALSE)</f>
        <v>-0.28489999999999999</v>
      </c>
      <c r="N15">
        <f>VLOOKUP(A15,DB!A:I,5,FALSE)</f>
        <v>9.5200000000000007E-3</v>
      </c>
      <c r="O15">
        <f>VLOOKUP(A15,DB!A:I,6,FALSE)</f>
        <v>6.0200000000000002E-3</v>
      </c>
      <c r="P15">
        <f>VLOOKUP(A15,DB!A:I,7,FALSE)</f>
        <v>3.5000000000000001E-3</v>
      </c>
      <c r="Q15">
        <f>VLOOKUP(A15,DB!A:I,8,FALSE)</f>
        <v>0.34200000000000003</v>
      </c>
      <c r="R15">
        <f>VLOOKUP(A15,DB!A:I,9,FALSE)</f>
        <v>4.4200000000000003E-2</v>
      </c>
      <c r="S15">
        <f>N15 *SQRT(H15)</f>
        <v>16.489123688055713</v>
      </c>
      <c r="T15">
        <f>L15/N15</f>
        <v>131.59663865546216</v>
      </c>
    </row>
    <row r="16" spans="1:20" x14ac:dyDescent="0.25">
      <c r="A16" t="s">
        <v>842</v>
      </c>
      <c r="B16" t="s">
        <v>257</v>
      </c>
      <c r="C16" s="4">
        <v>0.38825999999999999</v>
      </c>
      <c r="D16" s="4">
        <v>0.32700000000000001</v>
      </c>
      <c r="E16" s="4">
        <v>5.1999999999999995E-4</v>
      </c>
      <c r="F16" s="4">
        <v>0.11</v>
      </c>
      <c r="G16">
        <v>7.7160000000000006E-2</v>
      </c>
      <c r="H16">
        <f>VLOOKUP(A16,DB!A:I,2,FALSE)</f>
        <v>3000000</v>
      </c>
      <c r="I16" t="s">
        <v>1758</v>
      </c>
      <c r="J16">
        <f>VLOOKUP(A16,'RE@CD'!A:D,3,FALSE)</f>
        <v>475000</v>
      </c>
      <c r="K16">
        <f>VLOOKUP(A16,'RE@CD'!A:D,4,FALSE)</f>
        <v>400000</v>
      </c>
      <c r="L16">
        <f>VLOOKUP(A16,DB!A:I,3,FALSE)</f>
        <v>2.3E-3</v>
      </c>
      <c r="M16">
        <f>VLOOKUP(A16,DB!A:I,4,FALSE)</f>
        <v>-2.9999999999999997E-4</v>
      </c>
      <c r="N16">
        <f>VLOOKUP(A16,DB!A:I,5,FALSE)</f>
        <v>9.4900000000000002E-3</v>
      </c>
      <c r="O16">
        <f>VLOOKUP(A16,DB!A:I,6,FALSE)</f>
        <v>5.5500000000000002E-3</v>
      </c>
      <c r="P16">
        <f>VLOOKUP(A16,DB!A:I,7,FALSE)</f>
        <v>3.9399999999999999E-3</v>
      </c>
      <c r="Q16">
        <f>VLOOKUP(A16,DB!A:I,8,FALSE)</f>
        <v>0.39</v>
      </c>
      <c r="R16">
        <f>VLOOKUP(A16,DB!A:I,9,FALSE)</f>
        <v>0.38879999999999998</v>
      </c>
      <c r="S16">
        <f>N16 *SQRT(H16)</f>
        <v>16.437162163828646</v>
      </c>
      <c r="T16">
        <f>L16/N16</f>
        <v>0.2423603793466807</v>
      </c>
    </row>
    <row r="17" spans="1:20" x14ac:dyDescent="0.25">
      <c r="A17" t="s">
        <v>882</v>
      </c>
      <c r="B17" t="s">
        <v>297</v>
      </c>
      <c r="C17" s="4">
        <v>0.14318900000000001</v>
      </c>
      <c r="D17" s="4">
        <v>0.33900000000000002</v>
      </c>
      <c r="E17" s="4">
        <v>3.0418000000000001E-2</v>
      </c>
      <c r="F17" s="4">
        <v>0.309</v>
      </c>
      <c r="G17">
        <v>2.3500000000000001E-3</v>
      </c>
      <c r="H17">
        <f>VLOOKUP(A17,DB!A:I,2,FALSE)</f>
        <v>3000000</v>
      </c>
      <c r="I17">
        <f>VLOOKUP(A17,'RE@CD'!A:D,2,FALSE)</f>
        <v>2200000</v>
      </c>
      <c r="J17">
        <f>VLOOKUP(A17,'RE@CD'!A:D,3,FALSE)</f>
        <v>100000</v>
      </c>
      <c r="K17">
        <f>VLOOKUP(A17,'RE@CD'!A:D,4,FALSE)</f>
        <v>60000</v>
      </c>
      <c r="L17">
        <f>VLOOKUP(A17,DB!A:I,3,FALSE)</f>
        <v>0.32200000000000001</v>
      </c>
      <c r="M17">
        <f>VLOOKUP(A17,DB!A:I,4,FALSE)</f>
        <v>-5.45E-2</v>
      </c>
      <c r="N17">
        <f>VLOOKUP(A17,DB!A:I,5,FALSE)</f>
        <v>9.4900000000000002E-3</v>
      </c>
      <c r="O17">
        <f>VLOOKUP(A17,DB!A:I,6,FALSE)</f>
        <v>7.4400000000000004E-3</v>
      </c>
      <c r="P17">
        <f>VLOOKUP(A17,DB!A:I,7,FALSE)</f>
        <v>2.0600000000000002E-3</v>
      </c>
      <c r="Q17">
        <f>VLOOKUP(A17,DB!A:I,8,FALSE)</f>
        <v>7.8899999999999998E-2</v>
      </c>
      <c r="R17">
        <f>VLOOKUP(A17,DB!A:I,9,FALSE)</f>
        <v>6.7999999999999996E-3</v>
      </c>
      <c r="S17">
        <f>N17 *SQRT(H17)</f>
        <v>16.437162163828646</v>
      </c>
      <c r="T17">
        <f>L17/N17</f>
        <v>33.930453108535303</v>
      </c>
    </row>
    <row r="18" spans="1:20" x14ac:dyDescent="0.25">
      <c r="A18" t="s">
        <v>900</v>
      </c>
      <c r="B18" t="s">
        <v>315</v>
      </c>
      <c r="C18" s="4">
        <v>0.28133599999999997</v>
      </c>
      <c r="D18" s="4">
        <v>0.222</v>
      </c>
      <c r="E18" s="4">
        <v>5.5399999999999998E-2</v>
      </c>
      <c r="F18" s="4">
        <v>0.5</v>
      </c>
      <c r="G18">
        <v>7.1660000000000001E-2</v>
      </c>
      <c r="H18">
        <f>VLOOKUP(A18,DB!A:I,2,FALSE)</f>
        <v>3000000</v>
      </c>
      <c r="I18">
        <f>VLOOKUP(A18,'RE@CD'!A:D,2,FALSE)</f>
        <v>2200000</v>
      </c>
      <c r="J18">
        <f>VLOOKUP(A18,'RE@CD'!A:D,3,FALSE)</f>
        <v>225000</v>
      </c>
      <c r="K18">
        <f>VLOOKUP(A18,'RE@CD'!A:D,4,FALSE)</f>
        <v>150000</v>
      </c>
      <c r="L18">
        <f>VLOOKUP(A18,DB!A:I,3,FALSE)</f>
        <v>0.66600000000000004</v>
      </c>
      <c r="M18">
        <f>VLOOKUP(A18,DB!A:I,4,FALSE)</f>
        <v>-0.1404</v>
      </c>
      <c r="N18">
        <f>VLOOKUP(A18,DB!A:I,5,FALSE)</f>
        <v>9.4299999999999991E-3</v>
      </c>
      <c r="O18">
        <f>VLOOKUP(A18,DB!A:I,6,FALSE)</f>
        <v>5.9500000000000004E-3</v>
      </c>
      <c r="P18">
        <f>VLOOKUP(A18,DB!A:I,7,FALSE)</f>
        <v>3.48E-3</v>
      </c>
      <c r="Q18">
        <f>VLOOKUP(A18,DB!A:I,8,FALSE)</f>
        <v>0.30470000000000003</v>
      </c>
      <c r="R18">
        <f>VLOOKUP(A18,DB!A:I,9,FALSE)</f>
        <v>0.20499999999999999</v>
      </c>
      <c r="S18">
        <f>N18 *SQRT(H18)</f>
        <v>16.333239115374511</v>
      </c>
      <c r="T18">
        <f>L18/N18</f>
        <v>70.62566277836693</v>
      </c>
    </row>
    <row r="19" spans="1:20" x14ac:dyDescent="0.25">
      <c r="A19" t="s">
        <v>891</v>
      </c>
      <c r="B19" t="s">
        <v>306</v>
      </c>
      <c r="C19" s="4">
        <v>8.0019999999999994E-2</v>
      </c>
      <c r="D19" s="4">
        <v>0.27900000000000003</v>
      </c>
      <c r="E19" s="4">
        <v>2.4611000000000001E-2</v>
      </c>
      <c r="F19" s="4">
        <v>0.25</v>
      </c>
      <c r="G19">
        <v>3.7200000000000002E-3</v>
      </c>
      <c r="H19">
        <f>VLOOKUP(A19,DB!A:I,2,FALSE)</f>
        <v>925000</v>
      </c>
      <c r="I19">
        <f>VLOOKUP(A19,'RE@CD'!A:D,2,FALSE)</f>
        <v>225000</v>
      </c>
      <c r="J19">
        <f>VLOOKUP(A19,'RE@CD'!A:D,3,FALSE)</f>
        <v>50000</v>
      </c>
      <c r="K19">
        <f>VLOOKUP(A19,'RE@CD'!A:D,4,FALSE)</f>
        <v>80000</v>
      </c>
      <c r="L19">
        <f>VLOOKUP(A19,DB!A:I,3,FALSE)</f>
        <v>3.04E-2</v>
      </c>
      <c r="M19">
        <f>VLOOKUP(A19,DB!A:I,4,FALSE)</f>
        <v>2.1000000000000001E-2</v>
      </c>
      <c r="N19">
        <f>VLOOKUP(A19,DB!A:I,5,FALSE)</f>
        <v>5.47E-3</v>
      </c>
      <c r="O19">
        <f>VLOOKUP(A19,DB!A:I,6,FALSE)</f>
        <v>4.4200000000000003E-3</v>
      </c>
      <c r="P19">
        <f>VLOOKUP(A19,DB!A:I,7,FALSE)</f>
        <v>1.0499999999999999E-3</v>
      </c>
      <c r="Q19">
        <f>VLOOKUP(A19,DB!A:I,8,FALSE)</f>
        <v>0.44030000000000002</v>
      </c>
      <c r="R19">
        <f>VLOOKUP(A19,DB!A:I,9,FALSE)</f>
        <v>0.88009999999999999</v>
      </c>
      <c r="S19">
        <f>N19 *SQRT(H19)</f>
        <v>5.2608775408671127</v>
      </c>
      <c r="T19">
        <f>L19/N19</f>
        <v>5.5575868372943331</v>
      </c>
    </row>
    <row r="20" spans="1:20" x14ac:dyDescent="0.25">
      <c r="A20" t="s">
        <v>726</v>
      </c>
      <c r="B20" t="s">
        <v>141</v>
      </c>
      <c r="C20" s="4">
        <v>3.7858999999999997E-2</v>
      </c>
      <c r="D20" s="4">
        <v>6.0999999999999999E-2</v>
      </c>
      <c r="E20" s="4">
        <v>9.1131000000000004E-2</v>
      </c>
      <c r="F20" s="4">
        <v>0.32600000000000001</v>
      </c>
      <c r="G20">
        <v>2.8400000000000001E-3</v>
      </c>
      <c r="H20">
        <f>VLOOKUP(A20,DB!A:I,2,FALSE)</f>
        <v>3000000</v>
      </c>
      <c r="I20">
        <f>VLOOKUP(A20,'RE@CD'!A:D,2,FALSE)</f>
        <v>1750000</v>
      </c>
      <c r="J20">
        <f>VLOOKUP(A20,'RE@CD'!A:D,3,FALSE)</f>
        <v>1050000</v>
      </c>
      <c r="K20">
        <f>VLOOKUP(A20,'RE@CD'!A:D,4,FALSE)</f>
        <v>350000</v>
      </c>
      <c r="L20">
        <f>VLOOKUP(A20,DB!A:I,3,FALSE)</f>
        <v>0.67349999999999999</v>
      </c>
      <c r="M20">
        <f>VLOOKUP(A20,DB!A:I,4,FALSE)</f>
        <v>-0.11550000000000001</v>
      </c>
      <c r="N20">
        <f>VLOOKUP(A20,DB!A:I,5,FALSE)</f>
        <v>8.8199999999999997E-3</v>
      </c>
      <c r="O20">
        <f>VLOOKUP(A20,DB!A:I,6,FALSE)</f>
        <v>4.6699999999999997E-3</v>
      </c>
      <c r="P20">
        <f>VLOOKUP(A20,DB!A:I,7,FALSE)</f>
        <v>4.15E-3</v>
      </c>
      <c r="Q20">
        <f>VLOOKUP(A20,DB!A:I,8,FALSE)</f>
        <v>0.46660000000000001</v>
      </c>
      <c r="R20">
        <f>VLOOKUP(A20,DB!A:I,9,FALSE)</f>
        <v>1.1900000000000001E-2</v>
      </c>
      <c r="S20">
        <f>N20 *SQRT(H20)</f>
        <v>15.276688122757497</v>
      </c>
      <c r="T20">
        <f>L20/N20</f>
        <v>76.360544217687078</v>
      </c>
    </row>
    <row r="21" spans="1:20" x14ac:dyDescent="0.25">
      <c r="A21" t="s">
        <v>841</v>
      </c>
      <c r="B21" t="s">
        <v>256</v>
      </c>
      <c r="C21" s="4">
        <v>0.35730000000000001</v>
      </c>
      <c r="D21" s="4">
        <v>0.28499999999999998</v>
      </c>
      <c r="E21" s="4">
        <v>0</v>
      </c>
      <c r="F21" s="4">
        <v>8.2000000000000003E-2</v>
      </c>
      <c r="G21">
        <v>6.7729999999999999E-2</v>
      </c>
      <c r="H21">
        <f>VLOOKUP(A21,DB!A:I,2,FALSE)</f>
        <v>3000000</v>
      </c>
      <c r="I21">
        <f>VLOOKUP(A21,'RE@CD'!A:D,2,FALSE)</f>
        <v>1950000</v>
      </c>
      <c r="J21">
        <f>VLOOKUP(A21,'RE@CD'!A:D,3,FALSE)</f>
        <v>400000</v>
      </c>
      <c r="K21">
        <f>VLOOKUP(A21,'RE@CD'!A:D,4,FALSE)</f>
        <v>250000</v>
      </c>
      <c r="L21">
        <f>VLOOKUP(A21,DB!A:I,3,FALSE)</f>
        <v>0</v>
      </c>
      <c r="M21">
        <f>VLOOKUP(A21,DB!A:I,4,FALSE)</f>
        <v>0</v>
      </c>
      <c r="N21">
        <f>VLOOKUP(A21,DB!A:I,5,FALSE)</f>
        <v>8.7799999999999996E-3</v>
      </c>
      <c r="O21">
        <f>VLOOKUP(A21,DB!A:I,6,FALSE)</f>
        <v>5.4599999999999996E-3</v>
      </c>
      <c r="P21">
        <f>VLOOKUP(A21,DB!A:I,7,FALSE)</f>
        <v>3.31E-3</v>
      </c>
      <c r="Q21">
        <f>VLOOKUP(A21,DB!A:I,8,FALSE)</f>
        <v>0.38669999999999999</v>
      </c>
      <c r="R21">
        <f>VLOOKUP(A21,DB!A:I,9,FALSE)</f>
        <v>0.38669999999999999</v>
      </c>
      <c r="S21">
        <f>N21 *SQRT(H21)</f>
        <v>15.207406090454741</v>
      </c>
      <c r="T21">
        <f>L21/N21</f>
        <v>0</v>
      </c>
    </row>
    <row r="22" spans="1:20" x14ac:dyDescent="0.25">
      <c r="A22" t="s">
        <v>631</v>
      </c>
      <c r="B22" t="s">
        <v>46</v>
      </c>
      <c r="C22" s="4">
        <v>0.22024199999999999</v>
      </c>
      <c r="D22" s="4">
        <v>0.17100000000000001</v>
      </c>
      <c r="E22" s="4">
        <v>1.0340999999999999E-2</v>
      </c>
      <c r="F22" s="4">
        <v>0.56499999999999995</v>
      </c>
      <c r="G22">
        <v>1.651E-2</v>
      </c>
      <c r="H22">
        <f>VLOOKUP(A22,DB!A:I,2,FALSE)</f>
        <v>3000000</v>
      </c>
      <c r="I22">
        <f>VLOOKUP(A22,'RE@CD'!A:D,2,FALSE)</f>
        <v>1700000</v>
      </c>
      <c r="J22">
        <f>VLOOKUP(A22,'RE@CD'!A:D,3,FALSE)</f>
        <v>450000</v>
      </c>
      <c r="K22">
        <f>VLOOKUP(A22,'RE@CD'!A:D,4,FALSE)</f>
        <v>325000</v>
      </c>
      <c r="L22">
        <f>VLOOKUP(A22,DB!A:I,3,FALSE)</f>
        <v>0.1202</v>
      </c>
      <c r="M22">
        <f>VLOOKUP(A22,DB!A:I,4,FALSE)</f>
        <v>-1.5800000000000002E-2</v>
      </c>
      <c r="N22">
        <f>VLOOKUP(A22,DB!A:I,5,FALSE)</f>
        <v>8.6800000000000002E-3</v>
      </c>
      <c r="O22">
        <f>VLOOKUP(A22,DB!A:I,6,FALSE)</f>
        <v>6.2700000000000004E-3</v>
      </c>
      <c r="P22">
        <f>VLOOKUP(A22,DB!A:I,7,FALSE)</f>
        <v>2.3999999999999998E-3</v>
      </c>
      <c r="Q22">
        <f>VLOOKUP(A22,DB!A:I,8,FALSE)</f>
        <v>0.1915</v>
      </c>
      <c r="R22">
        <f>VLOOKUP(A22,DB!A:I,9,FALSE)</f>
        <v>0.20319999999999999</v>
      </c>
      <c r="S22">
        <f>N22 *SQRT(H22)</f>
        <v>15.034201009697854</v>
      </c>
      <c r="T22">
        <f>L22/N22</f>
        <v>13.847926267281105</v>
      </c>
    </row>
    <row r="23" spans="1:20" x14ac:dyDescent="0.25">
      <c r="A23" t="s">
        <v>840</v>
      </c>
      <c r="B23" t="s">
        <v>255</v>
      </c>
      <c r="C23" s="4">
        <v>0.32374000000000003</v>
      </c>
      <c r="D23" s="4">
        <v>0.28499999999999998</v>
      </c>
      <c r="E23" s="4">
        <v>0</v>
      </c>
      <c r="F23" s="4">
        <v>5.8000000000000003E-2</v>
      </c>
      <c r="G23">
        <v>5.8939999999999999E-2</v>
      </c>
      <c r="H23">
        <f>VLOOKUP(A23,DB!A:I,2,FALSE)</f>
        <v>3000000</v>
      </c>
      <c r="I23">
        <f>VLOOKUP(A23,'RE@CD'!A:D,2,FALSE)</f>
        <v>1500000</v>
      </c>
      <c r="J23">
        <f>VLOOKUP(A23,'RE@CD'!A:D,3,FALSE)</f>
        <v>325000</v>
      </c>
      <c r="K23">
        <f>VLOOKUP(A23,'RE@CD'!A:D,4,FALSE)</f>
        <v>225000</v>
      </c>
      <c r="L23">
        <f>VLOOKUP(A23,DB!A:I,3,FALSE)</f>
        <v>0</v>
      </c>
      <c r="M23">
        <f>VLOOKUP(A23,DB!A:I,4,FALSE)</f>
        <v>0</v>
      </c>
      <c r="N23">
        <f>VLOOKUP(A23,DB!A:I,5,FALSE)</f>
        <v>8.26E-3</v>
      </c>
      <c r="O23">
        <f>VLOOKUP(A23,DB!A:I,6,FALSE)</f>
        <v>5.4200000000000003E-3</v>
      </c>
      <c r="P23">
        <f>VLOOKUP(A23,DB!A:I,7,FALSE)</f>
        <v>2.8400000000000001E-3</v>
      </c>
      <c r="Q23">
        <f>VLOOKUP(A23,DB!A:I,8,FALSE)</f>
        <v>0.37709999999999999</v>
      </c>
      <c r="R23">
        <f>VLOOKUP(A23,DB!A:I,9,FALSE)</f>
        <v>0.37709999999999999</v>
      </c>
      <c r="S23">
        <f>N23 *SQRT(H23)</f>
        <v>14.306739670518926</v>
      </c>
      <c r="T23">
        <f>L23/N23</f>
        <v>0</v>
      </c>
    </row>
    <row r="24" spans="1:20" x14ac:dyDescent="0.25">
      <c r="A24" t="s">
        <v>648</v>
      </c>
      <c r="B24" t="s">
        <v>63</v>
      </c>
      <c r="C24" s="4">
        <v>0.29988700000000001</v>
      </c>
      <c r="D24" s="4">
        <v>0.28100000000000003</v>
      </c>
      <c r="E24" s="4">
        <v>1.6038E-2</v>
      </c>
      <c r="F24" s="4">
        <v>0.72199999999999998</v>
      </c>
      <c r="G24">
        <v>8.3989999999999995E-2</v>
      </c>
      <c r="H24">
        <f>VLOOKUP(A24,DB!A:I,2,FALSE)</f>
        <v>3000000</v>
      </c>
      <c r="I24">
        <f>VLOOKUP(A24,'RE@CD'!A:D,2,FALSE)</f>
        <v>1250000</v>
      </c>
      <c r="J24">
        <f>VLOOKUP(A24,'RE@CD'!A:D,3,FALSE)</f>
        <v>250000</v>
      </c>
      <c r="K24">
        <f>VLOOKUP(A24,'RE@CD'!A:D,4,FALSE)</f>
        <v>175000</v>
      </c>
      <c r="L24">
        <f>VLOOKUP(A24,DB!A:I,3,FALSE)</f>
        <v>0.41349999999999998</v>
      </c>
      <c r="M24">
        <f>VLOOKUP(A24,DB!A:I,4,FALSE)</f>
        <v>-8.9300000000000004E-2</v>
      </c>
      <c r="N24">
        <f>VLOOKUP(A24,DB!A:I,5,FALSE)</f>
        <v>8.1899999999999994E-3</v>
      </c>
      <c r="O24">
        <f>VLOOKUP(A24,DB!A:I,6,FALSE)</f>
        <v>5.2399999999999999E-3</v>
      </c>
      <c r="P24">
        <f>VLOOKUP(A24,DB!A:I,7,FALSE)</f>
        <v>2.9499999999999999E-3</v>
      </c>
      <c r="Q24">
        <f>VLOOKUP(A24,DB!A:I,8,FALSE)</f>
        <v>0.37640000000000001</v>
      </c>
      <c r="R24">
        <f>VLOOKUP(A24,DB!A:I,9,FALSE)</f>
        <v>0.40629999999999999</v>
      </c>
      <c r="S24">
        <f>N24 *SQRT(H24)</f>
        <v>14.185496113989103</v>
      </c>
      <c r="T24">
        <f>L24/N24</f>
        <v>50.488400488400487</v>
      </c>
    </row>
    <row r="25" spans="1:20" x14ac:dyDescent="0.25">
      <c r="A25" t="s">
        <v>921</v>
      </c>
      <c r="B25" t="s">
        <v>335</v>
      </c>
      <c r="C25" s="4">
        <v>0.130827</v>
      </c>
      <c r="D25" s="4">
        <v>0.27100000000000002</v>
      </c>
      <c r="E25" s="4">
        <v>9.7277000000000002E-2</v>
      </c>
      <c r="F25" s="4">
        <v>0.41599999999999998</v>
      </c>
      <c r="G25">
        <v>5.9500000000000004E-3</v>
      </c>
      <c r="H25">
        <f>VLOOKUP(A25,DB!A:I,2,FALSE)</f>
        <v>3000000</v>
      </c>
      <c r="I25">
        <f>VLOOKUP(A25,'RE@CD'!A:D,2,FALSE)</f>
        <v>1300000</v>
      </c>
      <c r="J25">
        <f>VLOOKUP(A25,'RE@CD'!A:D,3,FALSE)</f>
        <v>200000</v>
      </c>
      <c r="K25">
        <f>VLOOKUP(A25,'RE@CD'!A:D,4,FALSE)</f>
        <v>150000</v>
      </c>
      <c r="L25">
        <f>VLOOKUP(A25,DB!A:I,3,FALSE)</f>
        <v>1.2682</v>
      </c>
      <c r="M25">
        <f>VLOOKUP(A25,DB!A:I,4,FALSE)</f>
        <v>-0.2661</v>
      </c>
      <c r="N25">
        <f>VLOOKUP(A25,DB!A:I,5,FALSE)</f>
        <v>8.0599999999999995E-3</v>
      </c>
      <c r="O25">
        <f>VLOOKUP(A25,DB!A:I,6,FALSE)</f>
        <v>5.5799999999999999E-3</v>
      </c>
      <c r="P25">
        <f>VLOOKUP(A25,DB!A:I,7,FALSE)</f>
        <v>2.48E-3</v>
      </c>
      <c r="Q25">
        <f>VLOOKUP(A25,DB!A:I,8,FALSE)</f>
        <v>0.44080000000000003</v>
      </c>
      <c r="R25">
        <f>VLOOKUP(A25,DB!A:I,9,FALSE)</f>
        <v>1.7500000000000002E-2</v>
      </c>
      <c r="S25">
        <f>N25 *SQRT(H25)</f>
        <v>13.960329509005149</v>
      </c>
      <c r="T25">
        <f>L25/N25</f>
        <v>157.34491315136478</v>
      </c>
    </row>
    <row r="26" spans="1:20" x14ac:dyDescent="0.25">
      <c r="A26" t="s">
        <v>613</v>
      </c>
      <c r="B26" t="s">
        <v>28</v>
      </c>
      <c r="C26" s="4">
        <v>6.0235999999999998E-2</v>
      </c>
      <c r="D26" s="4">
        <v>0.23200000000000001</v>
      </c>
      <c r="E26" s="4">
        <v>1.7079E-2</v>
      </c>
      <c r="F26" s="4">
        <v>0.316</v>
      </c>
      <c r="G26">
        <v>3.8700000000000002E-3</v>
      </c>
      <c r="H26">
        <f>VLOOKUP(A26,DB!A:I,2,FALSE)</f>
        <v>425000</v>
      </c>
      <c r="I26">
        <f>VLOOKUP(A26,'RE@CD'!A:D,2,FALSE)</f>
        <v>90000</v>
      </c>
      <c r="J26">
        <f>VLOOKUP(A26,'RE@CD'!A:D,3,FALSE)</f>
        <v>50000</v>
      </c>
      <c r="K26">
        <f>VLOOKUP(A26,'RE@CD'!A:D,4,FALSE)</f>
        <v>50000</v>
      </c>
      <c r="L26">
        <f>VLOOKUP(A26,DB!A:I,3,FALSE)</f>
        <v>5.8500000000000003E-2</v>
      </c>
      <c r="M26">
        <f>VLOOKUP(A26,DB!A:I,4,FALSE)</f>
        <v>-2.5100000000000001E-2</v>
      </c>
      <c r="N26">
        <f>VLOOKUP(A26,DB!A:I,5,FALSE)</f>
        <v>5.28E-3</v>
      </c>
      <c r="O26">
        <f>VLOOKUP(A26,DB!A:I,6,FALSE)</f>
        <v>3.79E-3</v>
      </c>
      <c r="P26">
        <f>VLOOKUP(A26,DB!A:I,7,FALSE)</f>
        <v>1.49E-3</v>
      </c>
      <c r="Q26">
        <f>VLOOKUP(A26,DB!A:I,8,FALSE)</f>
        <v>0.7772</v>
      </c>
      <c r="R26">
        <f>VLOOKUP(A26,DB!A:I,9,FALSE)</f>
        <v>0.98150000000000004</v>
      </c>
      <c r="S26">
        <f>N26 *SQRT(H26)</f>
        <v>3.4421388699469984</v>
      </c>
      <c r="T26">
        <f>L26/N26</f>
        <v>11.079545454545455</v>
      </c>
    </row>
    <row r="27" spans="1:20" x14ac:dyDescent="0.25">
      <c r="A27" t="s">
        <v>932</v>
      </c>
      <c r="B27" t="s">
        <v>343</v>
      </c>
      <c r="C27" s="4">
        <v>0.15248</v>
      </c>
      <c r="D27" s="4">
        <v>0.27900000000000003</v>
      </c>
      <c r="E27" s="4">
        <v>4.4493999999999999E-2</v>
      </c>
      <c r="F27" s="4">
        <v>0.27900000000000003</v>
      </c>
      <c r="G27">
        <v>8.6800000000000002E-3</v>
      </c>
      <c r="H27">
        <f>VLOOKUP(A27,DB!A:I,2,FALSE)</f>
        <v>3000000</v>
      </c>
      <c r="I27">
        <f>VLOOKUP(A27,'RE@CD'!A:D,2,FALSE)</f>
        <v>1100000</v>
      </c>
      <c r="J27">
        <f>VLOOKUP(A27,'RE@CD'!A:D,3,FALSE)</f>
        <v>150000</v>
      </c>
      <c r="K27">
        <f>VLOOKUP(A27,'RE@CD'!A:D,4,FALSE)</f>
        <v>100000</v>
      </c>
      <c r="L27">
        <f>VLOOKUP(A27,DB!A:I,3,FALSE)</f>
        <v>0.2641</v>
      </c>
      <c r="M27">
        <f>VLOOKUP(A27,DB!A:I,4,FALSE)</f>
        <v>-1.6500000000000001E-2</v>
      </c>
      <c r="N27">
        <f>VLOOKUP(A27,DB!A:I,5,FALSE)</f>
        <v>8.0199999999999994E-3</v>
      </c>
      <c r="O27">
        <f>VLOOKUP(A27,DB!A:I,6,FALSE)</f>
        <v>6.3600000000000002E-3</v>
      </c>
      <c r="P27">
        <f>VLOOKUP(A27,DB!A:I,7,FALSE)</f>
        <v>1.66E-3</v>
      </c>
      <c r="Q27">
        <f>VLOOKUP(A27,DB!A:I,8,FALSE)</f>
        <v>0.34570000000000001</v>
      </c>
      <c r="R27">
        <f>VLOOKUP(A27,DB!A:I,9,FALSE)</f>
        <v>2.2700000000000001E-2</v>
      </c>
      <c r="S27">
        <f>N27 *SQRT(H27)</f>
        <v>13.891047476702393</v>
      </c>
      <c r="T27">
        <f>L27/N27</f>
        <v>32.930174563591024</v>
      </c>
    </row>
    <row r="28" spans="1:20" x14ac:dyDescent="0.25">
      <c r="A28" t="s">
        <v>817</v>
      </c>
      <c r="B28" t="s">
        <v>232</v>
      </c>
      <c r="C28" s="4">
        <v>0.16647899999999999</v>
      </c>
      <c r="D28" s="4">
        <v>0.442</v>
      </c>
      <c r="E28" s="4">
        <v>7.0659E-2</v>
      </c>
      <c r="F28" s="4">
        <v>0.79800000000000004</v>
      </c>
      <c r="G28">
        <v>8.4600000000000005E-3</v>
      </c>
      <c r="H28">
        <f>VLOOKUP(A28,DB!A:I,2,FALSE)</f>
        <v>3000000</v>
      </c>
      <c r="I28">
        <f>VLOOKUP(A28,'RE@CD'!A:D,2,FALSE)</f>
        <v>1300000</v>
      </c>
      <c r="J28">
        <f>VLOOKUP(A28,'RE@CD'!A:D,3,FALSE)</f>
        <v>275000</v>
      </c>
      <c r="K28">
        <f>VLOOKUP(A28,'RE@CD'!A:D,4,FALSE)</f>
        <v>200000</v>
      </c>
      <c r="L28">
        <f>VLOOKUP(A28,DB!A:I,3,FALSE)</f>
        <v>1.6553</v>
      </c>
      <c r="M28">
        <f>VLOOKUP(A28,DB!A:I,4,FALSE)</f>
        <v>-0.40970000000000001</v>
      </c>
      <c r="N28">
        <f>VLOOKUP(A28,DB!A:I,5,FALSE)</f>
        <v>7.9900000000000006E-3</v>
      </c>
      <c r="O28">
        <f>VLOOKUP(A28,DB!A:I,6,FALSE)</f>
        <v>4.7999999999999996E-3</v>
      </c>
      <c r="P28">
        <f>VLOOKUP(A28,DB!A:I,7,FALSE)</f>
        <v>3.1900000000000001E-3</v>
      </c>
      <c r="Q28">
        <f>VLOOKUP(A28,DB!A:I,8,FALSE)</f>
        <v>0.50409999999999999</v>
      </c>
      <c r="R28">
        <f>VLOOKUP(A28,DB!A:I,9,FALSE)</f>
        <v>0.59379999999999999</v>
      </c>
      <c r="S28">
        <f>N28 *SQRT(H28)</f>
        <v>13.83908595247533</v>
      </c>
      <c r="T28">
        <f>L28/N28</f>
        <v>207.17146433041299</v>
      </c>
    </row>
    <row r="29" spans="1:20" x14ac:dyDescent="0.25">
      <c r="A29" t="s">
        <v>741</v>
      </c>
      <c r="B29" t="s">
        <v>156</v>
      </c>
      <c r="C29" s="4">
        <v>0.143424</v>
      </c>
      <c r="D29" s="4">
        <v>0.23699999999999999</v>
      </c>
      <c r="E29" s="4">
        <v>0.104514</v>
      </c>
      <c r="F29" s="4">
        <v>0.40500000000000003</v>
      </c>
      <c r="G29">
        <v>2.7299999999999998E-3</v>
      </c>
      <c r="H29">
        <f>VLOOKUP(A29,DB!A:I,2,FALSE)</f>
        <v>3000000</v>
      </c>
      <c r="I29">
        <f>VLOOKUP(A29,'RE@CD'!A:D,2,FALSE)</f>
        <v>1200000</v>
      </c>
      <c r="J29">
        <f>VLOOKUP(A29,'RE@CD'!A:D,3,FALSE)</f>
        <v>225000</v>
      </c>
      <c r="K29">
        <f>VLOOKUP(A29,'RE@CD'!A:D,4,FALSE)</f>
        <v>175000</v>
      </c>
      <c r="L29">
        <f>VLOOKUP(A29,DB!A:I,3,FALSE)</f>
        <v>1.1613</v>
      </c>
      <c r="M29">
        <f>VLOOKUP(A29,DB!A:I,4,FALSE)</f>
        <v>-0.23699999999999999</v>
      </c>
      <c r="N29">
        <f>VLOOKUP(A29,DB!A:I,5,FALSE)</f>
        <v>7.9699999999999997E-3</v>
      </c>
      <c r="O29">
        <f>VLOOKUP(A29,DB!A:I,6,FALSE)</f>
        <v>5.4799999999999996E-3</v>
      </c>
      <c r="P29">
        <f>VLOOKUP(A29,DB!A:I,7,FALSE)</f>
        <v>2.49E-3</v>
      </c>
      <c r="Q29">
        <f>VLOOKUP(A29,DB!A:I,8,FALSE)</f>
        <v>0.45290000000000002</v>
      </c>
      <c r="R29">
        <f>VLOOKUP(A29,DB!A:I,9,FALSE)</f>
        <v>7.2599999999999998E-2</v>
      </c>
      <c r="S29">
        <f>N29 *SQRT(H29)</f>
        <v>13.80444493632395</v>
      </c>
      <c r="T29">
        <f>L29/N29</f>
        <v>145.70890840652447</v>
      </c>
    </row>
    <row r="30" spans="1:20" x14ac:dyDescent="0.25">
      <c r="A30" t="s">
        <v>651</v>
      </c>
      <c r="B30" t="s">
        <v>66</v>
      </c>
      <c r="C30" s="4">
        <v>0.301037</v>
      </c>
      <c r="D30" s="4">
        <v>0.308</v>
      </c>
      <c r="E30" s="4">
        <v>1.3305000000000001E-2</v>
      </c>
      <c r="F30" s="4">
        <v>8.4000000000000005E-2</v>
      </c>
      <c r="G30">
        <v>3.5319999999999997E-2</v>
      </c>
      <c r="H30">
        <f>VLOOKUP(A30,DB!A:I,2,FALSE)</f>
        <v>3000000</v>
      </c>
      <c r="I30">
        <f>VLOOKUP(A30,'RE@CD'!A:D,2,FALSE)</f>
        <v>1200000</v>
      </c>
      <c r="J30">
        <f>VLOOKUP(A30,'RE@CD'!A:D,3,FALSE)</f>
        <v>275000</v>
      </c>
      <c r="K30">
        <f>VLOOKUP(A30,'RE@CD'!A:D,4,FALSE)</f>
        <v>225000</v>
      </c>
      <c r="L30">
        <f>VLOOKUP(A30,DB!A:I,3,FALSE)</f>
        <v>0.28910000000000002</v>
      </c>
      <c r="M30">
        <f>VLOOKUP(A30,DB!A:I,4,FALSE)</f>
        <v>-9.74E-2</v>
      </c>
      <c r="N30">
        <f>VLOOKUP(A30,DB!A:I,5,FALSE)</f>
        <v>7.9299999999999995E-3</v>
      </c>
      <c r="O30">
        <f>VLOOKUP(A30,DB!A:I,6,FALSE)</f>
        <v>5.13E-3</v>
      </c>
      <c r="P30">
        <f>VLOOKUP(A30,DB!A:I,7,FALSE)</f>
        <v>2.8E-3</v>
      </c>
      <c r="Q30">
        <f>VLOOKUP(A30,DB!A:I,8,FALSE)</f>
        <v>0.43540000000000001</v>
      </c>
      <c r="R30">
        <f>VLOOKUP(A30,DB!A:I,9,FALSE)</f>
        <v>0.38629999999999998</v>
      </c>
      <c r="S30">
        <f>N30 *SQRT(H30)</f>
        <v>13.735162904021195</v>
      </c>
      <c r="T30">
        <f>L30/N30</f>
        <v>36.456494325346789</v>
      </c>
    </row>
    <row r="31" spans="1:20" x14ac:dyDescent="0.25">
      <c r="A31" t="s">
        <v>913</v>
      </c>
      <c r="B31" t="s">
        <v>327</v>
      </c>
      <c r="C31" s="4">
        <v>0.152171</v>
      </c>
      <c r="D31" s="4">
        <v>0.222</v>
      </c>
      <c r="E31" s="4">
        <v>8.0074000000000006E-2</v>
      </c>
      <c r="F31" s="4">
        <v>0.435</v>
      </c>
      <c r="G31">
        <v>2.2370000000000001E-2</v>
      </c>
      <c r="H31">
        <f>VLOOKUP(A31,DB!A:I,2,FALSE)</f>
        <v>3000000</v>
      </c>
      <c r="I31">
        <f>VLOOKUP(A31,'RE@CD'!A:D,2,FALSE)</f>
        <v>1050000</v>
      </c>
      <c r="J31">
        <f>VLOOKUP(A31,'RE@CD'!A:D,3,FALSE)</f>
        <v>150000</v>
      </c>
      <c r="K31">
        <f>VLOOKUP(A31,'RE@CD'!A:D,4,FALSE)</f>
        <v>125000</v>
      </c>
      <c r="L31">
        <f>VLOOKUP(A31,DB!A:I,3,FALSE)</f>
        <v>0.8821</v>
      </c>
      <c r="M31">
        <f>VLOOKUP(A31,DB!A:I,4,FALSE)</f>
        <v>-0.1804</v>
      </c>
      <c r="N31">
        <f>VLOOKUP(A31,DB!A:I,5,FALSE)</f>
        <v>7.9000000000000008E-3</v>
      </c>
      <c r="O31">
        <f>VLOOKUP(A31,DB!A:I,6,FALSE)</f>
        <v>5.77E-3</v>
      </c>
      <c r="P31">
        <f>VLOOKUP(A31,DB!A:I,7,FALSE)</f>
        <v>2.1299999999999999E-3</v>
      </c>
      <c r="Q31">
        <f>VLOOKUP(A31,DB!A:I,8,FALSE)</f>
        <v>0.38030000000000003</v>
      </c>
      <c r="R31">
        <f>VLOOKUP(A31,DB!A:I,9,FALSE)</f>
        <v>8.5999999999999993E-2</v>
      </c>
      <c r="S31">
        <f>N31 *SQRT(H31)</f>
        <v>13.683201379794131</v>
      </c>
      <c r="T31">
        <f>L31/N31</f>
        <v>111.65822784810125</v>
      </c>
    </row>
    <row r="32" spans="1:20" x14ac:dyDescent="0.25">
      <c r="A32" t="s">
        <v>725</v>
      </c>
      <c r="B32" t="s">
        <v>140</v>
      </c>
      <c r="C32" s="4">
        <v>3.8707999999999999E-2</v>
      </c>
      <c r="D32" s="4">
        <v>8.4000000000000005E-2</v>
      </c>
      <c r="E32" s="4">
        <v>8.7329000000000004E-2</v>
      </c>
      <c r="F32" s="4">
        <v>0.36899999999999999</v>
      </c>
      <c r="G32">
        <v>2.8999999999999998E-3</v>
      </c>
      <c r="H32">
        <f>VLOOKUP(A32,DB!A:I,2,FALSE)</f>
        <v>350000</v>
      </c>
      <c r="I32">
        <f>VLOOKUP(A32,'RE@CD'!A:D,2,FALSE)</f>
        <v>350000</v>
      </c>
      <c r="J32">
        <f>VLOOKUP(A32,'RE@CD'!A:D,3,FALSE)</f>
        <v>350000</v>
      </c>
      <c r="K32">
        <f>VLOOKUP(A32,'RE@CD'!A:D,4,FALSE)</f>
        <v>350000</v>
      </c>
      <c r="L32">
        <f>VLOOKUP(A32,DB!A:I,3,FALSE)</f>
        <v>0.61250000000000004</v>
      </c>
      <c r="M32">
        <f>VLOOKUP(A32,DB!A:I,4,FALSE)</f>
        <v>-0.10879999999999999</v>
      </c>
      <c r="N32">
        <f>VLOOKUP(A32,DB!A:I,5,FALSE)</f>
        <v>7.8799999999999999E-3</v>
      </c>
      <c r="O32">
        <f>VLOOKUP(A32,DB!A:I,6,FALSE)</f>
        <v>4.9800000000000001E-3</v>
      </c>
      <c r="P32">
        <f>VLOOKUP(A32,DB!A:I,7,FALSE)</f>
        <v>2.8999999999999998E-3</v>
      </c>
      <c r="Q32">
        <f>VLOOKUP(A32,DB!A:I,8,FALSE)</f>
        <v>0.56079999999999997</v>
      </c>
      <c r="R32">
        <f>VLOOKUP(A32,DB!A:I,9,FALSE)</f>
        <v>3.8699999999999998E-2</v>
      </c>
      <c r="S32">
        <f>N32 *SQRT(H32)</f>
        <v>4.661870869082497</v>
      </c>
      <c r="T32">
        <f>L32/N32</f>
        <v>77.728426395939096</v>
      </c>
    </row>
    <row r="33" spans="1:20" x14ac:dyDescent="0.25">
      <c r="A33" t="s">
        <v>719</v>
      </c>
      <c r="B33" t="s">
        <v>134</v>
      </c>
      <c r="C33" s="4">
        <v>0.14494000000000001</v>
      </c>
      <c r="D33" s="4">
        <v>0.309</v>
      </c>
      <c r="E33" s="4">
        <v>3.9449999999999999E-2</v>
      </c>
      <c r="F33" s="4">
        <v>0.26</v>
      </c>
      <c r="G33">
        <v>1.32E-3</v>
      </c>
      <c r="H33">
        <f>VLOOKUP(A33,DB!A:I,2,FALSE)</f>
        <v>3000000</v>
      </c>
      <c r="I33">
        <f>VLOOKUP(A33,'RE@CD'!A:D,2,FALSE)</f>
        <v>900000</v>
      </c>
      <c r="J33">
        <f>VLOOKUP(A33,'RE@CD'!A:D,3,FALSE)</f>
        <v>100000</v>
      </c>
      <c r="K33">
        <f>VLOOKUP(A33,'RE@CD'!A:D,4,FALSE)</f>
        <v>80000</v>
      </c>
      <c r="L33">
        <f>VLOOKUP(A33,DB!A:I,3,FALSE)</f>
        <v>0.27410000000000001</v>
      </c>
      <c r="M33">
        <f>VLOOKUP(A33,DB!A:I,4,FALSE)</f>
        <v>-1.8800000000000001E-2</v>
      </c>
      <c r="N33">
        <f>VLOOKUP(A33,DB!A:I,5,FALSE)</f>
        <v>7.8100000000000001E-3</v>
      </c>
      <c r="O33">
        <f>VLOOKUP(A33,DB!A:I,6,FALSE)</f>
        <v>6.2500000000000003E-3</v>
      </c>
      <c r="P33">
        <f>VLOOKUP(A33,DB!A:I,7,FALSE)</f>
        <v>1.56E-3</v>
      </c>
      <c r="Q33">
        <f>VLOOKUP(A33,DB!A:I,8,FALSE)</f>
        <v>0.36720000000000003</v>
      </c>
      <c r="R33">
        <f>VLOOKUP(A33,DB!A:I,9,FALSE)</f>
        <v>8.3999999999999995E-3</v>
      </c>
      <c r="S33">
        <f>N33 *SQRT(H33)</f>
        <v>13.52731680711293</v>
      </c>
      <c r="T33">
        <f>L33/N33</f>
        <v>35.096030729833551</v>
      </c>
    </row>
    <row r="34" spans="1:20" x14ac:dyDescent="0.25">
      <c r="A34" t="s">
        <v>912</v>
      </c>
      <c r="B34" t="s">
        <v>326</v>
      </c>
      <c r="C34" s="4">
        <v>0.152172</v>
      </c>
      <c r="D34" s="4">
        <v>0.222</v>
      </c>
      <c r="E34" s="4">
        <v>6.6227999999999995E-2</v>
      </c>
      <c r="F34" s="4">
        <v>0.435</v>
      </c>
      <c r="G34">
        <v>2.103E-2</v>
      </c>
      <c r="H34">
        <f>VLOOKUP(A34,DB!A:I,2,FALSE)</f>
        <v>3000000</v>
      </c>
      <c r="I34">
        <f>VLOOKUP(A34,'RE@CD'!A:D,2,FALSE)</f>
        <v>1050000</v>
      </c>
      <c r="J34">
        <f>VLOOKUP(A34,'RE@CD'!A:D,3,FALSE)</f>
        <v>150000</v>
      </c>
      <c r="K34">
        <f>VLOOKUP(A34,'RE@CD'!A:D,4,FALSE)</f>
        <v>100000</v>
      </c>
      <c r="L34">
        <f>VLOOKUP(A34,DB!A:I,3,FALSE)</f>
        <v>0.98929999999999996</v>
      </c>
      <c r="M34">
        <f>VLOOKUP(A34,DB!A:I,4,FALSE)</f>
        <v>-0.22</v>
      </c>
      <c r="N34">
        <f>VLOOKUP(A34,DB!A:I,5,FALSE)</f>
        <v>7.7999999999999996E-3</v>
      </c>
      <c r="O34">
        <f>VLOOKUP(A34,DB!A:I,6,FALSE)</f>
        <v>5.5900000000000004E-3</v>
      </c>
      <c r="P34">
        <f>VLOOKUP(A34,DB!A:I,7,FALSE)</f>
        <v>2.2100000000000002E-3</v>
      </c>
      <c r="Q34">
        <f>VLOOKUP(A34,DB!A:I,8,FALSE)</f>
        <v>0.37240000000000001</v>
      </c>
      <c r="R34">
        <f>VLOOKUP(A34,DB!A:I,9,FALSE)</f>
        <v>0.20380000000000001</v>
      </c>
      <c r="S34">
        <f>N34 *SQRT(H34)</f>
        <v>13.509996299037242</v>
      </c>
      <c r="T34">
        <f>L34/N34</f>
        <v>126.83333333333333</v>
      </c>
    </row>
    <row r="35" spans="1:20" x14ac:dyDescent="0.25">
      <c r="A35" t="s">
        <v>858</v>
      </c>
      <c r="B35" t="s">
        <v>273</v>
      </c>
      <c r="C35" s="4">
        <v>0.14718500000000001</v>
      </c>
      <c r="D35" s="4">
        <v>0.37</v>
      </c>
      <c r="E35" s="4">
        <v>5.5407999999999999E-2</v>
      </c>
      <c r="F35" s="4">
        <v>0.37</v>
      </c>
      <c r="G35">
        <v>8.1799999999999998E-3</v>
      </c>
      <c r="H35">
        <f>VLOOKUP(A35,DB!A:I,2,FALSE)</f>
        <v>3000000</v>
      </c>
      <c r="I35">
        <f>VLOOKUP(A35,'RE@CD'!A:D,2,FALSE)</f>
        <v>1400000</v>
      </c>
      <c r="J35">
        <f>VLOOKUP(A35,'RE@CD'!A:D,3,FALSE)</f>
        <v>300000</v>
      </c>
      <c r="K35">
        <f>VLOOKUP(A35,'RE@CD'!A:D,4,FALSE)</f>
        <v>250000</v>
      </c>
      <c r="L35">
        <f>VLOOKUP(A35,DB!A:I,3,FALSE)</f>
        <v>0.45669999999999999</v>
      </c>
      <c r="M35">
        <f>VLOOKUP(A35,DB!A:I,4,FALSE)</f>
        <v>-5.8200000000000002E-2</v>
      </c>
      <c r="N35">
        <f>VLOOKUP(A35,DB!A:I,5,FALSE)</f>
        <v>7.7400000000000004E-3</v>
      </c>
      <c r="O35">
        <f>VLOOKUP(A35,DB!A:I,6,FALSE)</f>
        <v>5.7499999999999999E-3</v>
      </c>
      <c r="P35">
        <f>VLOOKUP(A35,DB!A:I,7,FALSE)</f>
        <v>1.98E-3</v>
      </c>
      <c r="Q35">
        <f>VLOOKUP(A35,DB!A:I,8,FALSE)</f>
        <v>0.4274</v>
      </c>
      <c r="R35">
        <f>VLOOKUP(A35,DB!A:I,9,FALSE)</f>
        <v>1.4E-2</v>
      </c>
      <c r="S35">
        <f>N35 *SQRT(H35)</f>
        <v>13.406073250583111</v>
      </c>
      <c r="T35">
        <f>L35/N35</f>
        <v>59.00516795865633</v>
      </c>
    </row>
    <row r="36" spans="1:20" x14ac:dyDescent="0.25">
      <c r="A36" t="s">
        <v>1036</v>
      </c>
      <c r="B36" t="s">
        <v>447</v>
      </c>
      <c r="C36" s="4">
        <v>8.9404999999999998E-2</v>
      </c>
      <c r="D36" s="4">
        <v>0.28899999999999998</v>
      </c>
      <c r="E36" s="4">
        <v>1.8950999999999999E-2</v>
      </c>
      <c r="F36" s="4">
        <v>0.36299999999999999</v>
      </c>
      <c r="G36">
        <v>1.73E-3</v>
      </c>
      <c r="H36">
        <f>VLOOKUP(A36,DB!A:I,2,FALSE)</f>
        <v>925000</v>
      </c>
      <c r="I36">
        <f>VLOOKUP(A36,'RE@CD'!A:D,2,FALSE)</f>
        <v>150000</v>
      </c>
      <c r="J36">
        <f>VLOOKUP(A36,'RE@CD'!A:D,3,FALSE)</f>
        <v>50000</v>
      </c>
      <c r="K36">
        <f>VLOOKUP(A36,'RE@CD'!A:D,4,FALSE)</f>
        <v>80000</v>
      </c>
      <c r="L36">
        <f>VLOOKUP(A36,DB!A:I,3,FALSE)</f>
        <v>0.15279999999999999</v>
      </c>
      <c r="M36">
        <f>VLOOKUP(A36,DB!A:I,4,FALSE)</f>
        <v>-2.4500000000000001E-2</v>
      </c>
      <c r="N36">
        <f>VLOOKUP(A36,DB!A:I,5,FALSE)</f>
        <v>5.13E-3</v>
      </c>
      <c r="O36">
        <f>VLOOKUP(A36,DB!A:I,6,FALSE)</f>
        <v>4.28E-3</v>
      </c>
      <c r="P36">
        <f>VLOOKUP(A36,DB!A:I,7,FALSE)</f>
        <v>8.4999999999999995E-4</v>
      </c>
      <c r="Q36">
        <f>VLOOKUP(A36,DB!A:I,8,FALSE)</f>
        <v>0.64600000000000002</v>
      </c>
      <c r="R36">
        <f>VLOOKUP(A36,DB!A:I,9,FALSE)</f>
        <v>0.751</v>
      </c>
      <c r="S36">
        <f>N36 *SQRT(H36)</f>
        <v>4.9338760118187004</v>
      </c>
      <c r="T36">
        <f>L36/N36</f>
        <v>29.785575048732941</v>
      </c>
    </row>
    <row r="37" spans="1:20" x14ac:dyDescent="0.25">
      <c r="A37" t="s">
        <v>720</v>
      </c>
      <c r="B37" t="s">
        <v>135</v>
      </c>
      <c r="C37" s="4">
        <v>0.147399</v>
      </c>
      <c r="D37" s="4">
        <v>0.29899999999999999</v>
      </c>
      <c r="E37" s="4">
        <v>4.4026999999999997E-2</v>
      </c>
      <c r="F37" s="4">
        <v>0.25</v>
      </c>
      <c r="G37">
        <v>3.9500000000000004E-3</v>
      </c>
      <c r="H37">
        <f>VLOOKUP(A37,DB!A:I,2,FALSE)</f>
        <v>3000000</v>
      </c>
      <c r="I37">
        <f>VLOOKUP(A37,'RE@CD'!A:D,2,FALSE)</f>
        <v>450000</v>
      </c>
      <c r="J37">
        <f>VLOOKUP(A37,'RE@CD'!A:D,3,FALSE)</f>
        <v>125000</v>
      </c>
      <c r="K37">
        <f>VLOOKUP(A37,'RE@CD'!A:D,4,FALSE)</f>
        <v>90000</v>
      </c>
      <c r="L37">
        <f>VLOOKUP(A37,DB!A:I,3,FALSE)</f>
        <v>0.35589999999999999</v>
      </c>
      <c r="M37">
        <f>VLOOKUP(A37,DB!A:I,4,FALSE)</f>
        <v>-3.8100000000000002E-2</v>
      </c>
      <c r="N37">
        <f>VLOOKUP(A37,DB!A:I,5,FALSE)</f>
        <v>7.5900000000000004E-3</v>
      </c>
      <c r="O37">
        <f>VLOOKUP(A37,DB!A:I,6,FALSE)</f>
        <v>6.1500000000000001E-3</v>
      </c>
      <c r="P37">
        <f>VLOOKUP(A37,DB!A:I,7,FALSE)</f>
        <v>1.4300000000000001E-3</v>
      </c>
      <c r="Q37">
        <f>VLOOKUP(A37,DB!A:I,8,FALSE)</f>
        <v>0.37340000000000001</v>
      </c>
      <c r="R37">
        <f>VLOOKUP(A37,DB!A:I,9,FALSE)</f>
        <v>4.0599999999999997E-2</v>
      </c>
      <c r="S37">
        <f>N37 *SQRT(H37)</f>
        <v>13.146265629447779</v>
      </c>
      <c r="T37">
        <f>L37/N37</f>
        <v>46.890645586297758</v>
      </c>
    </row>
    <row r="38" spans="1:20" x14ac:dyDescent="0.25">
      <c r="A38" t="s">
        <v>839</v>
      </c>
      <c r="B38" t="s">
        <v>254</v>
      </c>
      <c r="C38" s="4">
        <v>0.22734699999999999</v>
      </c>
      <c r="D38" s="4">
        <v>0.28699999999999998</v>
      </c>
      <c r="E38" s="4">
        <v>4.7939000000000002E-2</v>
      </c>
      <c r="F38" s="4">
        <v>0.442</v>
      </c>
      <c r="G38">
        <v>1.1180000000000001E-2</v>
      </c>
      <c r="H38">
        <f>VLOOKUP(A38,DB!A:I,2,FALSE)</f>
        <v>3000000</v>
      </c>
      <c r="I38">
        <f>VLOOKUP(A38,'RE@CD'!A:D,2,FALSE)</f>
        <v>950000</v>
      </c>
      <c r="J38">
        <f>VLOOKUP(A38,'RE@CD'!A:D,3,FALSE)</f>
        <v>175000</v>
      </c>
      <c r="K38">
        <f>VLOOKUP(A38,'RE@CD'!A:D,4,FALSE)</f>
        <v>150000</v>
      </c>
      <c r="L38">
        <f>VLOOKUP(A38,DB!A:I,3,FALSE)</f>
        <v>0.56210000000000004</v>
      </c>
      <c r="M38">
        <f>VLOOKUP(A38,DB!A:I,4,FALSE)</f>
        <v>-0.1101</v>
      </c>
      <c r="N38">
        <f>VLOOKUP(A38,DB!A:I,5,FALSE)</f>
        <v>7.5199999999999998E-3</v>
      </c>
      <c r="O38">
        <f>VLOOKUP(A38,DB!A:I,6,FALSE)</f>
        <v>5.4099999999999999E-3</v>
      </c>
      <c r="P38">
        <f>VLOOKUP(A38,DB!A:I,7,FALSE)</f>
        <v>2.1099999999999999E-3</v>
      </c>
      <c r="Q38">
        <f>VLOOKUP(A38,DB!A:I,8,FALSE)</f>
        <v>0.35349999999999998</v>
      </c>
      <c r="R38">
        <f>VLOOKUP(A38,DB!A:I,9,FALSE)</f>
        <v>0.3911</v>
      </c>
      <c r="S38">
        <f>N38 *SQRT(H38)</f>
        <v>13.025022072917956</v>
      </c>
      <c r="T38">
        <f>L38/N38</f>
        <v>74.747340425531917</v>
      </c>
    </row>
    <row r="39" spans="1:20" x14ac:dyDescent="0.25">
      <c r="A39" t="s">
        <v>663</v>
      </c>
      <c r="B39" t="s">
        <v>78</v>
      </c>
      <c r="C39" s="4">
        <v>0.15851499999999999</v>
      </c>
      <c r="D39" s="4">
        <v>0.21099999999999999</v>
      </c>
      <c r="E39" s="4">
        <v>5.1976000000000001E-2</v>
      </c>
      <c r="F39" s="4">
        <v>0.33300000000000002</v>
      </c>
      <c r="G39">
        <v>1.736E-2</v>
      </c>
      <c r="H39">
        <f>VLOOKUP(A39,DB!A:I,2,FALSE)</f>
        <v>3000000</v>
      </c>
      <c r="I39">
        <f>VLOOKUP(A39,'RE@CD'!A:D,2,FALSE)</f>
        <v>750000</v>
      </c>
      <c r="J39">
        <f>VLOOKUP(A39,'RE@CD'!A:D,3,FALSE)</f>
        <v>125000</v>
      </c>
      <c r="K39">
        <f>VLOOKUP(A39,'RE@CD'!A:D,4,FALSE)</f>
        <v>100000</v>
      </c>
      <c r="L39">
        <f>VLOOKUP(A39,DB!A:I,3,FALSE)</f>
        <v>0.55400000000000005</v>
      </c>
      <c r="M39">
        <f>VLOOKUP(A39,DB!A:I,4,FALSE)</f>
        <v>-9.4200000000000006E-2</v>
      </c>
      <c r="N39">
        <f>VLOOKUP(A39,DB!A:I,5,FALSE)</f>
        <v>7.4900000000000001E-3</v>
      </c>
      <c r="O39">
        <f>VLOOKUP(A39,DB!A:I,6,FALSE)</f>
        <v>5.9300000000000004E-3</v>
      </c>
      <c r="P39">
        <f>VLOOKUP(A39,DB!A:I,7,FALSE)</f>
        <v>1.56E-3</v>
      </c>
      <c r="Q39">
        <f>VLOOKUP(A39,DB!A:I,8,FALSE)</f>
        <v>0.3281</v>
      </c>
      <c r="R39">
        <f>VLOOKUP(A39,DB!A:I,9,FALSE)</f>
        <v>0.12839999999999999</v>
      </c>
      <c r="S39">
        <f>N39 *SQRT(H39)</f>
        <v>12.97306054869089</v>
      </c>
      <c r="T39">
        <f>L39/N39</f>
        <v>73.965287049399208</v>
      </c>
    </row>
    <row r="40" spans="1:20" x14ac:dyDescent="0.25">
      <c r="A40" t="s">
        <v>664</v>
      </c>
      <c r="B40" t="s">
        <v>79</v>
      </c>
      <c r="C40" s="4">
        <v>0.18031700000000001</v>
      </c>
      <c r="D40" s="4">
        <v>0.20799999999999999</v>
      </c>
      <c r="E40" s="4">
        <v>4.3541000000000003E-2</v>
      </c>
      <c r="F40" s="4">
        <v>0.377</v>
      </c>
      <c r="G40">
        <v>1.7649999999999999E-2</v>
      </c>
      <c r="H40">
        <f>VLOOKUP(A40,DB!A:I,2,FALSE)</f>
        <v>3000000</v>
      </c>
      <c r="I40">
        <f>VLOOKUP(A40,'RE@CD'!A:D,2,FALSE)</f>
        <v>775000</v>
      </c>
      <c r="J40">
        <f>VLOOKUP(A40,'RE@CD'!A:D,3,FALSE)</f>
        <v>150000</v>
      </c>
      <c r="K40">
        <f>VLOOKUP(A40,'RE@CD'!A:D,4,FALSE)</f>
        <v>125000</v>
      </c>
      <c r="L40">
        <f>VLOOKUP(A40,DB!A:I,3,FALSE)</f>
        <v>0.52380000000000004</v>
      </c>
      <c r="M40">
        <f>VLOOKUP(A40,DB!A:I,4,FALSE)</f>
        <v>-9.8299999999999998E-2</v>
      </c>
      <c r="N40">
        <f>VLOOKUP(A40,DB!A:I,5,FALSE)</f>
        <v>7.4599999999999996E-3</v>
      </c>
      <c r="O40">
        <f>VLOOKUP(A40,DB!A:I,6,FALSE)</f>
        <v>5.8100000000000001E-3</v>
      </c>
      <c r="P40">
        <f>VLOOKUP(A40,DB!A:I,7,FALSE)</f>
        <v>1.65E-3</v>
      </c>
      <c r="Q40">
        <f>VLOOKUP(A40,DB!A:I,8,FALSE)</f>
        <v>0.32979999999999998</v>
      </c>
      <c r="R40">
        <f>VLOOKUP(A40,DB!A:I,9,FALSE)</f>
        <v>0.1973</v>
      </c>
      <c r="S40">
        <f>N40 *SQRT(H40)</f>
        <v>12.921099024463823</v>
      </c>
      <c r="T40">
        <f>L40/N40</f>
        <v>70.21447721179625</v>
      </c>
    </row>
    <row r="41" spans="1:20" x14ac:dyDescent="0.25">
      <c r="A41" t="s">
        <v>716</v>
      </c>
      <c r="B41" t="s">
        <v>131</v>
      </c>
      <c r="C41" s="4">
        <v>0.135577</v>
      </c>
      <c r="D41" s="4">
        <v>0.30099999999999999</v>
      </c>
      <c r="E41" s="4">
        <v>4.1409000000000001E-2</v>
      </c>
      <c r="F41" s="4">
        <v>0.252</v>
      </c>
      <c r="G41">
        <v>3.2699999999999999E-3</v>
      </c>
      <c r="H41">
        <f>VLOOKUP(A41,DB!A:I,2,FALSE)</f>
        <v>3000000</v>
      </c>
      <c r="I41">
        <f>VLOOKUP(A41,'RE@CD'!A:D,2,FALSE)</f>
        <v>750000</v>
      </c>
      <c r="J41">
        <f>VLOOKUP(A41,'RE@CD'!A:D,3,FALSE)</f>
        <v>100000</v>
      </c>
      <c r="K41">
        <f>VLOOKUP(A41,'RE@CD'!A:D,4,FALSE)</f>
        <v>80000</v>
      </c>
      <c r="L41">
        <f>VLOOKUP(A41,DB!A:I,3,FALSE)</f>
        <v>0.3448</v>
      </c>
      <c r="M41">
        <f>VLOOKUP(A41,DB!A:I,4,FALSE)</f>
        <v>-3.9100000000000003E-2</v>
      </c>
      <c r="N41">
        <f>VLOOKUP(A41,DB!A:I,5,FALSE)</f>
        <v>7.4599999999999996E-3</v>
      </c>
      <c r="O41">
        <f>VLOOKUP(A41,DB!A:I,6,FALSE)</f>
        <v>6.1900000000000002E-3</v>
      </c>
      <c r="P41">
        <f>VLOOKUP(A41,DB!A:I,7,FALSE)</f>
        <v>1.2800000000000001E-3</v>
      </c>
      <c r="Q41">
        <f>VLOOKUP(A41,DB!A:I,8,FALSE)</f>
        <v>0.38500000000000001</v>
      </c>
      <c r="R41">
        <f>VLOOKUP(A41,DB!A:I,9,FALSE)</f>
        <v>8.3999999999999995E-3</v>
      </c>
      <c r="S41">
        <f>N41 *SQRT(H41)</f>
        <v>12.921099024463823</v>
      </c>
      <c r="T41">
        <f>L41/N41</f>
        <v>46.219839142091153</v>
      </c>
    </row>
    <row r="42" spans="1:20" x14ac:dyDescent="0.25">
      <c r="A42" t="s">
        <v>911</v>
      </c>
      <c r="B42" t="s">
        <v>325</v>
      </c>
      <c r="C42" s="4">
        <v>0.15218000000000001</v>
      </c>
      <c r="D42" s="4">
        <v>0.222</v>
      </c>
      <c r="E42" s="4">
        <v>6.0874999999999999E-2</v>
      </c>
      <c r="F42" s="4">
        <v>0.33900000000000002</v>
      </c>
      <c r="G42">
        <v>2.6939999999999999E-2</v>
      </c>
      <c r="H42">
        <f>VLOOKUP(A42,DB!A:I,2,FALSE)</f>
        <v>3000000</v>
      </c>
      <c r="I42">
        <f>VLOOKUP(A42,'RE@CD'!A:D,2,FALSE)</f>
        <v>900000</v>
      </c>
      <c r="J42">
        <f>VLOOKUP(A42,'RE@CD'!A:D,3,FALSE)</f>
        <v>175000</v>
      </c>
      <c r="K42">
        <f>VLOOKUP(A42,'RE@CD'!A:D,4,FALSE)</f>
        <v>150000</v>
      </c>
      <c r="L42">
        <f>VLOOKUP(A42,DB!A:I,3,FALSE)</f>
        <v>0.62770000000000004</v>
      </c>
      <c r="M42">
        <f>VLOOKUP(A42,DB!A:I,4,FALSE)</f>
        <v>-0.1144</v>
      </c>
      <c r="N42">
        <f>VLOOKUP(A42,DB!A:I,5,FALSE)</f>
        <v>7.4400000000000004E-3</v>
      </c>
      <c r="O42">
        <f>VLOOKUP(A42,DB!A:I,6,FALSE)</f>
        <v>5.8799999999999998E-3</v>
      </c>
      <c r="P42">
        <f>VLOOKUP(A42,DB!A:I,7,FALSE)</f>
        <v>1.5499999999999999E-3</v>
      </c>
      <c r="Q42">
        <f>VLOOKUP(A42,DB!A:I,8,FALSE)</f>
        <v>0.36230000000000001</v>
      </c>
      <c r="R42">
        <f>VLOOKUP(A42,DB!A:I,9,FALSE)</f>
        <v>7.6899999999999996E-2</v>
      </c>
      <c r="S42">
        <f>N42 *SQRT(H42)</f>
        <v>12.886458008312447</v>
      </c>
      <c r="T42">
        <f>L42/N42</f>
        <v>84.368279569892479</v>
      </c>
    </row>
    <row r="43" spans="1:20" x14ac:dyDescent="0.25">
      <c r="A43" t="s">
        <v>1008</v>
      </c>
      <c r="B43" t="s">
        <v>419</v>
      </c>
      <c r="C43" s="4">
        <v>0.136991</v>
      </c>
      <c r="D43" s="4">
        <v>0.28799999999999998</v>
      </c>
      <c r="E43" s="4">
        <v>3.1961999999999997E-2</v>
      </c>
      <c r="F43" s="4">
        <v>0.26100000000000001</v>
      </c>
      <c r="G43">
        <v>2.5319999999999999E-2</v>
      </c>
      <c r="H43">
        <f>VLOOKUP(A43,DB!A:I,2,FALSE)</f>
        <v>3000000</v>
      </c>
      <c r="I43">
        <f>VLOOKUP(A43,'RE@CD'!A:D,2,FALSE)</f>
        <v>1000000</v>
      </c>
      <c r="J43">
        <f>VLOOKUP(A43,'RE@CD'!A:D,3,FALSE)</f>
        <v>200000</v>
      </c>
      <c r="K43">
        <f>VLOOKUP(A43,'RE@CD'!A:D,4,FALSE)</f>
        <v>175000</v>
      </c>
      <c r="L43">
        <f>VLOOKUP(A43,DB!A:I,3,FALSE)</f>
        <v>7.9699999999999993E-2</v>
      </c>
      <c r="M43">
        <f>VLOOKUP(A43,DB!A:I,4,FALSE)</f>
        <v>1.9300000000000001E-2</v>
      </c>
      <c r="N43">
        <f>VLOOKUP(A43,DB!A:I,5,FALSE)</f>
        <v>7.4400000000000004E-3</v>
      </c>
      <c r="O43">
        <f>VLOOKUP(A43,DB!A:I,6,FALSE)</f>
        <v>6.0499999999999998E-3</v>
      </c>
      <c r="P43">
        <f>VLOOKUP(A43,DB!A:I,7,FALSE)</f>
        <v>1.39E-3</v>
      </c>
      <c r="Q43">
        <f>VLOOKUP(A43,DB!A:I,8,FALSE)</f>
        <v>0.379</v>
      </c>
      <c r="R43">
        <f>VLOOKUP(A43,DB!A:I,9,FALSE)</f>
        <v>3.6400000000000002E-2</v>
      </c>
      <c r="S43">
        <f>N43 *SQRT(H43)</f>
        <v>12.886458008312447</v>
      </c>
      <c r="T43">
        <f>L43/N43</f>
        <v>10.712365591397848</v>
      </c>
    </row>
    <row r="44" spans="1:20" x14ac:dyDescent="0.25">
      <c r="A44" t="s">
        <v>601</v>
      </c>
      <c r="B44" t="s">
        <v>16</v>
      </c>
      <c r="C44" s="4">
        <v>7.1145E-2</v>
      </c>
      <c r="D44" s="4">
        <v>0.23300000000000001</v>
      </c>
      <c r="E44" s="4">
        <v>1.8848E-2</v>
      </c>
      <c r="F44" s="4">
        <v>0.46899999999999997</v>
      </c>
      <c r="G44">
        <v>3.7599999999999999E-3</v>
      </c>
      <c r="H44">
        <f>VLOOKUP(A44,DB!A:I,2,FALSE)</f>
        <v>525000</v>
      </c>
      <c r="I44">
        <f>VLOOKUP(A44,'RE@CD'!A:D,2,FALSE)</f>
        <v>125000</v>
      </c>
      <c r="J44">
        <f>VLOOKUP(A44,'RE@CD'!A:D,3,FALSE)</f>
        <v>50000</v>
      </c>
      <c r="K44">
        <f>VLOOKUP(A44,'RE@CD'!A:D,4,FALSE)</f>
        <v>60000</v>
      </c>
      <c r="L44">
        <f>VLOOKUP(A44,DB!A:I,3,FALSE)</f>
        <v>0.2351</v>
      </c>
      <c r="M44">
        <f>VLOOKUP(A44,DB!A:I,4,FALSE)</f>
        <v>-5.1299999999999998E-2</v>
      </c>
      <c r="N44">
        <f>VLOOKUP(A44,DB!A:I,5,FALSE)</f>
        <v>4.7699999999999999E-3</v>
      </c>
      <c r="O44">
        <f>VLOOKUP(A44,DB!A:I,6,FALSE)</f>
        <v>3.6099999999999999E-3</v>
      </c>
      <c r="P44">
        <f>VLOOKUP(A44,DB!A:I,7,FALSE)</f>
        <v>1.16E-3</v>
      </c>
      <c r="Q44">
        <f>VLOOKUP(A44,DB!A:I,8,FALSE)</f>
        <v>0.80800000000000005</v>
      </c>
      <c r="R44">
        <f>VLOOKUP(A44,DB!A:I,9,FALSE)</f>
        <v>1</v>
      </c>
      <c r="S44">
        <f>N44 *SQRT(H44)</f>
        <v>3.4561933539661811</v>
      </c>
      <c r="T44">
        <f>L44/N44</f>
        <v>49.287211740041933</v>
      </c>
    </row>
    <row r="45" spans="1:20" x14ac:dyDescent="0.25">
      <c r="A45" t="s">
        <v>907</v>
      </c>
      <c r="B45" t="s">
        <v>321</v>
      </c>
      <c r="C45" s="4">
        <v>0.15010999999999999</v>
      </c>
      <c r="D45" s="4">
        <v>0.371</v>
      </c>
      <c r="E45" s="4">
        <v>9.7254999999999994E-2</v>
      </c>
      <c r="F45" s="4">
        <v>0.46700000000000003</v>
      </c>
      <c r="G45">
        <v>8.6099999999999996E-3</v>
      </c>
      <c r="H45">
        <f>VLOOKUP(A45,DB!A:I,2,FALSE)</f>
        <v>3000000</v>
      </c>
      <c r="I45">
        <f>VLOOKUP(A45,'RE@CD'!A:D,2,FALSE)</f>
        <v>925000</v>
      </c>
      <c r="J45">
        <f>VLOOKUP(A45,'RE@CD'!A:D,3,FALSE)</f>
        <v>375000</v>
      </c>
      <c r="K45">
        <f>VLOOKUP(A45,'RE@CD'!A:D,4,FALSE)</f>
        <v>375000</v>
      </c>
      <c r="L45">
        <f>VLOOKUP(A45,DB!A:I,3,FALSE)</f>
        <v>1.1894</v>
      </c>
      <c r="M45">
        <f>VLOOKUP(A45,DB!A:I,4,FALSE)</f>
        <v>-0.26140000000000002</v>
      </c>
      <c r="N45">
        <f>VLOOKUP(A45,DB!A:I,5,FALSE)</f>
        <v>7.4200000000000004E-3</v>
      </c>
      <c r="O45">
        <f>VLOOKUP(A45,DB!A:I,6,FALSE)</f>
        <v>5.2399999999999999E-3</v>
      </c>
      <c r="P45">
        <f>VLOOKUP(A45,DB!A:I,7,FALSE)</f>
        <v>2.1800000000000001E-3</v>
      </c>
      <c r="Q45">
        <f>VLOOKUP(A45,DB!A:I,8,FALSE)</f>
        <v>0.5242</v>
      </c>
      <c r="R45">
        <f>VLOOKUP(A45,DB!A:I,9,FALSE)</f>
        <v>2.9000000000000001E-2</v>
      </c>
      <c r="S45">
        <f>N45 *SQRT(H45)</f>
        <v>12.851816992161069</v>
      </c>
      <c r="T45">
        <f>L45/N45</f>
        <v>160.29649595687331</v>
      </c>
    </row>
    <row r="46" spans="1:20" x14ac:dyDescent="0.25">
      <c r="A46" t="s">
        <v>742</v>
      </c>
      <c r="B46" t="s">
        <v>157</v>
      </c>
      <c r="C46" s="4">
        <v>0.14535799999999999</v>
      </c>
      <c r="D46" s="4">
        <v>0.254</v>
      </c>
      <c r="E46" s="4">
        <v>8.6222999999999994E-2</v>
      </c>
      <c r="F46" s="4">
        <v>0.375</v>
      </c>
      <c r="G46">
        <v>4.0400000000000002E-3</v>
      </c>
      <c r="H46">
        <f>VLOOKUP(A46,DB!A:I,2,FALSE)</f>
        <v>3000000</v>
      </c>
      <c r="I46">
        <f>VLOOKUP(A46,'RE@CD'!A:D,2,FALSE)</f>
        <v>900000</v>
      </c>
      <c r="J46">
        <f>VLOOKUP(A46,'RE@CD'!A:D,3,FALSE)</f>
        <v>225000</v>
      </c>
      <c r="K46">
        <f>VLOOKUP(A46,'RE@CD'!A:D,4,FALSE)</f>
        <v>225000</v>
      </c>
      <c r="L46">
        <f>VLOOKUP(A46,DB!A:I,3,FALSE)</f>
        <v>0.93910000000000005</v>
      </c>
      <c r="M46">
        <f>VLOOKUP(A46,DB!A:I,4,FALSE)</f>
        <v>-0.1855</v>
      </c>
      <c r="N46">
        <f>VLOOKUP(A46,DB!A:I,5,FALSE)</f>
        <v>7.4000000000000003E-3</v>
      </c>
      <c r="O46">
        <f>VLOOKUP(A46,DB!A:I,6,FALSE)</f>
        <v>5.4999999999999997E-3</v>
      </c>
      <c r="P46">
        <f>VLOOKUP(A46,DB!A:I,7,FALSE)</f>
        <v>1.9E-3</v>
      </c>
      <c r="Q46">
        <f>VLOOKUP(A46,DB!A:I,8,FALSE)</f>
        <v>0.42959999999999998</v>
      </c>
      <c r="R46">
        <f>VLOOKUP(A46,DB!A:I,9,FALSE)</f>
        <v>0.12859999999999999</v>
      </c>
      <c r="S46">
        <f>N46 *SQRT(H46)</f>
        <v>12.817175976009691</v>
      </c>
      <c r="T46">
        <f>L46/N46</f>
        <v>126.9054054054054</v>
      </c>
    </row>
    <row r="47" spans="1:20" x14ac:dyDescent="0.25">
      <c r="A47" t="s">
        <v>756</v>
      </c>
      <c r="B47" t="s">
        <v>171</v>
      </c>
      <c r="C47" s="4">
        <v>0.15</v>
      </c>
      <c r="D47" s="4">
        <v>0.217</v>
      </c>
      <c r="E47" s="4">
        <v>0</v>
      </c>
      <c r="F47" s="4">
        <v>2.3E-2</v>
      </c>
      <c r="G47">
        <v>1.5310000000000001E-2</v>
      </c>
      <c r="H47">
        <f>VLOOKUP(A47,DB!A:I,2,FALSE)</f>
        <v>3000000</v>
      </c>
      <c r="I47">
        <f>VLOOKUP(A47,'RE@CD'!A:D,2,FALSE)</f>
        <v>375000</v>
      </c>
      <c r="J47">
        <f>VLOOKUP(A47,'RE@CD'!A:D,3,FALSE)</f>
        <v>70000</v>
      </c>
      <c r="K47">
        <f>VLOOKUP(A47,'RE@CD'!A:D,4,FALSE)</f>
        <v>60000</v>
      </c>
      <c r="L47">
        <f>VLOOKUP(A47,DB!A:I,3,FALSE)</f>
        <v>0</v>
      </c>
      <c r="M47">
        <f>VLOOKUP(A47,DB!A:I,4,FALSE)</f>
        <v>0</v>
      </c>
      <c r="N47">
        <f>VLOOKUP(A47,DB!A:I,5,FALSE)</f>
        <v>7.3499999999999998E-3</v>
      </c>
      <c r="O47">
        <f>VLOOKUP(A47,DB!A:I,6,FALSE)</f>
        <v>6.0200000000000002E-3</v>
      </c>
      <c r="P47">
        <f>VLOOKUP(A47,DB!A:I,7,FALSE)</f>
        <v>1.33E-3</v>
      </c>
      <c r="Q47">
        <f>VLOOKUP(A47,DB!A:I,8,FALSE)</f>
        <v>0.26350000000000001</v>
      </c>
      <c r="R47">
        <f>VLOOKUP(A47,DB!A:I,9,FALSE)</f>
        <v>0.26350000000000001</v>
      </c>
      <c r="S47">
        <f>N47 *SQRT(H47)</f>
        <v>12.730573435631246</v>
      </c>
      <c r="T47">
        <f>L47/N47</f>
        <v>0</v>
      </c>
    </row>
    <row r="48" spans="1:20" x14ac:dyDescent="0.25">
      <c r="A48" t="s">
        <v>1087</v>
      </c>
      <c r="B48" t="s">
        <v>498</v>
      </c>
      <c r="C48" s="4">
        <v>0.12009</v>
      </c>
      <c r="D48" s="4">
        <v>0.215</v>
      </c>
      <c r="E48" s="4">
        <v>7.2370000000000004E-2</v>
      </c>
      <c r="F48" s="4">
        <v>0.51100000000000001</v>
      </c>
      <c r="G48">
        <v>6.5799999999999999E-3</v>
      </c>
      <c r="H48">
        <f>VLOOKUP(A48,DB!A:I,2,FALSE)</f>
        <v>3000000</v>
      </c>
      <c r="I48">
        <f>VLOOKUP(A48,'RE@CD'!A:D,2,FALSE)</f>
        <v>725000</v>
      </c>
      <c r="J48">
        <f>VLOOKUP(A48,'RE@CD'!A:D,3,FALSE)</f>
        <v>100000</v>
      </c>
      <c r="K48">
        <f>VLOOKUP(A48,'RE@CD'!A:D,4,FALSE)</f>
        <v>90000</v>
      </c>
      <c r="L48">
        <f>VLOOKUP(A48,DB!A:I,3,FALSE)</f>
        <v>1.1284000000000001</v>
      </c>
      <c r="M48">
        <f>VLOOKUP(A48,DB!A:I,4,FALSE)</f>
        <v>-0.26129999999999998</v>
      </c>
      <c r="N48">
        <f>VLOOKUP(A48,DB!A:I,5,FALSE)</f>
        <v>7.3400000000000002E-3</v>
      </c>
      <c r="O48">
        <f>VLOOKUP(A48,DB!A:I,6,FALSE)</f>
        <v>5.2199999999999998E-3</v>
      </c>
      <c r="P48">
        <f>VLOOKUP(A48,DB!A:I,7,FALSE)</f>
        <v>2.1099999999999999E-3</v>
      </c>
      <c r="Q48">
        <f>VLOOKUP(A48,DB!A:I,8,FALSE)</f>
        <v>0.433</v>
      </c>
      <c r="R48">
        <f>VLOOKUP(A48,DB!A:I,9,FALSE)</f>
        <v>0.25919999999999999</v>
      </c>
      <c r="S48">
        <f>N48 *SQRT(H48)</f>
        <v>12.713252927555558</v>
      </c>
      <c r="T48">
        <f>L48/N48</f>
        <v>153.73297002724797</v>
      </c>
    </row>
    <row r="49" spans="1:20" x14ac:dyDescent="0.25">
      <c r="A49" t="s">
        <v>1165</v>
      </c>
      <c r="B49" t="s">
        <v>575</v>
      </c>
      <c r="C49" s="4">
        <v>0.25747399999999998</v>
      </c>
      <c r="D49" s="4">
        <v>0.47</v>
      </c>
      <c r="E49" s="4">
        <v>3.9947999999999997E-2</v>
      </c>
      <c r="F49" s="4">
        <v>0.52900000000000003</v>
      </c>
      <c r="G49">
        <v>1.515E-2</v>
      </c>
      <c r="H49">
        <f>VLOOKUP(A49,DB!A:I,2,FALSE)</f>
        <v>3000000</v>
      </c>
      <c r="I49">
        <f>VLOOKUP(A49,'RE@CD'!A:D,2,FALSE)</f>
        <v>775000</v>
      </c>
      <c r="J49">
        <f>VLOOKUP(A49,'RE@CD'!A:D,3,FALSE)</f>
        <v>425000</v>
      </c>
      <c r="K49">
        <f>VLOOKUP(A49,'RE@CD'!A:D,4,FALSE)</f>
        <v>425000</v>
      </c>
      <c r="L49">
        <f>VLOOKUP(A49,DB!A:I,3,FALSE)</f>
        <v>0.2581</v>
      </c>
      <c r="M49">
        <f>VLOOKUP(A49,DB!A:I,4,FALSE)</f>
        <v>-7.3400000000000007E-2</v>
      </c>
      <c r="N49">
        <f>VLOOKUP(A49,DB!A:I,5,FALSE)</f>
        <v>7.3200000000000001E-3</v>
      </c>
      <c r="O49">
        <f>VLOOKUP(A49,DB!A:I,6,FALSE)</f>
        <v>3.4299999999999999E-3</v>
      </c>
      <c r="P49">
        <f>VLOOKUP(A49,DB!A:I,7,FALSE)</f>
        <v>3.8999999999999998E-3</v>
      </c>
      <c r="Q49">
        <f>VLOOKUP(A49,DB!A:I,8,FALSE)</f>
        <v>0.66949999999999998</v>
      </c>
      <c r="R49">
        <f>VLOOKUP(A49,DB!A:I,9,FALSE)</f>
        <v>0.68159999999999998</v>
      </c>
      <c r="S49">
        <f>N49 *SQRT(H49)</f>
        <v>12.678611911404181</v>
      </c>
      <c r="T49">
        <f>L49/N49</f>
        <v>35.259562841530055</v>
      </c>
    </row>
    <row r="50" spans="1:20" x14ac:dyDescent="0.25">
      <c r="A50" t="s">
        <v>1038</v>
      </c>
      <c r="B50" t="s">
        <v>449</v>
      </c>
      <c r="C50" s="4">
        <v>9.6598000000000003E-2</v>
      </c>
      <c r="D50" s="4">
        <v>0.27900000000000003</v>
      </c>
      <c r="E50" s="4">
        <v>1.5412E-2</v>
      </c>
      <c r="F50" s="4">
        <v>0.36899999999999999</v>
      </c>
      <c r="G50">
        <v>2.48E-3</v>
      </c>
      <c r="H50">
        <f>VLOOKUP(A50,DB!A:I,2,FALSE)</f>
        <v>875000</v>
      </c>
      <c r="I50">
        <f>VLOOKUP(A50,'RE@CD'!A:D,2,FALSE)</f>
        <v>175000</v>
      </c>
      <c r="J50">
        <f>VLOOKUP(A50,'RE@CD'!A:D,3,FALSE)</f>
        <v>50000</v>
      </c>
      <c r="K50">
        <f>VLOOKUP(A50,'RE@CD'!A:D,4,FALSE)</f>
        <v>100000</v>
      </c>
      <c r="L50">
        <f>VLOOKUP(A50,DB!A:I,3,FALSE)</f>
        <v>6.8599999999999994E-2</v>
      </c>
      <c r="M50">
        <f>VLOOKUP(A50,DB!A:I,4,FALSE)</f>
        <v>-2.0999999999999999E-3</v>
      </c>
      <c r="N50">
        <f>VLOOKUP(A50,DB!A:I,5,FALSE)</f>
        <v>4.7099999999999998E-3</v>
      </c>
      <c r="O50">
        <f>VLOOKUP(A50,DB!A:I,6,FALSE)</f>
        <v>3.7299999999999998E-3</v>
      </c>
      <c r="P50">
        <f>VLOOKUP(A50,DB!A:I,7,FALSE)</f>
        <v>9.7999999999999997E-4</v>
      </c>
      <c r="Q50">
        <f>VLOOKUP(A50,DB!A:I,8,FALSE)</f>
        <v>0.6643</v>
      </c>
      <c r="R50">
        <f>VLOOKUP(A50,DB!A:I,9,FALSE)</f>
        <v>0.86970000000000003</v>
      </c>
      <c r="S50">
        <f>N50 *SQRT(H50)</f>
        <v>4.4058015729263156</v>
      </c>
      <c r="T50">
        <f>L50/N50</f>
        <v>14.564755838641188</v>
      </c>
    </row>
    <row r="51" spans="1:20" x14ac:dyDescent="0.25">
      <c r="A51" t="s">
        <v>753</v>
      </c>
      <c r="B51" t="s">
        <v>168</v>
      </c>
      <c r="C51" s="4">
        <v>0.12098</v>
      </c>
      <c r="D51" s="4">
        <v>0.17499999999999999</v>
      </c>
      <c r="E51" s="4">
        <v>0</v>
      </c>
      <c r="F51" s="4">
        <v>0.94799999999999995</v>
      </c>
      <c r="G51">
        <v>1.478E-2</v>
      </c>
      <c r="H51">
        <f>VLOOKUP(A51,DB!A:I,2,FALSE)</f>
        <v>3000000</v>
      </c>
      <c r="I51">
        <f>VLOOKUP(A51,'RE@CD'!A:D,2,FALSE)</f>
        <v>375000</v>
      </c>
      <c r="J51">
        <f>VLOOKUP(A51,'RE@CD'!A:D,3,FALSE)</f>
        <v>60000</v>
      </c>
      <c r="K51">
        <f>VLOOKUP(A51,'RE@CD'!A:D,4,FALSE)</f>
        <v>60000</v>
      </c>
      <c r="L51">
        <f>VLOOKUP(A51,DB!A:I,3,FALSE)</f>
        <v>0</v>
      </c>
      <c r="M51">
        <f>VLOOKUP(A51,DB!A:I,4,FALSE)</f>
        <v>0</v>
      </c>
      <c r="N51">
        <f>VLOOKUP(A51,DB!A:I,5,FALSE)</f>
        <v>7.26E-3</v>
      </c>
      <c r="O51">
        <f>VLOOKUP(A51,DB!A:I,6,FALSE)</f>
        <v>6.1900000000000002E-3</v>
      </c>
      <c r="P51">
        <f>VLOOKUP(A51,DB!A:I,7,FALSE)</f>
        <v>1.07E-3</v>
      </c>
      <c r="Q51">
        <f>VLOOKUP(A51,DB!A:I,8,FALSE)</f>
        <v>0.21249999999999999</v>
      </c>
      <c r="R51">
        <f>VLOOKUP(A51,DB!A:I,9,FALSE)</f>
        <v>0.21249999999999999</v>
      </c>
      <c r="S51">
        <f>N51 *SQRT(H51)</f>
        <v>12.574688862950048</v>
      </c>
      <c r="T51">
        <f>L51/N51</f>
        <v>0</v>
      </c>
    </row>
    <row r="52" spans="1:20" x14ac:dyDescent="0.25">
      <c r="A52" t="s">
        <v>807</v>
      </c>
      <c r="B52" t="s">
        <v>222</v>
      </c>
      <c r="C52" s="4">
        <v>0.125611</v>
      </c>
      <c r="D52" s="4">
        <v>0.29199999999999998</v>
      </c>
      <c r="E52" s="4">
        <v>4.6547999999999999E-2</v>
      </c>
      <c r="F52" s="4">
        <v>0.29199999999999998</v>
      </c>
      <c r="G52">
        <v>6.3299999999999997E-3</v>
      </c>
      <c r="H52">
        <f>VLOOKUP(A52,DB!A:I,2,FALSE)</f>
        <v>3000000</v>
      </c>
      <c r="I52">
        <f>VLOOKUP(A52,'RE@CD'!A:D,2,FALSE)</f>
        <v>700000</v>
      </c>
      <c r="J52">
        <f>VLOOKUP(A52,'RE@CD'!A:D,3,FALSE)</f>
        <v>90000</v>
      </c>
      <c r="K52">
        <f>VLOOKUP(A52,'RE@CD'!A:D,4,FALSE)</f>
        <v>80000</v>
      </c>
      <c r="L52">
        <f>VLOOKUP(A52,DB!A:I,3,FALSE)</f>
        <v>0.38590000000000002</v>
      </c>
      <c r="M52">
        <f>VLOOKUP(A52,DB!A:I,4,FALSE)</f>
        <v>-4.5900000000000003E-2</v>
      </c>
      <c r="N52">
        <f>VLOOKUP(A52,DB!A:I,5,FALSE)</f>
        <v>7.26E-3</v>
      </c>
      <c r="O52">
        <f>VLOOKUP(A52,DB!A:I,6,FALSE)</f>
        <v>6.0800000000000003E-3</v>
      </c>
      <c r="P52">
        <f>VLOOKUP(A52,DB!A:I,7,FALSE)</f>
        <v>1.1900000000000001E-3</v>
      </c>
      <c r="Q52">
        <f>VLOOKUP(A52,DB!A:I,8,FALSE)</f>
        <v>0.3765</v>
      </c>
      <c r="R52">
        <f>VLOOKUP(A52,DB!A:I,9,FALSE)</f>
        <v>1.9599999999999999E-2</v>
      </c>
      <c r="S52">
        <f>N52 *SQRT(H52)</f>
        <v>12.574688862950048</v>
      </c>
      <c r="T52">
        <f>L52/N52</f>
        <v>53.154269972451793</v>
      </c>
    </row>
    <row r="53" spans="1:20" x14ac:dyDescent="0.25">
      <c r="A53" t="s">
        <v>837</v>
      </c>
      <c r="B53" t="s">
        <v>252</v>
      </c>
      <c r="C53" s="4">
        <v>0.18174899999999999</v>
      </c>
      <c r="D53" s="4">
        <v>0.30399999999999999</v>
      </c>
      <c r="E53" s="4">
        <v>4.2457000000000002E-2</v>
      </c>
      <c r="F53" s="4">
        <v>0.502</v>
      </c>
      <c r="G53">
        <v>2.15E-3</v>
      </c>
      <c r="H53">
        <f>VLOOKUP(A53,DB!A:I,2,FALSE)</f>
        <v>1900000</v>
      </c>
      <c r="I53">
        <f>VLOOKUP(A53,'RE@CD'!A:D,2,FALSE)</f>
        <v>550000</v>
      </c>
      <c r="J53">
        <f>VLOOKUP(A53,'RE@CD'!A:D,3,FALSE)</f>
        <v>125000</v>
      </c>
      <c r="K53">
        <f>VLOOKUP(A53,'RE@CD'!A:D,4,FALSE)</f>
        <v>125000</v>
      </c>
      <c r="L53">
        <f>VLOOKUP(A53,DB!A:I,3,FALSE)</f>
        <v>0.5645</v>
      </c>
      <c r="M53">
        <f>VLOOKUP(A53,DB!A:I,4,FALSE)</f>
        <v>-0.12379999999999999</v>
      </c>
      <c r="N53">
        <f>VLOOKUP(A53,DB!A:I,5,FALSE)</f>
        <v>7.26E-3</v>
      </c>
      <c r="O53">
        <f>VLOOKUP(A53,DB!A:I,6,FALSE)</f>
        <v>5.6600000000000001E-3</v>
      </c>
      <c r="P53">
        <f>VLOOKUP(A53,DB!A:I,7,FALSE)</f>
        <v>1.5900000000000001E-3</v>
      </c>
      <c r="Q53">
        <f>VLOOKUP(A53,DB!A:I,8,FALSE)</f>
        <v>0.46100000000000002</v>
      </c>
      <c r="R53">
        <f>VLOOKUP(A53,DB!A:I,9,FALSE)</f>
        <v>0.34289999999999998</v>
      </c>
      <c r="S53">
        <f>N53 *SQRT(H53)</f>
        <v>10.0072193940175</v>
      </c>
      <c r="T53">
        <f>L53/N53</f>
        <v>77.754820936639121</v>
      </c>
    </row>
    <row r="54" spans="1:20" x14ac:dyDescent="0.25">
      <c r="A54" t="s">
        <v>805</v>
      </c>
      <c r="B54" t="s">
        <v>220</v>
      </c>
      <c r="C54" s="4">
        <v>0.121027</v>
      </c>
      <c r="D54" s="4">
        <v>0.27600000000000002</v>
      </c>
      <c r="E54" s="4">
        <v>3.6606E-2</v>
      </c>
      <c r="F54" s="4">
        <v>0.23699999999999999</v>
      </c>
      <c r="G54">
        <v>6.0000000000000001E-3</v>
      </c>
      <c r="H54">
        <f>VLOOKUP(A54,DB!A:I,2,FALSE)</f>
        <v>3000000</v>
      </c>
      <c r="I54">
        <f>VLOOKUP(A54,'RE@CD'!A:D,2,FALSE)</f>
        <v>375000</v>
      </c>
      <c r="J54">
        <f>VLOOKUP(A54,'RE@CD'!A:D,3,FALSE)</f>
        <v>150000</v>
      </c>
      <c r="K54">
        <f>VLOOKUP(A54,'RE@CD'!A:D,4,FALSE)</f>
        <v>150000</v>
      </c>
      <c r="L54">
        <f>VLOOKUP(A54,DB!A:I,3,FALSE)</f>
        <v>0.18909999999999999</v>
      </c>
      <c r="M54">
        <f>VLOOKUP(A54,DB!A:I,4,FALSE)</f>
        <v>-4.4999999999999997E-3</v>
      </c>
      <c r="N54">
        <f>VLOOKUP(A54,DB!A:I,5,FALSE)</f>
        <v>7.2399999999999999E-3</v>
      </c>
      <c r="O54">
        <f>VLOOKUP(A54,DB!A:I,6,FALSE)</f>
        <v>6.13E-3</v>
      </c>
      <c r="P54">
        <f>VLOOKUP(A54,DB!A:I,7,FALSE)</f>
        <v>1.1100000000000001E-3</v>
      </c>
      <c r="Q54">
        <f>VLOOKUP(A54,DB!A:I,8,FALSE)</f>
        <v>0.36580000000000001</v>
      </c>
      <c r="R54">
        <f>VLOOKUP(A54,DB!A:I,9,FALSE)</f>
        <v>3.1099999999999999E-2</v>
      </c>
      <c r="S54">
        <f>N54 *SQRT(H54)</f>
        <v>12.540047846798672</v>
      </c>
      <c r="T54">
        <f>L54/N54</f>
        <v>26.118784530386741</v>
      </c>
    </row>
    <row r="55" spans="1:20" x14ac:dyDescent="0.25">
      <c r="A55" t="s">
        <v>754</v>
      </c>
      <c r="B55" t="s">
        <v>169</v>
      </c>
      <c r="C55" s="4">
        <v>0.16189999999999999</v>
      </c>
      <c r="D55" s="4">
        <v>0.21199999999999999</v>
      </c>
      <c r="E55" s="4">
        <v>0</v>
      </c>
      <c r="F55" s="4">
        <v>8.2000000000000003E-2</v>
      </c>
      <c r="G55">
        <v>1.6879999999999999E-2</v>
      </c>
      <c r="H55">
        <f>VLOOKUP(A55,DB!A:I,2,FALSE)</f>
        <v>3000000</v>
      </c>
      <c r="I55">
        <f>VLOOKUP(A55,'RE@CD'!A:D,2,FALSE)</f>
        <v>675000</v>
      </c>
      <c r="J55">
        <f>VLOOKUP(A55,'RE@CD'!A:D,3,FALSE)</f>
        <v>90000</v>
      </c>
      <c r="K55">
        <f>VLOOKUP(A55,'RE@CD'!A:D,4,FALSE)</f>
        <v>70000</v>
      </c>
      <c r="L55">
        <f>VLOOKUP(A55,DB!A:I,3,FALSE)</f>
        <v>0</v>
      </c>
      <c r="M55">
        <f>VLOOKUP(A55,DB!A:I,4,FALSE)</f>
        <v>0</v>
      </c>
      <c r="N55">
        <f>VLOOKUP(A55,DB!A:I,5,FALSE)</f>
        <v>7.2199999999999999E-3</v>
      </c>
      <c r="O55">
        <f>VLOOKUP(A55,DB!A:I,6,FALSE)</f>
        <v>5.9500000000000004E-3</v>
      </c>
      <c r="P55">
        <f>VLOOKUP(A55,DB!A:I,7,FALSE)</f>
        <v>1.2700000000000001E-3</v>
      </c>
      <c r="Q55">
        <f>VLOOKUP(A55,DB!A:I,8,FALSE)</f>
        <v>0.26800000000000002</v>
      </c>
      <c r="R55">
        <f>VLOOKUP(A55,DB!A:I,9,FALSE)</f>
        <v>0.26800000000000002</v>
      </c>
      <c r="S55">
        <f>N55 *SQRT(H55)</f>
        <v>12.505406830647294</v>
      </c>
      <c r="T55">
        <f>L55/N55</f>
        <v>0</v>
      </c>
    </row>
    <row r="56" spans="1:20" x14ac:dyDescent="0.25">
      <c r="A56" t="s">
        <v>665</v>
      </c>
      <c r="B56" t="s">
        <v>80</v>
      </c>
      <c r="C56" s="4">
        <v>0.17727699999999999</v>
      </c>
      <c r="D56" s="4">
        <v>0.22</v>
      </c>
      <c r="E56" s="4">
        <v>3.2155000000000003E-2</v>
      </c>
      <c r="F56" s="4">
        <v>0.36399999999999999</v>
      </c>
      <c r="G56">
        <v>1.669E-2</v>
      </c>
      <c r="H56">
        <f>VLOOKUP(A56,DB!A:I,2,FALSE)</f>
        <v>3000000</v>
      </c>
      <c r="I56">
        <f>VLOOKUP(A56,'RE@CD'!A:D,2,FALSE)</f>
        <v>700000</v>
      </c>
      <c r="J56">
        <f>VLOOKUP(A56,'RE@CD'!A:D,3,FALSE)</f>
        <v>125000</v>
      </c>
      <c r="K56">
        <f>VLOOKUP(A56,'RE@CD'!A:D,4,FALSE)</f>
        <v>100000</v>
      </c>
      <c r="L56">
        <f>VLOOKUP(A56,DB!A:I,3,FALSE)</f>
        <v>0.34899999999999998</v>
      </c>
      <c r="M56">
        <f>VLOOKUP(A56,DB!A:I,4,FALSE)</f>
        <v>-6.0600000000000001E-2</v>
      </c>
      <c r="N56">
        <f>VLOOKUP(A56,DB!A:I,5,FALSE)</f>
        <v>7.2100000000000003E-3</v>
      </c>
      <c r="O56">
        <f>VLOOKUP(A56,DB!A:I,6,FALSE)</f>
        <v>5.77E-3</v>
      </c>
      <c r="P56">
        <f>VLOOKUP(A56,DB!A:I,7,FALSE)</f>
        <v>1.4400000000000001E-3</v>
      </c>
      <c r="Q56">
        <f>VLOOKUP(A56,DB!A:I,8,FALSE)</f>
        <v>0.3251</v>
      </c>
      <c r="R56">
        <f>VLOOKUP(A56,DB!A:I,9,FALSE)</f>
        <v>0.2205</v>
      </c>
      <c r="S56">
        <f>N56 *SQRT(H56)</f>
        <v>12.488086322571604</v>
      </c>
      <c r="T56">
        <f>L56/N56</f>
        <v>48.404993065187234</v>
      </c>
    </row>
    <row r="57" spans="1:20" x14ac:dyDescent="0.25">
      <c r="A57" t="s">
        <v>806</v>
      </c>
      <c r="B57" t="s">
        <v>221</v>
      </c>
      <c r="C57" s="4">
        <v>0.12354900000000001</v>
      </c>
      <c r="D57" s="4">
        <v>0.28399999999999997</v>
      </c>
      <c r="E57" s="4">
        <v>4.2118000000000003E-2</v>
      </c>
      <c r="F57" s="4">
        <v>0.25800000000000001</v>
      </c>
      <c r="G57">
        <v>6.3299999999999997E-3</v>
      </c>
      <c r="H57">
        <f>VLOOKUP(A57,DB!A:I,2,FALSE)</f>
        <v>3000000</v>
      </c>
      <c r="I57">
        <f>VLOOKUP(A57,'RE@CD'!A:D,2,FALSE)</f>
        <v>375000</v>
      </c>
      <c r="J57">
        <f>VLOOKUP(A57,'RE@CD'!A:D,3,FALSE)</f>
        <v>90000</v>
      </c>
      <c r="K57">
        <f>VLOOKUP(A57,'RE@CD'!A:D,4,FALSE)</f>
        <v>80000</v>
      </c>
      <c r="L57">
        <f>VLOOKUP(A57,DB!A:I,3,FALSE)</f>
        <v>0.30840000000000001</v>
      </c>
      <c r="M57">
        <f>VLOOKUP(A57,DB!A:I,4,FALSE)</f>
        <v>-2.52E-2</v>
      </c>
      <c r="N57">
        <f>VLOOKUP(A57,DB!A:I,5,FALSE)</f>
        <v>7.2100000000000003E-3</v>
      </c>
      <c r="O57">
        <f>VLOOKUP(A57,DB!A:I,6,FALSE)</f>
        <v>6.0899999999999999E-3</v>
      </c>
      <c r="P57">
        <f>VLOOKUP(A57,DB!A:I,7,FALSE)</f>
        <v>1.1199999999999999E-3</v>
      </c>
      <c r="Q57">
        <f>VLOOKUP(A57,DB!A:I,8,FALSE)</f>
        <v>0.36780000000000002</v>
      </c>
      <c r="R57">
        <f>VLOOKUP(A57,DB!A:I,9,FALSE)</f>
        <v>3.1099999999999999E-2</v>
      </c>
      <c r="S57">
        <f>N57 *SQRT(H57)</f>
        <v>12.488086322571604</v>
      </c>
      <c r="T57">
        <f>L57/N57</f>
        <v>42.77392510402219</v>
      </c>
    </row>
    <row r="58" spans="1:20" x14ac:dyDescent="0.25">
      <c r="A58" t="s">
        <v>1131</v>
      </c>
      <c r="B58" t="s">
        <v>542</v>
      </c>
      <c r="C58" s="4">
        <v>0.08</v>
      </c>
      <c r="D58" s="4">
        <v>0.22900000000000001</v>
      </c>
      <c r="E58" s="4">
        <v>0</v>
      </c>
      <c r="F58" s="4">
        <v>3.7999999999999999E-2</v>
      </c>
      <c r="G58">
        <v>5.7600000000000004E-3</v>
      </c>
      <c r="H58">
        <f>VLOOKUP(A58,DB!A:I,2,FALSE)</f>
        <v>700000</v>
      </c>
      <c r="I58">
        <f>VLOOKUP(A58,'RE@CD'!A:D,2,FALSE)</f>
        <v>125000</v>
      </c>
      <c r="J58">
        <f>VLOOKUP(A58,'RE@CD'!A:D,3,FALSE)</f>
        <v>50000</v>
      </c>
      <c r="K58">
        <f>VLOOKUP(A58,'RE@CD'!A:D,4,FALSE)</f>
        <v>60000</v>
      </c>
      <c r="L58">
        <f>VLOOKUP(A58,DB!A:I,3,FALSE)</f>
        <v>0</v>
      </c>
      <c r="M58">
        <f>VLOOKUP(A58,DB!A:I,4,FALSE)</f>
        <v>0</v>
      </c>
      <c r="N58">
        <f>VLOOKUP(A58,DB!A:I,5,FALSE)</f>
        <v>4.7099999999999998E-3</v>
      </c>
      <c r="O58">
        <f>VLOOKUP(A58,DB!A:I,6,FALSE)</f>
        <v>3.65E-3</v>
      </c>
      <c r="P58">
        <f>VLOOKUP(A58,DB!A:I,7,FALSE)</f>
        <v>1.07E-3</v>
      </c>
      <c r="Q58">
        <f>VLOOKUP(A58,DB!A:I,8,FALSE)</f>
        <v>0.79900000000000004</v>
      </c>
      <c r="R58">
        <f>VLOOKUP(A58,DB!A:I,9,FALSE)</f>
        <v>0.79879999999999995</v>
      </c>
      <c r="S58">
        <f>N58 *SQRT(H58)</f>
        <v>3.9406687249754957</v>
      </c>
      <c r="T58">
        <f>L58/N58</f>
        <v>0</v>
      </c>
    </row>
    <row r="59" spans="1:20" x14ac:dyDescent="0.25">
      <c r="A59" t="s">
        <v>1007</v>
      </c>
      <c r="B59" t="s">
        <v>418</v>
      </c>
      <c r="C59" s="4">
        <v>0.109803</v>
      </c>
      <c r="D59" s="4">
        <v>0.3</v>
      </c>
      <c r="E59" s="4">
        <v>4.3351000000000001E-2</v>
      </c>
      <c r="F59" s="4">
        <v>0.3</v>
      </c>
      <c r="G59">
        <v>1.089E-2</v>
      </c>
      <c r="H59">
        <f>VLOOKUP(A59,DB!A:I,2,FALSE)</f>
        <v>3000000</v>
      </c>
      <c r="I59">
        <f>VLOOKUP(A59,'RE@CD'!A:D,2,FALSE)</f>
        <v>800000</v>
      </c>
      <c r="J59">
        <f>VLOOKUP(A59,'RE@CD'!A:D,3,FALSE)</f>
        <v>175000</v>
      </c>
      <c r="K59">
        <f>VLOOKUP(A59,'RE@CD'!A:D,4,FALSE)</f>
        <v>175000</v>
      </c>
      <c r="L59">
        <f>VLOOKUP(A59,DB!A:I,3,FALSE)</f>
        <v>0.27600000000000002</v>
      </c>
      <c r="M59">
        <f>VLOOKUP(A59,DB!A:I,4,FALSE)</f>
        <v>-2.81E-2</v>
      </c>
      <c r="N59">
        <f>VLOOKUP(A59,DB!A:I,5,FALSE)</f>
        <v>7.1999999999999998E-3</v>
      </c>
      <c r="O59">
        <f>VLOOKUP(A59,DB!A:I,6,FALSE)</f>
        <v>5.7200000000000003E-3</v>
      </c>
      <c r="P59">
        <f>VLOOKUP(A59,DB!A:I,7,FALSE)</f>
        <v>1.47E-3</v>
      </c>
      <c r="Q59">
        <f>VLOOKUP(A59,DB!A:I,8,FALSE)</f>
        <v>0.40429999999999999</v>
      </c>
      <c r="R59">
        <f>VLOOKUP(A59,DB!A:I,9,FALSE)</f>
        <v>2.64E-2</v>
      </c>
      <c r="S59">
        <f>N59 *SQRT(H59)</f>
        <v>12.470765814495916</v>
      </c>
      <c r="T59">
        <f>L59/N59</f>
        <v>38.333333333333336</v>
      </c>
    </row>
    <row r="60" spans="1:20" x14ac:dyDescent="0.25">
      <c r="A60" t="s">
        <v>755</v>
      </c>
      <c r="B60" t="s">
        <v>170</v>
      </c>
      <c r="C60" s="4">
        <v>0.14083999999999999</v>
      </c>
      <c r="D60" s="4">
        <v>0.215</v>
      </c>
      <c r="E60" s="4">
        <v>0</v>
      </c>
      <c r="F60" s="4">
        <v>5.8000000000000003E-2</v>
      </c>
      <c r="G60">
        <v>1.4330000000000001E-2</v>
      </c>
      <c r="H60">
        <f>VLOOKUP(A60,DB!A:I,2,FALSE)</f>
        <v>3000000</v>
      </c>
      <c r="I60">
        <f>VLOOKUP(A60,'RE@CD'!A:D,2,FALSE)</f>
        <v>450000</v>
      </c>
      <c r="J60">
        <f>VLOOKUP(A60,'RE@CD'!A:D,3,FALSE)</f>
        <v>60000</v>
      </c>
      <c r="K60">
        <f>VLOOKUP(A60,'RE@CD'!A:D,4,FALSE)</f>
        <v>60000</v>
      </c>
      <c r="L60">
        <f>VLOOKUP(A60,DB!A:I,3,FALSE)</f>
        <v>0</v>
      </c>
      <c r="M60">
        <f>VLOOKUP(A60,DB!A:I,4,FALSE)</f>
        <v>0</v>
      </c>
      <c r="N60">
        <f>VLOOKUP(A60,DB!A:I,5,FALSE)</f>
        <v>7.1900000000000002E-3</v>
      </c>
      <c r="O60">
        <f>VLOOKUP(A60,DB!A:I,6,FALSE)</f>
        <v>6.0200000000000002E-3</v>
      </c>
      <c r="P60">
        <f>VLOOKUP(A60,DB!A:I,7,FALSE)</f>
        <v>1.1800000000000001E-3</v>
      </c>
      <c r="Q60">
        <f>VLOOKUP(A60,DB!A:I,8,FALSE)</f>
        <v>0.25080000000000002</v>
      </c>
      <c r="R60">
        <f>VLOOKUP(A60,DB!A:I,9,FALSE)</f>
        <v>0.25069999999999998</v>
      </c>
      <c r="S60">
        <f>N60 *SQRT(H60)</f>
        <v>12.453445306420228</v>
      </c>
      <c r="T60">
        <f>L60/N60</f>
        <v>0</v>
      </c>
    </row>
    <row r="61" spans="1:20" x14ac:dyDescent="0.25">
      <c r="A61" t="s">
        <v>1133</v>
      </c>
      <c r="B61" t="s">
        <v>544</v>
      </c>
      <c r="C61" s="4">
        <v>7.4980000000000005E-2</v>
      </c>
      <c r="D61" s="4">
        <v>0.22800000000000001</v>
      </c>
      <c r="E61" s="4">
        <v>0</v>
      </c>
      <c r="F61" s="4">
        <v>2.9000000000000001E-2</v>
      </c>
      <c r="G61">
        <v>4.8599999999999997E-3</v>
      </c>
      <c r="H61">
        <f>VLOOKUP(A61,DB!A:I,2,FALSE)</f>
        <v>550000</v>
      </c>
      <c r="I61">
        <f>VLOOKUP(A61,'RE@CD'!A:D,2,FALSE)</f>
        <v>100000</v>
      </c>
      <c r="J61">
        <f>VLOOKUP(A61,'RE@CD'!A:D,3,FALSE)</f>
        <v>50000</v>
      </c>
      <c r="K61">
        <f>VLOOKUP(A61,'RE@CD'!A:D,4,FALSE)</f>
        <v>50000</v>
      </c>
      <c r="L61">
        <f>VLOOKUP(A61,DB!A:I,3,FALSE)</f>
        <v>0</v>
      </c>
      <c r="M61">
        <f>VLOOKUP(A61,DB!A:I,4,FALSE)</f>
        <v>0</v>
      </c>
      <c r="N61">
        <f>VLOOKUP(A61,DB!A:I,5,FALSE)</f>
        <v>4.7099999999999998E-3</v>
      </c>
      <c r="O61">
        <f>VLOOKUP(A61,DB!A:I,6,FALSE)</f>
        <v>3.4499999999999999E-3</v>
      </c>
      <c r="P61">
        <f>VLOOKUP(A61,DB!A:I,7,FALSE)</f>
        <v>1.2600000000000001E-3</v>
      </c>
      <c r="Q61">
        <f>VLOOKUP(A61,DB!A:I,8,FALSE)</f>
        <v>0.85540000000000005</v>
      </c>
      <c r="R61">
        <f>VLOOKUP(A61,DB!A:I,9,FALSE)</f>
        <v>0.85550000000000004</v>
      </c>
      <c r="S61">
        <f>N61 *SQRT(H61)</f>
        <v>3.4930294874220573</v>
      </c>
      <c r="T61">
        <f>L61/N61</f>
        <v>0</v>
      </c>
    </row>
    <row r="62" spans="1:20" x14ac:dyDescent="0.25">
      <c r="A62" t="s">
        <v>920</v>
      </c>
      <c r="B62" t="s">
        <v>334</v>
      </c>
      <c r="C62" s="4">
        <v>0.140539</v>
      </c>
      <c r="D62" s="4">
        <v>0.309</v>
      </c>
      <c r="E62" s="4">
        <v>7.1435999999999999E-2</v>
      </c>
      <c r="F62" s="4">
        <v>0.33900000000000002</v>
      </c>
      <c r="G62">
        <v>6.4000000000000003E-3</v>
      </c>
      <c r="H62">
        <f>VLOOKUP(A62,DB!A:I,2,FALSE)</f>
        <v>3000000</v>
      </c>
      <c r="I62">
        <f>VLOOKUP(A62,'RE@CD'!A:D,2,FALSE)</f>
        <v>900000</v>
      </c>
      <c r="J62">
        <f>VLOOKUP(A62,'RE@CD'!A:D,3,FALSE)</f>
        <v>200000</v>
      </c>
      <c r="K62">
        <f>VLOOKUP(A62,'RE@CD'!A:D,4,FALSE)</f>
        <v>200000</v>
      </c>
      <c r="L62">
        <f>VLOOKUP(A62,DB!A:I,3,FALSE)</f>
        <v>0.81620000000000004</v>
      </c>
      <c r="M62">
        <f>VLOOKUP(A62,DB!A:I,4,FALSE)</f>
        <v>-0.1527</v>
      </c>
      <c r="N62">
        <f>VLOOKUP(A62,DB!A:I,5,FALSE)</f>
        <v>7.1799999999999998E-3</v>
      </c>
      <c r="O62">
        <f>VLOOKUP(A62,DB!A:I,6,FALSE)</f>
        <v>5.6499999999999996E-3</v>
      </c>
      <c r="P62">
        <f>VLOOKUP(A62,DB!A:I,7,FALSE)</f>
        <v>1.5299999999999999E-3</v>
      </c>
      <c r="Q62">
        <f>VLOOKUP(A62,DB!A:I,8,FALSE)</f>
        <v>0.42609999999999998</v>
      </c>
      <c r="R62">
        <f>VLOOKUP(A62,DB!A:I,9,FALSE)</f>
        <v>3.4700000000000002E-2</v>
      </c>
      <c r="S62">
        <f>N62 *SQRT(H62)</f>
        <v>12.436124798344538</v>
      </c>
      <c r="T62">
        <f>L62/N62</f>
        <v>113.67688022284123</v>
      </c>
    </row>
    <row r="63" spans="1:20" x14ac:dyDescent="0.25">
      <c r="A63" t="s">
        <v>667</v>
      </c>
      <c r="B63" t="s">
        <v>82</v>
      </c>
      <c r="C63" s="4">
        <v>0.198486</v>
      </c>
      <c r="D63" s="4">
        <v>0.23899999999999999</v>
      </c>
      <c r="E63" s="4">
        <v>2.0548E-2</v>
      </c>
      <c r="F63" s="4">
        <v>0.33</v>
      </c>
      <c r="G63">
        <v>1.4590000000000001E-2</v>
      </c>
      <c r="H63">
        <f>VLOOKUP(A63,DB!A:I,2,FALSE)</f>
        <v>3000000</v>
      </c>
      <c r="I63">
        <f>VLOOKUP(A63,'RE@CD'!A:D,2,FALSE)</f>
        <v>700000</v>
      </c>
      <c r="J63">
        <f>VLOOKUP(A63,'RE@CD'!A:D,3,FALSE)</f>
        <v>125000</v>
      </c>
      <c r="K63">
        <f>VLOOKUP(A63,'RE@CD'!A:D,4,FALSE)</f>
        <v>125000</v>
      </c>
      <c r="L63">
        <f>VLOOKUP(A63,DB!A:I,3,FALSE)</f>
        <v>0.19209999999999999</v>
      </c>
      <c r="M63">
        <f>VLOOKUP(A63,DB!A:I,4,FALSE)</f>
        <v>-2.2100000000000002E-2</v>
      </c>
      <c r="N63">
        <f>VLOOKUP(A63,DB!A:I,5,FALSE)</f>
        <v>7.1199999999999996E-3</v>
      </c>
      <c r="O63">
        <f>VLOOKUP(A63,DB!A:I,6,FALSE)</f>
        <v>5.62E-3</v>
      </c>
      <c r="P63">
        <f>VLOOKUP(A63,DB!A:I,7,FALSE)</f>
        <v>1.5E-3</v>
      </c>
      <c r="Q63">
        <f>VLOOKUP(A63,DB!A:I,8,FALSE)</f>
        <v>0.314</v>
      </c>
      <c r="R63">
        <f>VLOOKUP(A63,DB!A:I,9,FALSE)</f>
        <v>0.31519999999999998</v>
      </c>
      <c r="S63">
        <f>N63 *SQRT(H63)</f>
        <v>12.332201749890405</v>
      </c>
      <c r="T63">
        <f>L63/N63</f>
        <v>26.980337078651687</v>
      </c>
    </row>
    <row r="64" spans="1:20" x14ac:dyDescent="0.25">
      <c r="A64" t="s">
        <v>711</v>
      </c>
      <c r="B64" t="s">
        <v>126</v>
      </c>
      <c r="C64" s="4">
        <v>0.119503</v>
      </c>
      <c r="D64" s="4">
        <v>0.30299999999999999</v>
      </c>
      <c r="E64" s="4">
        <v>4.0191999999999999E-2</v>
      </c>
      <c r="F64" s="4">
        <v>0.254</v>
      </c>
      <c r="G64">
        <v>2E-3</v>
      </c>
      <c r="H64">
        <f>VLOOKUP(A64,DB!A:I,2,FALSE)</f>
        <v>3000000</v>
      </c>
      <c r="I64">
        <f>VLOOKUP(A64,'RE@CD'!A:D,2,FALSE)</f>
        <v>350000</v>
      </c>
      <c r="J64">
        <f>VLOOKUP(A64,'RE@CD'!A:D,3,FALSE)</f>
        <v>80000</v>
      </c>
      <c r="K64">
        <f>VLOOKUP(A64,'RE@CD'!A:D,4,FALSE)</f>
        <v>80000</v>
      </c>
      <c r="L64">
        <f>VLOOKUP(A64,DB!A:I,3,FALSE)</f>
        <v>0.33</v>
      </c>
      <c r="M64">
        <f>VLOOKUP(A64,DB!A:I,4,FALSE)</f>
        <v>-3.8800000000000001E-2</v>
      </c>
      <c r="N64">
        <f>VLOOKUP(A64,DB!A:I,5,FALSE)</f>
        <v>7.11E-3</v>
      </c>
      <c r="O64">
        <f>VLOOKUP(A64,DB!A:I,6,FALSE)</f>
        <v>6.0299999999999998E-3</v>
      </c>
      <c r="P64">
        <f>VLOOKUP(A64,DB!A:I,7,FALSE)</f>
        <v>1.08E-3</v>
      </c>
      <c r="Q64">
        <f>VLOOKUP(A64,DB!A:I,8,FALSE)</f>
        <v>0.39439999999999997</v>
      </c>
      <c r="R64">
        <f>VLOOKUP(A64,DB!A:I,9,FALSE)</f>
        <v>1.9199999999999998E-2</v>
      </c>
      <c r="S64">
        <f>N64 *SQRT(H64)</f>
        <v>12.314881241814717</v>
      </c>
      <c r="T64">
        <f>L64/N64</f>
        <v>46.413502109704645</v>
      </c>
    </row>
    <row r="65" spans="1:20" x14ac:dyDescent="0.25">
      <c r="A65" t="s">
        <v>743</v>
      </c>
      <c r="B65" t="s">
        <v>158</v>
      </c>
      <c r="C65" s="4">
        <v>0.14013800000000001</v>
      </c>
      <c r="D65" s="4">
        <v>0.24099999999999999</v>
      </c>
      <c r="E65" s="4">
        <v>7.0860000000000006E-2</v>
      </c>
      <c r="F65" s="4">
        <v>0.35399999999999998</v>
      </c>
      <c r="G65">
        <v>4.9500000000000004E-3</v>
      </c>
      <c r="H65">
        <f>VLOOKUP(A65,DB!A:I,2,FALSE)</f>
        <v>3000000</v>
      </c>
      <c r="I65">
        <f>VLOOKUP(A65,'RE@CD'!A:D,2,FALSE)</f>
        <v>750000</v>
      </c>
      <c r="J65">
        <f>VLOOKUP(A65,'RE@CD'!A:D,3,FALSE)</f>
        <v>150000</v>
      </c>
      <c r="K65">
        <f>VLOOKUP(A65,'RE@CD'!A:D,4,FALSE)</f>
        <v>150000</v>
      </c>
      <c r="L65">
        <f>VLOOKUP(A65,DB!A:I,3,FALSE)</f>
        <v>0.70289999999999997</v>
      </c>
      <c r="M65">
        <f>VLOOKUP(A65,DB!A:I,4,FALSE)</f>
        <v>-0.12540000000000001</v>
      </c>
      <c r="N65">
        <f>VLOOKUP(A65,DB!A:I,5,FALSE)</f>
        <v>7.1000000000000004E-3</v>
      </c>
      <c r="O65">
        <f>VLOOKUP(A65,DB!A:I,6,FALSE)</f>
        <v>5.62E-3</v>
      </c>
      <c r="P65">
        <f>VLOOKUP(A65,DB!A:I,7,FALSE)</f>
        <v>1.48E-3</v>
      </c>
      <c r="Q65">
        <f>VLOOKUP(A65,DB!A:I,8,FALSE)</f>
        <v>0.4032</v>
      </c>
      <c r="R65">
        <f>VLOOKUP(A65,DB!A:I,9,FALSE)</f>
        <v>0.13139999999999999</v>
      </c>
      <c r="S65">
        <f>N65 *SQRT(H65)</f>
        <v>12.297560733739029</v>
      </c>
      <c r="T65">
        <f>L65/N65</f>
        <v>98.999999999999986</v>
      </c>
    </row>
    <row r="66" spans="1:20" x14ac:dyDescent="0.25">
      <c r="A66" t="s">
        <v>794</v>
      </c>
      <c r="B66" t="s">
        <v>209</v>
      </c>
      <c r="C66" s="4">
        <v>0.15673100000000001</v>
      </c>
      <c r="D66" s="4">
        <v>0.25</v>
      </c>
      <c r="E66" s="4">
        <v>6.4838999999999994E-2</v>
      </c>
      <c r="F66" s="4">
        <v>0.47699999999999998</v>
      </c>
      <c r="G66">
        <v>1.196E-2</v>
      </c>
      <c r="H66">
        <f>VLOOKUP(A66,DB!A:I,2,FALSE)</f>
        <v>3000000</v>
      </c>
      <c r="I66">
        <f>VLOOKUP(A66,'RE@CD'!A:D,2,FALSE)</f>
        <v>550000</v>
      </c>
      <c r="J66">
        <f>VLOOKUP(A66,'RE@CD'!A:D,3,FALSE)</f>
        <v>125000</v>
      </c>
      <c r="K66">
        <f>VLOOKUP(A66,'RE@CD'!A:D,4,FALSE)</f>
        <v>100000</v>
      </c>
      <c r="L66">
        <f>VLOOKUP(A66,DB!A:I,3,FALSE)</f>
        <v>0.93689999999999996</v>
      </c>
      <c r="M66">
        <f>VLOOKUP(A66,DB!A:I,4,FALSE)</f>
        <v>-0.20380000000000001</v>
      </c>
      <c r="N66">
        <f>VLOOKUP(A66,DB!A:I,5,FALSE)</f>
        <v>7.1000000000000004E-3</v>
      </c>
      <c r="O66">
        <f>VLOOKUP(A66,DB!A:I,6,FALSE)</f>
        <v>5.1599999999999997E-3</v>
      </c>
      <c r="P66">
        <f>VLOOKUP(A66,DB!A:I,7,FALSE)</f>
        <v>1.9400000000000001E-3</v>
      </c>
      <c r="Q66">
        <f>VLOOKUP(A66,DB!A:I,8,FALSE)</f>
        <v>0.4168</v>
      </c>
      <c r="R66">
        <f>VLOOKUP(A66,DB!A:I,9,FALSE)</f>
        <v>0.31</v>
      </c>
      <c r="S66">
        <f>N66 *SQRT(H66)</f>
        <v>12.297560733739029</v>
      </c>
      <c r="T66">
        <f>L66/N66</f>
        <v>131.95774647887322</v>
      </c>
    </row>
    <row r="67" spans="1:20" x14ac:dyDescent="0.25">
      <c r="A67" t="s">
        <v>1051</v>
      </c>
      <c r="B67" t="s">
        <v>462</v>
      </c>
      <c r="C67" s="4">
        <v>0.13725799999999999</v>
      </c>
      <c r="D67" s="4">
        <v>0.20100000000000001</v>
      </c>
      <c r="E67" s="4">
        <v>4.7552999999999998E-2</v>
      </c>
      <c r="F67" s="4">
        <v>0.32400000000000001</v>
      </c>
      <c r="G67">
        <v>4.47E-3</v>
      </c>
      <c r="H67">
        <f>VLOOKUP(A67,DB!A:I,2,FALSE)</f>
        <v>3000000</v>
      </c>
      <c r="I67">
        <f>VLOOKUP(A67,'RE@CD'!A:D,2,FALSE)</f>
        <v>475000</v>
      </c>
      <c r="J67">
        <f>VLOOKUP(A67,'RE@CD'!A:D,3,FALSE)</f>
        <v>90000</v>
      </c>
      <c r="K67">
        <f>VLOOKUP(A67,'RE@CD'!A:D,4,FALSE)</f>
        <v>90000</v>
      </c>
      <c r="L67">
        <f>VLOOKUP(A67,DB!A:I,3,FALSE)</f>
        <v>0.46639999999999998</v>
      </c>
      <c r="M67">
        <f>VLOOKUP(A67,DB!A:I,4,FALSE)</f>
        <v>-6.9800000000000001E-2</v>
      </c>
      <c r="N67">
        <f>VLOOKUP(A67,DB!A:I,5,FALSE)</f>
        <v>7.0800000000000004E-3</v>
      </c>
      <c r="O67">
        <f>VLOOKUP(A67,DB!A:I,6,FALSE)</f>
        <v>5.8100000000000001E-3</v>
      </c>
      <c r="P67">
        <f>VLOOKUP(A67,DB!A:I,7,FALSE)</f>
        <v>1.2600000000000001E-3</v>
      </c>
      <c r="Q67">
        <f>VLOOKUP(A67,DB!A:I,8,FALSE)</f>
        <v>0.31340000000000001</v>
      </c>
      <c r="R67">
        <f>VLOOKUP(A67,DB!A:I,9,FALSE)</f>
        <v>0.1203</v>
      </c>
      <c r="S67">
        <f>N67 *SQRT(H67)</f>
        <v>12.262919717587652</v>
      </c>
      <c r="T67">
        <f>L67/N67</f>
        <v>65.875706214689259</v>
      </c>
    </row>
    <row r="68" spans="1:20" x14ac:dyDescent="0.25">
      <c r="A68" t="s">
        <v>931</v>
      </c>
      <c r="B68" t="s">
        <v>342</v>
      </c>
      <c r="C68" s="4">
        <v>0.121041</v>
      </c>
      <c r="D68" s="4">
        <v>0.309</v>
      </c>
      <c r="E68" s="4">
        <v>4.5596999999999999E-2</v>
      </c>
      <c r="F68" s="4">
        <v>0.309</v>
      </c>
      <c r="G68">
        <v>2.8400000000000001E-3</v>
      </c>
      <c r="H68">
        <f>VLOOKUP(A68,DB!A:I,2,FALSE)</f>
        <v>3000000</v>
      </c>
      <c r="I68">
        <f>VLOOKUP(A68,'RE@CD'!A:D,2,FALSE)</f>
        <v>450000</v>
      </c>
      <c r="J68">
        <f>VLOOKUP(A68,'RE@CD'!A:D,3,FALSE)</f>
        <v>125000</v>
      </c>
      <c r="K68">
        <f>VLOOKUP(A68,'RE@CD'!A:D,4,FALSE)</f>
        <v>125000</v>
      </c>
      <c r="L68">
        <f>VLOOKUP(A68,DB!A:I,3,FALSE)</f>
        <v>0.26229999999999998</v>
      </c>
      <c r="M68">
        <f>VLOOKUP(A68,DB!A:I,4,FALSE)</f>
        <v>-1.8700000000000001E-2</v>
      </c>
      <c r="N68">
        <f>VLOOKUP(A68,DB!A:I,5,FALSE)</f>
        <v>7.0600000000000003E-3</v>
      </c>
      <c r="O68">
        <f>VLOOKUP(A68,DB!A:I,6,FALSE)</f>
        <v>5.9300000000000004E-3</v>
      </c>
      <c r="P68">
        <f>VLOOKUP(A68,DB!A:I,7,FALSE)</f>
        <v>1.1299999999999999E-3</v>
      </c>
      <c r="Q68">
        <f>VLOOKUP(A68,DB!A:I,8,FALSE)</f>
        <v>0.41489999999999999</v>
      </c>
      <c r="R68">
        <f>VLOOKUP(A68,DB!A:I,9,FALSE)</f>
        <v>3.3099999999999997E-2</v>
      </c>
      <c r="S68">
        <f>N68 *SQRT(H68)</f>
        <v>12.228278701436274</v>
      </c>
      <c r="T68">
        <f>L68/N68</f>
        <v>37.152974504249286</v>
      </c>
    </row>
    <row r="69" spans="1:20" x14ac:dyDescent="0.25">
      <c r="A69" t="s">
        <v>744</v>
      </c>
      <c r="B69" t="s">
        <v>159</v>
      </c>
      <c r="C69" s="4">
        <v>0.12521199999999999</v>
      </c>
      <c r="D69" s="4">
        <v>0.24</v>
      </c>
      <c r="E69" s="4">
        <v>9.9211999999999995E-2</v>
      </c>
      <c r="F69" s="4">
        <v>0.44800000000000001</v>
      </c>
      <c r="G69">
        <v>4.2399999999999998E-3</v>
      </c>
      <c r="H69">
        <f>VLOOKUP(A69,DB!A:I,2,FALSE)</f>
        <v>3000000</v>
      </c>
      <c r="I69">
        <f>VLOOKUP(A69,'RE@CD'!A:D,2,FALSE)</f>
        <v>800000</v>
      </c>
      <c r="J69">
        <f>VLOOKUP(A69,'RE@CD'!A:D,3,FALSE)</f>
        <v>450000</v>
      </c>
      <c r="K69">
        <f>VLOOKUP(A69,'RE@CD'!A:D,4,FALSE)</f>
        <v>450000</v>
      </c>
      <c r="L69">
        <f>VLOOKUP(A69,DB!A:I,3,FALSE)</f>
        <v>1.1186</v>
      </c>
      <c r="M69">
        <f>VLOOKUP(A69,DB!A:I,4,FALSE)</f>
        <v>-0.2389</v>
      </c>
      <c r="N69">
        <f>VLOOKUP(A69,DB!A:I,5,FALSE)</f>
        <v>7.0499999999999998E-3</v>
      </c>
      <c r="O69">
        <f>VLOOKUP(A69,DB!A:I,6,FALSE)</f>
        <v>5.13E-3</v>
      </c>
      <c r="P69">
        <f>VLOOKUP(A69,DB!A:I,7,FALSE)</f>
        <v>1.92E-3</v>
      </c>
      <c r="Q69">
        <f>VLOOKUP(A69,DB!A:I,8,FALSE)</f>
        <v>0.52800000000000002</v>
      </c>
      <c r="R69">
        <f>VLOOKUP(A69,DB!A:I,9,FALSE)</f>
        <v>7.2400000000000006E-2</v>
      </c>
      <c r="S69">
        <f>N69 *SQRT(H69)</f>
        <v>12.210958193360584</v>
      </c>
      <c r="T69">
        <f>L69/N69</f>
        <v>158.66666666666669</v>
      </c>
    </row>
    <row r="70" spans="1:20" x14ac:dyDescent="0.25">
      <c r="A70" t="s">
        <v>1049</v>
      </c>
      <c r="B70" t="s">
        <v>460</v>
      </c>
      <c r="C70" s="4">
        <v>0.13308200000000001</v>
      </c>
      <c r="D70" s="4">
        <v>0.22900000000000001</v>
      </c>
      <c r="E70" s="4">
        <v>4.0198999999999999E-2</v>
      </c>
      <c r="F70" s="4">
        <v>0.246</v>
      </c>
      <c r="G70">
        <v>4.5900000000000003E-3</v>
      </c>
      <c r="H70">
        <f>VLOOKUP(A70,DB!A:I,2,FALSE)</f>
        <v>3000000</v>
      </c>
      <c r="I70">
        <f>VLOOKUP(A70,'RE@CD'!A:D,2,FALSE)</f>
        <v>300000</v>
      </c>
      <c r="J70">
        <f>VLOOKUP(A70,'RE@CD'!A:D,3,FALSE)</f>
        <v>80000</v>
      </c>
      <c r="K70">
        <f>VLOOKUP(A70,'RE@CD'!A:D,4,FALSE)</f>
        <v>80000</v>
      </c>
      <c r="L70">
        <f>VLOOKUP(A70,DB!A:I,3,FALSE)</f>
        <v>0.26400000000000001</v>
      </c>
      <c r="M70">
        <f>VLOOKUP(A70,DB!A:I,4,FALSE)</f>
        <v>-1.61E-2</v>
      </c>
      <c r="N70">
        <f>VLOOKUP(A70,DB!A:I,5,FALSE)</f>
        <v>7.0499999999999998E-3</v>
      </c>
      <c r="O70">
        <f>VLOOKUP(A70,DB!A:I,6,FALSE)</f>
        <v>5.8900000000000003E-3</v>
      </c>
      <c r="P70">
        <f>VLOOKUP(A70,DB!A:I,7,FALSE)</f>
        <v>1.16E-3</v>
      </c>
      <c r="Q70">
        <f>VLOOKUP(A70,DB!A:I,8,FALSE)</f>
        <v>0.30719999999999997</v>
      </c>
      <c r="R70">
        <f>VLOOKUP(A70,DB!A:I,9,FALSE)</f>
        <v>0.13700000000000001</v>
      </c>
      <c r="S70">
        <f>N70 *SQRT(H70)</f>
        <v>12.210958193360584</v>
      </c>
      <c r="T70">
        <f>L70/N70</f>
        <v>37.446808510638299</v>
      </c>
    </row>
    <row r="71" spans="1:20" x14ac:dyDescent="0.25">
      <c r="A71" t="s">
        <v>666</v>
      </c>
      <c r="B71" t="s">
        <v>81</v>
      </c>
      <c r="C71" s="4">
        <v>0.17407500000000001</v>
      </c>
      <c r="D71" s="4">
        <v>0.221</v>
      </c>
      <c r="E71" s="4">
        <v>1.9792000000000001E-2</v>
      </c>
      <c r="F71" s="4">
        <v>0.33100000000000002</v>
      </c>
      <c r="G71">
        <v>1.354E-2</v>
      </c>
      <c r="H71">
        <f>VLOOKUP(A71,DB!A:I,2,FALSE)</f>
        <v>3000000</v>
      </c>
      <c r="I71">
        <f>VLOOKUP(A71,'RE@CD'!A:D,2,FALSE)</f>
        <v>625000</v>
      </c>
      <c r="J71">
        <f>VLOOKUP(A71,'RE@CD'!A:D,3,FALSE)</f>
        <v>125000</v>
      </c>
      <c r="K71">
        <f>VLOOKUP(A71,'RE@CD'!A:D,4,FALSE)</f>
        <v>100000</v>
      </c>
      <c r="L71">
        <f>VLOOKUP(A71,DB!A:I,3,FALSE)</f>
        <v>0.17680000000000001</v>
      </c>
      <c r="M71">
        <f>VLOOKUP(A71,DB!A:I,4,FALSE)</f>
        <v>-2.2100000000000002E-2</v>
      </c>
      <c r="N71">
        <f>VLOOKUP(A71,DB!A:I,5,FALSE)</f>
        <v>7.0400000000000003E-3</v>
      </c>
      <c r="O71">
        <f>VLOOKUP(A71,DB!A:I,6,FALSE)</f>
        <v>5.7299999999999999E-3</v>
      </c>
      <c r="P71">
        <f>VLOOKUP(A71,DB!A:I,7,FALSE)</f>
        <v>1.31E-3</v>
      </c>
      <c r="Q71">
        <f>VLOOKUP(A71,DB!A:I,8,FALSE)</f>
        <v>0.317</v>
      </c>
      <c r="R71">
        <f>VLOOKUP(A71,DB!A:I,9,FALSE)</f>
        <v>0.2477</v>
      </c>
      <c r="S71">
        <f>N71 *SQRT(H71)</f>
        <v>12.193637685284896</v>
      </c>
      <c r="T71">
        <f>L71/N71</f>
        <v>25.113636363636363</v>
      </c>
    </row>
    <row r="72" spans="1:20" x14ac:dyDescent="0.25">
      <c r="A72" t="s">
        <v>1050</v>
      </c>
      <c r="B72" t="s">
        <v>461</v>
      </c>
      <c r="C72" s="4">
        <v>0.13308200000000001</v>
      </c>
      <c r="D72" s="4">
        <v>0.221</v>
      </c>
      <c r="E72" s="4">
        <v>5.0959999999999998E-2</v>
      </c>
      <c r="F72" s="4">
        <v>0.32</v>
      </c>
      <c r="G72">
        <v>9.0699999999999999E-3</v>
      </c>
      <c r="H72">
        <f>VLOOKUP(A72,DB!A:I,2,FALSE)</f>
        <v>3000000</v>
      </c>
      <c r="I72">
        <f>VLOOKUP(A72,'RE@CD'!A:D,2,FALSE)</f>
        <v>450000</v>
      </c>
      <c r="J72">
        <f>VLOOKUP(A72,'RE@CD'!A:D,3,FALSE)</f>
        <v>90000</v>
      </c>
      <c r="K72">
        <f>VLOOKUP(A72,'RE@CD'!A:D,4,FALSE)</f>
        <v>80000</v>
      </c>
      <c r="L72">
        <f>VLOOKUP(A72,DB!A:I,3,FALSE)</f>
        <v>0.4647</v>
      </c>
      <c r="M72">
        <f>VLOOKUP(A72,DB!A:I,4,FALSE)</f>
        <v>-6.5100000000000005E-2</v>
      </c>
      <c r="N72">
        <f>VLOOKUP(A72,DB!A:I,5,FALSE)</f>
        <v>7.0299999999999998E-3</v>
      </c>
      <c r="O72">
        <f>VLOOKUP(A72,DB!A:I,6,FALSE)</f>
        <v>5.79E-3</v>
      </c>
      <c r="P72">
        <f>VLOOKUP(A72,DB!A:I,7,FALSE)</f>
        <v>1.25E-3</v>
      </c>
      <c r="Q72">
        <f>VLOOKUP(A72,DB!A:I,8,FALSE)</f>
        <v>0.31219999999999998</v>
      </c>
      <c r="R72">
        <f>VLOOKUP(A72,DB!A:I,9,FALSE)</f>
        <v>0.12740000000000001</v>
      </c>
      <c r="S72">
        <f>N72 *SQRT(H72)</f>
        <v>12.176317177209206</v>
      </c>
      <c r="T72">
        <f>L72/N72</f>
        <v>66.102418207681367</v>
      </c>
    </row>
    <row r="73" spans="1:20" x14ac:dyDescent="0.25">
      <c r="A73" t="s">
        <v>861</v>
      </c>
      <c r="B73" t="s">
        <v>276</v>
      </c>
      <c r="C73" s="4">
        <v>0.16186400000000001</v>
      </c>
      <c r="D73" s="4">
        <v>0.371</v>
      </c>
      <c r="E73" s="4">
        <v>4.9086999999999999E-2</v>
      </c>
      <c r="F73" s="4">
        <v>0.371</v>
      </c>
      <c r="G73">
        <v>1.035E-2</v>
      </c>
      <c r="H73">
        <f>VLOOKUP(A73,DB!A:I,2,FALSE)</f>
        <v>3000000</v>
      </c>
      <c r="I73">
        <f>VLOOKUP(A73,'RE@CD'!A:D,2,FALSE)</f>
        <v>825000</v>
      </c>
      <c r="J73">
        <f>VLOOKUP(A73,'RE@CD'!A:D,3,FALSE)</f>
        <v>525000</v>
      </c>
      <c r="K73">
        <f>VLOOKUP(A73,'RE@CD'!A:D,4,FALSE)</f>
        <v>525000</v>
      </c>
      <c r="L73">
        <f>VLOOKUP(A73,DB!A:I,3,FALSE)</f>
        <v>0.46750000000000003</v>
      </c>
      <c r="M73">
        <f>VLOOKUP(A73,DB!A:I,4,FALSE)</f>
        <v>-7.4800000000000005E-2</v>
      </c>
      <c r="N73">
        <f>VLOOKUP(A73,DB!A:I,5,FALSE)</f>
        <v>7.0000000000000001E-3</v>
      </c>
      <c r="O73">
        <f>VLOOKUP(A73,DB!A:I,6,FALSE)</f>
        <v>5.4900000000000001E-3</v>
      </c>
      <c r="P73">
        <f>VLOOKUP(A73,DB!A:I,7,FALSE)</f>
        <v>1.5100000000000001E-3</v>
      </c>
      <c r="Q73">
        <f>VLOOKUP(A73,DB!A:I,8,FALSE)</f>
        <v>0.53839999999999999</v>
      </c>
      <c r="R73">
        <f>VLOOKUP(A73,DB!A:I,9,FALSE)</f>
        <v>2.47E-2</v>
      </c>
      <c r="S73">
        <f>N73 *SQRT(H73)</f>
        <v>12.124355652982141</v>
      </c>
      <c r="T73">
        <f>L73/N73</f>
        <v>66.785714285714292</v>
      </c>
    </row>
    <row r="74" spans="1:20" x14ac:dyDescent="0.25">
      <c r="A74" t="s">
        <v>1040</v>
      </c>
      <c r="B74" t="s">
        <v>451</v>
      </c>
      <c r="C74" s="4">
        <v>9.1042999999999999E-2</v>
      </c>
      <c r="D74" s="4">
        <v>0.28199999999999997</v>
      </c>
      <c r="E74" s="4">
        <v>1.528E-2</v>
      </c>
      <c r="F74" s="4">
        <v>0.36899999999999999</v>
      </c>
      <c r="G74">
        <v>2.2000000000000001E-3</v>
      </c>
      <c r="H74">
        <f>VLOOKUP(A74,DB!A:I,2,FALSE)</f>
        <v>875000</v>
      </c>
      <c r="I74">
        <f>VLOOKUP(A74,'RE@CD'!A:D,2,FALSE)</f>
        <v>150000</v>
      </c>
      <c r="J74">
        <f>VLOOKUP(A74,'RE@CD'!A:D,3,FALSE)</f>
        <v>50000</v>
      </c>
      <c r="K74">
        <f>VLOOKUP(A74,'RE@CD'!A:D,4,FALSE)</f>
        <v>90000</v>
      </c>
      <c r="L74">
        <f>VLOOKUP(A74,DB!A:I,3,FALSE)</f>
        <v>7.4300000000000005E-2</v>
      </c>
      <c r="M74">
        <f>VLOOKUP(A74,DB!A:I,4,FALSE)</f>
        <v>-5.3E-3</v>
      </c>
      <c r="N74">
        <f>VLOOKUP(A74,DB!A:I,5,FALSE)</f>
        <v>4.6499999999999996E-3</v>
      </c>
      <c r="O74">
        <f>VLOOKUP(A74,DB!A:I,6,FALSE)</f>
        <v>3.7100000000000002E-3</v>
      </c>
      <c r="P74">
        <f>VLOOKUP(A74,DB!A:I,7,FALSE)</f>
        <v>9.3999999999999997E-4</v>
      </c>
      <c r="Q74">
        <f>VLOOKUP(A74,DB!A:I,8,FALSE)</f>
        <v>0.66449999999999998</v>
      </c>
      <c r="R74">
        <f>VLOOKUP(A74,DB!A:I,9,FALSE)</f>
        <v>0.88919999999999999</v>
      </c>
      <c r="S74">
        <f>N74 *SQRT(H74)</f>
        <v>4.3496767121247064</v>
      </c>
      <c r="T74">
        <f>L74/N74</f>
        <v>15.978494623655916</v>
      </c>
    </row>
    <row r="75" spans="1:20" x14ac:dyDescent="0.25">
      <c r="A75" t="s">
        <v>826</v>
      </c>
      <c r="B75" t="s">
        <v>241</v>
      </c>
      <c r="C75" s="4">
        <v>0.19753599999999999</v>
      </c>
      <c r="D75" s="4">
        <v>0.28599999999999998</v>
      </c>
      <c r="E75" s="4">
        <v>4.5762999999999998E-2</v>
      </c>
      <c r="F75" s="4">
        <v>0.54900000000000004</v>
      </c>
      <c r="G75">
        <v>1.6060000000000001E-2</v>
      </c>
      <c r="H75">
        <f>VLOOKUP(A75,DB!A:I,2,FALSE)</f>
        <v>3000000</v>
      </c>
      <c r="I75">
        <f>VLOOKUP(A75,'RE@CD'!A:D,2,FALSE)</f>
        <v>825000</v>
      </c>
      <c r="J75">
        <f>VLOOKUP(A75,'RE@CD'!A:D,3,FALSE)</f>
        <v>175000</v>
      </c>
      <c r="K75">
        <f>VLOOKUP(A75,'RE@CD'!A:D,4,FALSE)</f>
        <v>175000</v>
      </c>
      <c r="L75">
        <f>VLOOKUP(A75,DB!A:I,3,FALSE)</f>
        <v>0.7056</v>
      </c>
      <c r="M75">
        <f>VLOOKUP(A75,DB!A:I,4,FALSE)</f>
        <v>-0.1605</v>
      </c>
      <c r="N75">
        <f>VLOOKUP(A75,DB!A:I,5,FALSE)</f>
        <v>6.9300000000000004E-3</v>
      </c>
      <c r="O75">
        <f>VLOOKUP(A75,DB!A:I,6,FALSE)</f>
        <v>5.1200000000000004E-3</v>
      </c>
      <c r="P75">
        <f>VLOOKUP(A75,DB!A:I,7,FALSE)</f>
        <v>1.81E-3</v>
      </c>
      <c r="Q75">
        <f>VLOOKUP(A75,DB!A:I,8,FALSE)</f>
        <v>0.40870000000000001</v>
      </c>
      <c r="R75">
        <f>VLOOKUP(A75,DB!A:I,9,FALSE)</f>
        <v>0.38240000000000002</v>
      </c>
      <c r="S75">
        <f>N75 *SQRT(H75)</f>
        <v>12.00311209645232</v>
      </c>
      <c r="T75">
        <f>L75/N75</f>
        <v>101.81818181818181</v>
      </c>
    </row>
    <row r="76" spans="1:20" x14ac:dyDescent="0.25">
      <c r="A76" t="s">
        <v>838</v>
      </c>
      <c r="B76" t="s">
        <v>253</v>
      </c>
      <c r="C76" s="4">
        <v>0.203793</v>
      </c>
      <c r="D76" s="4">
        <v>0.29399999999999998</v>
      </c>
      <c r="E76" s="4">
        <v>4.6650999999999998E-2</v>
      </c>
      <c r="F76" s="4">
        <v>0.45100000000000001</v>
      </c>
      <c r="G76">
        <v>1.25E-3</v>
      </c>
      <c r="H76">
        <f>VLOOKUP(A76,DB!A:I,2,FALSE)</f>
        <v>3000000</v>
      </c>
      <c r="I76">
        <f>VLOOKUP(A76,'RE@CD'!A:D,2,FALSE)</f>
        <v>700000</v>
      </c>
      <c r="J76">
        <f>VLOOKUP(A76,'RE@CD'!A:D,3,FALSE)</f>
        <v>150000</v>
      </c>
      <c r="K76">
        <f>VLOOKUP(A76,'RE@CD'!A:D,4,FALSE)</f>
        <v>150000</v>
      </c>
      <c r="L76">
        <f>VLOOKUP(A76,DB!A:I,3,FALSE)</f>
        <v>0.57620000000000005</v>
      </c>
      <c r="M76">
        <f>VLOOKUP(A76,DB!A:I,4,FALSE)</f>
        <v>-0.121</v>
      </c>
      <c r="N76">
        <f>VLOOKUP(A76,DB!A:I,5,FALSE)</f>
        <v>6.8300000000000001E-3</v>
      </c>
      <c r="O76">
        <f>VLOOKUP(A76,DB!A:I,6,FALSE)</f>
        <v>5.1399999999999996E-3</v>
      </c>
      <c r="P76">
        <f>VLOOKUP(A76,DB!A:I,7,FALSE)</f>
        <v>1.6900000000000001E-3</v>
      </c>
      <c r="Q76">
        <f>VLOOKUP(A76,DB!A:I,8,FALSE)</f>
        <v>0.40189999999999998</v>
      </c>
      <c r="R76">
        <f>VLOOKUP(A76,DB!A:I,9,FALSE)</f>
        <v>0.41510000000000002</v>
      </c>
      <c r="S76">
        <f>N76 *SQRT(H76)</f>
        <v>11.829907015695431</v>
      </c>
      <c r="T76">
        <f>L76/N76</f>
        <v>84.363103953147885</v>
      </c>
    </row>
    <row r="77" spans="1:20" x14ac:dyDescent="0.25">
      <c r="A77" t="s">
        <v>784</v>
      </c>
      <c r="B77" t="s">
        <v>199</v>
      </c>
      <c r="C77" s="4">
        <v>0.16900999999999999</v>
      </c>
      <c r="D77" s="4">
        <v>0.27900000000000003</v>
      </c>
      <c r="E77" s="4">
        <v>5.0987999999999999E-2</v>
      </c>
      <c r="F77" s="4">
        <v>0.49399999999999999</v>
      </c>
      <c r="G77">
        <v>1.3599999999999999E-2</v>
      </c>
      <c r="H77">
        <f>VLOOKUP(A77,DB!A:I,2,FALSE)</f>
        <v>3000000</v>
      </c>
      <c r="I77">
        <f>VLOOKUP(A77,'RE@CD'!A:D,2,FALSE)</f>
        <v>575000</v>
      </c>
      <c r="J77">
        <f>VLOOKUP(A77,'RE@CD'!A:D,3,FALSE)</f>
        <v>125000</v>
      </c>
      <c r="K77">
        <f>VLOOKUP(A77,'RE@CD'!A:D,4,FALSE)</f>
        <v>125000</v>
      </c>
      <c r="L77">
        <f>VLOOKUP(A77,DB!A:I,3,FALSE)</f>
        <v>0.71230000000000004</v>
      </c>
      <c r="M77">
        <f>VLOOKUP(A77,DB!A:I,4,FALSE)</f>
        <v>-0.1603</v>
      </c>
      <c r="N77">
        <f>VLOOKUP(A77,DB!A:I,5,FALSE)</f>
        <v>6.7400000000000003E-3</v>
      </c>
      <c r="O77">
        <f>VLOOKUP(A77,DB!A:I,6,FALSE)</f>
        <v>5.2199999999999998E-3</v>
      </c>
      <c r="P77">
        <f>VLOOKUP(A77,DB!A:I,7,FALSE)</f>
        <v>1.5200000000000001E-3</v>
      </c>
      <c r="Q77">
        <f>VLOOKUP(A77,DB!A:I,8,FALSE)</f>
        <v>0.42720000000000002</v>
      </c>
      <c r="R77">
        <f>VLOOKUP(A77,DB!A:I,9,FALSE)</f>
        <v>0.30320000000000003</v>
      </c>
      <c r="S77">
        <f>N77 *SQRT(H77)</f>
        <v>11.674022443014232</v>
      </c>
      <c r="T77">
        <f>L77/N77</f>
        <v>105.68249258160238</v>
      </c>
    </row>
    <row r="78" spans="1:20" x14ac:dyDescent="0.25">
      <c r="A78" t="s">
        <v>647</v>
      </c>
      <c r="B78" t="s">
        <v>62</v>
      </c>
      <c r="C78" s="4">
        <v>0.25679000000000002</v>
      </c>
      <c r="D78" s="4">
        <v>0.31</v>
      </c>
      <c r="E78" s="4">
        <v>2.0653000000000001E-2</v>
      </c>
      <c r="F78" s="4">
        <v>0.77800000000000002</v>
      </c>
      <c r="G78">
        <v>2.853E-2</v>
      </c>
      <c r="H78">
        <f>VLOOKUP(A78,DB!A:I,2,FALSE)</f>
        <v>3000000</v>
      </c>
      <c r="I78">
        <f>VLOOKUP(A78,'RE@CD'!A:D,2,FALSE)</f>
        <v>825000</v>
      </c>
      <c r="J78">
        <f>VLOOKUP(A78,'RE@CD'!A:D,3,FALSE)</f>
        <v>325000</v>
      </c>
      <c r="K78">
        <f>VLOOKUP(A78,'RE@CD'!A:D,4,FALSE)</f>
        <v>325000</v>
      </c>
      <c r="L78">
        <f>VLOOKUP(A78,DB!A:I,3,FALSE)</f>
        <v>0.38300000000000001</v>
      </c>
      <c r="M78">
        <f>VLOOKUP(A78,DB!A:I,4,FALSE)</f>
        <v>-0.1072</v>
      </c>
      <c r="N78">
        <f>VLOOKUP(A78,DB!A:I,5,FALSE)</f>
        <v>6.7000000000000002E-3</v>
      </c>
      <c r="O78">
        <f>VLOOKUP(A78,DB!A:I,6,FALSE)</f>
        <v>4.5999999999999999E-3</v>
      </c>
      <c r="P78">
        <f>VLOOKUP(A78,DB!A:I,7,FALSE)</f>
        <v>2.0999999999999999E-3</v>
      </c>
      <c r="Q78">
        <f>VLOOKUP(A78,DB!A:I,8,FALSE)</f>
        <v>0.47170000000000001</v>
      </c>
      <c r="R78">
        <f>VLOOKUP(A78,DB!A:I,9,FALSE)</f>
        <v>0.44259999999999999</v>
      </c>
      <c r="S78">
        <f>N78 *SQRT(H78)</f>
        <v>11.604740410711477</v>
      </c>
      <c r="T78">
        <f>L78/N78</f>
        <v>57.164179104477611</v>
      </c>
    </row>
    <row r="79" spans="1:20" x14ac:dyDescent="0.25">
      <c r="A79" t="s">
        <v>960</v>
      </c>
      <c r="B79" t="s">
        <v>371</v>
      </c>
      <c r="C79" s="4">
        <v>0.157802</v>
      </c>
      <c r="D79" s="4">
        <v>0.309</v>
      </c>
      <c r="E79" s="4">
        <v>3.4664E-2</v>
      </c>
      <c r="F79" s="4">
        <v>0.371</v>
      </c>
      <c r="G79">
        <v>2.8300000000000001E-3</v>
      </c>
      <c r="H79">
        <f>VLOOKUP(A79,DB!A:I,2,FALSE)</f>
        <v>2000000</v>
      </c>
      <c r="I79">
        <f>VLOOKUP(A79,'RE@CD'!A:D,2,FALSE)</f>
        <v>600000</v>
      </c>
      <c r="J79">
        <f>VLOOKUP(A79,'RE@CD'!A:D,3,FALSE)</f>
        <v>150000</v>
      </c>
      <c r="K79">
        <f>VLOOKUP(A79,'RE@CD'!A:D,4,FALSE)</f>
        <v>150000</v>
      </c>
      <c r="L79">
        <f>VLOOKUP(A79,DB!A:I,3,FALSE)</f>
        <v>0.46360000000000001</v>
      </c>
      <c r="M79">
        <f>VLOOKUP(A79,DB!A:I,4,FALSE)</f>
        <v>-9.4100000000000003E-2</v>
      </c>
      <c r="N79">
        <f>VLOOKUP(A79,DB!A:I,5,FALSE)</f>
        <v>6.6800000000000002E-3</v>
      </c>
      <c r="O79">
        <f>VLOOKUP(A79,DB!A:I,6,FALSE)</f>
        <v>5.5999999999999999E-3</v>
      </c>
      <c r="P79">
        <f>VLOOKUP(A79,DB!A:I,7,FALSE)</f>
        <v>1.08E-3</v>
      </c>
      <c r="Q79">
        <f>VLOOKUP(A79,DB!A:I,8,FALSE)</f>
        <v>0.40839999999999999</v>
      </c>
      <c r="R79">
        <f>VLOOKUP(A79,DB!A:I,9,FALSE)</f>
        <v>0.4022</v>
      </c>
      <c r="S79">
        <f>N79 *SQRT(H79)</f>
        <v>9.4469465966522748</v>
      </c>
      <c r="T79">
        <f>L79/N79</f>
        <v>69.401197604790426</v>
      </c>
    </row>
    <row r="80" spans="1:20" x14ac:dyDescent="0.25">
      <c r="A80" t="s">
        <v>618</v>
      </c>
      <c r="B80" t="s">
        <v>33</v>
      </c>
      <c r="C80" s="4">
        <v>6.8553000000000003E-2</v>
      </c>
      <c r="D80" s="4">
        <v>0.2</v>
      </c>
      <c r="E80" s="4">
        <v>5.4156999999999997E-2</v>
      </c>
      <c r="F80" s="4">
        <v>0.4</v>
      </c>
      <c r="G80">
        <v>4.0699999999999998E-3</v>
      </c>
      <c r="H80">
        <f>VLOOKUP(A80,DB!A:I,2,FALSE)</f>
        <v>2600000</v>
      </c>
      <c r="I80">
        <f>VLOOKUP(A80,'RE@CD'!A:D,2,FALSE)</f>
        <v>250000</v>
      </c>
      <c r="J80">
        <f>VLOOKUP(A80,'RE@CD'!A:D,3,FALSE)</f>
        <v>225000</v>
      </c>
      <c r="K80">
        <f>VLOOKUP(A80,'RE@CD'!A:D,4,FALSE)</f>
        <v>225000</v>
      </c>
      <c r="L80">
        <f>VLOOKUP(A80,DB!A:I,3,FALSE)</f>
        <v>0.69179999999999997</v>
      </c>
      <c r="M80">
        <f>VLOOKUP(A80,DB!A:I,4,FALSE)</f>
        <v>-0.15110000000000001</v>
      </c>
      <c r="N80">
        <f>VLOOKUP(A80,DB!A:I,5,FALSE)</f>
        <v>6.6699999999999997E-3</v>
      </c>
      <c r="O80">
        <f>VLOOKUP(A80,DB!A:I,6,FALSE)</f>
        <v>5.4099999999999999E-3</v>
      </c>
      <c r="P80">
        <f>VLOOKUP(A80,DB!A:I,7,FALSE)</f>
        <v>1.2700000000000001E-3</v>
      </c>
      <c r="Q80">
        <f>VLOOKUP(A80,DB!A:I,8,FALSE)</f>
        <v>0.54890000000000005</v>
      </c>
      <c r="R80">
        <f>VLOOKUP(A80,DB!A:I,9,FALSE)</f>
        <v>1.7299999999999999E-2</v>
      </c>
      <c r="S80">
        <f>N80 *SQRT(H80)</f>
        <v>10.755051836230264</v>
      </c>
      <c r="T80">
        <f>L80/N80</f>
        <v>103.71814092953524</v>
      </c>
    </row>
    <row r="81" spans="1:20" x14ac:dyDescent="0.25">
      <c r="A81" t="s">
        <v>657</v>
      </c>
      <c r="B81" t="s">
        <v>72</v>
      </c>
      <c r="C81" s="4">
        <v>0.20919199999999999</v>
      </c>
      <c r="D81" s="4">
        <v>0.28599999999999998</v>
      </c>
      <c r="E81" s="4">
        <v>4.5952E-2</v>
      </c>
      <c r="F81" s="4">
        <v>0.36099999999999999</v>
      </c>
      <c r="G81">
        <v>1.4579999999999999E-2</v>
      </c>
      <c r="H81">
        <f>VLOOKUP(A81,DB!A:I,2,FALSE)</f>
        <v>3000000</v>
      </c>
      <c r="I81">
        <f>VLOOKUP(A81,'RE@CD'!A:D,2,FALSE)</f>
        <v>650000</v>
      </c>
      <c r="J81">
        <f>VLOOKUP(A81,'RE@CD'!A:D,3,FALSE)</f>
        <v>175000</v>
      </c>
      <c r="K81">
        <f>VLOOKUP(A81,'RE@CD'!A:D,4,FALSE)</f>
        <v>175000</v>
      </c>
      <c r="L81">
        <f>VLOOKUP(A81,DB!A:I,3,FALSE)</f>
        <v>0.40200000000000002</v>
      </c>
      <c r="M81">
        <f>VLOOKUP(A81,DB!A:I,4,FALSE)</f>
        <v>-6.3700000000000007E-2</v>
      </c>
      <c r="N81">
        <f>VLOOKUP(A81,DB!A:I,5,FALSE)</f>
        <v>6.6699999999999997E-3</v>
      </c>
      <c r="O81">
        <f>VLOOKUP(A81,DB!A:I,6,FALSE)</f>
        <v>5.13E-3</v>
      </c>
      <c r="P81">
        <f>VLOOKUP(A81,DB!A:I,7,FALSE)</f>
        <v>1.5399999999999999E-3</v>
      </c>
      <c r="Q81">
        <f>VLOOKUP(A81,DB!A:I,8,FALSE)</f>
        <v>0.43380000000000002</v>
      </c>
      <c r="R81">
        <f>VLOOKUP(A81,DB!A:I,9,FALSE)</f>
        <v>0.32850000000000001</v>
      </c>
      <c r="S81">
        <f>N81 *SQRT(H81)</f>
        <v>11.552778886484411</v>
      </c>
      <c r="T81">
        <f>L81/N81</f>
        <v>60.26986506746627</v>
      </c>
    </row>
    <row r="82" spans="1:20" x14ac:dyDescent="0.25">
      <c r="A82" t="s">
        <v>745</v>
      </c>
      <c r="B82" t="s">
        <v>160</v>
      </c>
      <c r="C82" s="4">
        <v>0.108478</v>
      </c>
      <c r="D82" s="4">
        <v>0.22900000000000001</v>
      </c>
      <c r="E82" s="4">
        <v>7.2570000000000004E-3</v>
      </c>
      <c r="F82" s="4">
        <v>0.41799999999999998</v>
      </c>
      <c r="G82">
        <v>1.14E-2</v>
      </c>
      <c r="H82">
        <f>VLOOKUP(A82,DB!A:I,2,FALSE)</f>
        <v>1250000</v>
      </c>
      <c r="I82">
        <f>VLOOKUP(A82,'RE@CD'!A:D,2,FALSE)</f>
        <v>175000</v>
      </c>
      <c r="J82">
        <f>VLOOKUP(A82,'RE@CD'!A:D,3,FALSE)</f>
        <v>50000</v>
      </c>
      <c r="K82">
        <f>VLOOKUP(A82,'RE@CD'!A:D,4,FALSE)</f>
        <v>50000</v>
      </c>
      <c r="L82">
        <f>VLOOKUP(A82,DB!A:I,3,FALSE)</f>
        <v>0.1055</v>
      </c>
      <c r="M82">
        <f>VLOOKUP(A82,DB!A:I,4,FALSE)</f>
        <v>-2.2700000000000001E-2</v>
      </c>
      <c r="N82">
        <f>VLOOKUP(A82,DB!A:I,5,FALSE)</f>
        <v>6.6699999999999997E-3</v>
      </c>
      <c r="O82">
        <f>VLOOKUP(A82,DB!A:I,6,FALSE)</f>
        <v>5.6800000000000002E-3</v>
      </c>
      <c r="P82">
        <f>VLOOKUP(A82,DB!A:I,7,FALSE)</f>
        <v>9.8999999999999999E-4</v>
      </c>
      <c r="Q82">
        <f>VLOOKUP(A82,DB!A:I,8,FALSE)</f>
        <v>0.45500000000000002</v>
      </c>
      <c r="R82">
        <f>VLOOKUP(A82,DB!A:I,9,FALSE)</f>
        <v>0.37980000000000003</v>
      </c>
      <c r="S82">
        <f>N82 *SQRT(H82)</f>
        <v>7.457286704961799</v>
      </c>
      <c r="T82">
        <f>L82/N82</f>
        <v>15.817091454272864</v>
      </c>
    </row>
    <row r="83" spans="1:20" x14ac:dyDescent="0.25">
      <c r="A83" t="s">
        <v>783</v>
      </c>
      <c r="B83" t="s">
        <v>198</v>
      </c>
      <c r="C83" s="4">
        <v>0.160717</v>
      </c>
      <c r="D83" s="4">
        <v>0.24</v>
      </c>
      <c r="E83" s="4">
        <v>4.8508999999999997E-2</v>
      </c>
      <c r="F83" s="4">
        <v>0.51100000000000001</v>
      </c>
      <c r="G83">
        <v>1.3100000000000001E-2</v>
      </c>
      <c r="H83">
        <f>VLOOKUP(A83,DB!A:I,2,FALSE)</f>
        <v>3000000</v>
      </c>
      <c r="I83">
        <f>VLOOKUP(A83,'RE@CD'!A:D,2,FALSE)</f>
        <v>500000</v>
      </c>
      <c r="J83">
        <f>VLOOKUP(A83,'RE@CD'!A:D,3,FALSE)</f>
        <v>100000</v>
      </c>
      <c r="K83">
        <f>VLOOKUP(A83,'RE@CD'!A:D,4,FALSE)</f>
        <v>125000</v>
      </c>
      <c r="L83">
        <f>VLOOKUP(A83,DB!A:I,3,FALSE)</f>
        <v>0.69889999999999997</v>
      </c>
      <c r="M83">
        <f>VLOOKUP(A83,DB!A:I,4,FALSE)</f>
        <v>-0.1636</v>
      </c>
      <c r="N83">
        <f>VLOOKUP(A83,DB!A:I,5,FALSE)</f>
        <v>6.62E-3</v>
      </c>
      <c r="O83">
        <f>VLOOKUP(A83,DB!A:I,6,FALSE)</f>
        <v>5.1999999999999998E-3</v>
      </c>
      <c r="P83">
        <f>VLOOKUP(A83,DB!A:I,7,FALSE)</f>
        <v>1.4300000000000001E-3</v>
      </c>
      <c r="Q83">
        <f>VLOOKUP(A83,DB!A:I,8,FALSE)</f>
        <v>0.4395</v>
      </c>
      <c r="R83">
        <f>VLOOKUP(A83,DB!A:I,9,FALSE)</f>
        <v>0.29349999999999998</v>
      </c>
      <c r="S83">
        <f>N83 *SQRT(H83)</f>
        <v>11.466176346105968</v>
      </c>
      <c r="T83">
        <f>L83/N83</f>
        <v>105.57401812688821</v>
      </c>
    </row>
    <row r="84" spans="1:20" x14ac:dyDescent="0.25">
      <c r="A84" t="s">
        <v>746</v>
      </c>
      <c r="B84" t="s">
        <v>161</v>
      </c>
      <c r="C84" s="4">
        <v>0.11172899999999999</v>
      </c>
      <c r="D84" s="4">
        <v>0.22700000000000001</v>
      </c>
      <c r="E84" s="4">
        <v>6.2620000000000002E-3</v>
      </c>
      <c r="F84" s="4">
        <v>0.50600000000000001</v>
      </c>
      <c r="G84">
        <v>1.0959999999999999E-2</v>
      </c>
      <c r="H84">
        <f>VLOOKUP(A84,DB!A:I,2,FALSE)</f>
        <v>3000000</v>
      </c>
      <c r="I84">
        <f>VLOOKUP(A84,'RE@CD'!A:D,2,FALSE)</f>
        <v>175000</v>
      </c>
      <c r="J84">
        <f>VLOOKUP(A84,'RE@CD'!A:D,3,FALSE)</f>
        <v>60000</v>
      </c>
      <c r="K84">
        <f>VLOOKUP(A84,'RE@CD'!A:D,4,FALSE)</f>
        <v>60000</v>
      </c>
      <c r="L84">
        <f>VLOOKUP(A84,DB!A:I,3,FALSE)</f>
        <v>8.2100000000000006E-2</v>
      </c>
      <c r="M84">
        <f>VLOOKUP(A84,DB!A:I,4,FALSE)</f>
        <v>-1.89E-2</v>
      </c>
      <c r="N84">
        <f>VLOOKUP(A84,DB!A:I,5,FALSE)</f>
        <v>6.5399999999999998E-3</v>
      </c>
      <c r="O84">
        <f>VLOOKUP(A84,DB!A:I,6,FALSE)</f>
        <v>5.7299999999999999E-3</v>
      </c>
      <c r="P84">
        <f>VLOOKUP(A84,DB!A:I,7,FALSE)</f>
        <v>8.0999999999999996E-4</v>
      </c>
      <c r="Q84">
        <f>VLOOKUP(A84,DB!A:I,8,FALSE)</f>
        <v>0.28249999999999997</v>
      </c>
      <c r="R84">
        <f>VLOOKUP(A84,DB!A:I,9,FALSE)</f>
        <v>0.2601</v>
      </c>
      <c r="S84">
        <f>N84 *SQRT(H84)</f>
        <v>11.327612281500457</v>
      </c>
      <c r="T84">
        <f>L84/N84</f>
        <v>12.553516819571866</v>
      </c>
    </row>
    <row r="85" spans="1:20" x14ac:dyDescent="0.25">
      <c r="A85" t="s">
        <v>628</v>
      </c>
      <c r="B85" t="s">
        <v>43</v>
      </c>
      <c r="C85" s="4">
        <v>0.13963200000000001</v>
      </c>
      <c r="D85" s="4">
        <v>0.309</v>
      </c>
      <c r="E85" s="4">
        <v>4.3124999999999997E-2</v>
      </c>
      <c r="F85" s="4">
        <v>0.33900000000000002</v>
      </c>
      <c r="G85">
        <v>1.209E-2</v>
      </c>
      <c r="H85">
        <f>VLOOKUP(A85,DB!A:I,2,FALSE)</f>
        <v>3000000</v>
      </c>
      <c r="I85">
        <f>VLOOKUP(A85,'RE@CD'!A:D,2,FALSE)</f>
        <v>425000</v>
      </c>
      <c r="J85">
        <f>VLOOKUP(A85,'RE@CD'!A:D,3,FALSE)</f>
        <v>150000</v>
      </c>
      <c r="K85">
        <f>VLOOKUP(A85,'RE@CD'!A:D,4,FALSE)</f>
        <v>150000</v>
      </c>
      <c r="L85">
        <f>VLOOKUP(A85,DB!A:I,3,FALSE)</f>
        <v>0.34660000000000002</v>
      </c>
      <c r="M85">
        <f>VLOOKUP(A85,DB!A:I,4,FALSE)</f>
        <v>-4.7199999999999999E-2</v>
      </c>
      <c r="N85">
        <f>VLOOKUP(A85,DB!A:I,5,FALSE)</f>
        <v>6.5300000000000002E-3</v>
      </c>
      <c r="O85">
        <f>VLOOKUP(A85,DB!A:I,6,FALSE)</f>
        <v>5.4999999999999997E-3</v>
      </c>
      <c r="P85">
        <f>VLOOKUP(A85,DB!A:I,7,FALSE)</f>
        <v>1.0300000000000001E-3</v>
      </c>
      <c r="Q85">
        <f>VLOOKUP(A85,DB!A:I,8,FALSE)</f>
        <v>0.46329999999999999</v>
      </c>
      <c r="R85">
        <f>VLOOKUP(A85,DB!A:I,9,FALSE)</f>
        <v>0.1171</v>
      </c>
      <c r="S85">
        <f>N85 *SQRT(H85)</f>
        <v>11.310291773424769</v>
      </c>
      <c r="T85">
        <f>L85/N85</f>
        <v>53.078101071975496</v>
      </c>
    </row>
    <row r="86" spans="1:20" x14ac:dyDescent="0.25">
      <c r="A86" t="s">
        <v>1009</v>
      </c>
      <c r="B86" t="s">
        <v>420</v>
      </c>
      <c r="C86" s="4">
        <v>0.169985</v>
      </c>
      <c r="D86" s="4">
        <v>0.27700000000000002</v>
      </c>
      <c r="E86" s="4">
        <v>3.0071000000000001E-2</v>
      </c>
      <c r="F86" s="4">
        <v>0.376</v>
      </c>
      <c r="G86">
        <v>7.9299999999999995E-3</v>
      </c>
      <c r="H86">
        <f>VLOOKUP(A86,DB!A:I,2,FALSE)</f>
        <v>3000000</v>
      </c>
      <c r="I86">
        <f>VLOOKUP(A86,'RE@CD'!A:D,2,FALSE)</f>
        <v>450000</v>
      </c>
      <c r="J86">
        <f>VLOOKUP(A86,'RE@CD'!A:D,3,FALSE)</f>
        <v>100000</v>
      </c>
      <c r="K86">
        <f>VLOOKUP(A86,'RE@CD'!A:D,4,FALSE)</f>
        <v>100000</v>
      </c>
      <c r="L86">
        <f>VLOOKUP(A86,DB!A:I,3,FALSE)</f>
        <v>0.33200000000000002</v>
      </c>
      <c r="M86">
        <f>VLOOKUP(A86,DB!A:I,4,FALSE)</f>
        <v>-6.0699999999999997E-2</v>
      </c>
      <c r="N86">
        <f>VLOOKUP(A86,DB!A:I,5,FALSE)</f>
        <v>6.5199999999999998E-3</v>
      </c>
      <c r="O86">
        <f>VLOOKUP(A86,DB!A:I,6,FALSE)</f>
        <v>5.3200000000000001E-3</v>
      </c>
      <c r="P86">
        <f>VLOOKUP(A86,DB!A:I,7,FALSE)</f>
        <v>1.1999999999999999E-3</v>
      </c>
      <c r="Q86">
        <f>VLOOKUP(A86,DB!A:I,8,FALSE)</f>
        <v>0.4083</v>
      </c>
      <c r="R86">
        <f>VLOOKUP(A86,DB!A:I,9,FALSE)</f>
        <v>0.29649999999999999</v>
      </c>
      <c r="S86">
        <f>N86 *SQRT(H86)</f>
        <v>11.292971265349079</v>
      </c>
      <c r="T86">
        <f>L86/N86</f>
        <v>50.920245398773012</v>
      </c>
    </row>
    <row r="87" spans="1:20" x14ac:dyDescent="0.25">
      <c r="A87" t="s">
        <v>782</v>
      </c>
      <c r="B87" t="s">
        <v>197</v>
      </c>
      <c r="C87" s="4">
        <v>0.16058</v>
      </c>
      <c r="D87" s="4">
        <v>0.248</v>
      </c>
      <c r="E87" s="4">
        <v>4.2223999999999998E-2</v>
      </c>
      <c r="F87" s="4">
        <v>0.502</v>
      </c>
      <c r="G87">
        <v>1.205E-2</v>
      </c>
      <c r="H87">
        <f>VLOOKUP(A87,DB!A:I,2,FALSE)</f>
        <v>3000000</v>
      </c>
      <c r="I87">
        <f>VLOOKUP(A87,'RE@CD'!A:D,2,FALSE)</f>
        <v>475000</v>
      </c>
      <c r="J87">
        <f>VLOOKUP(A87,'RE@CD'!A:D,3,FALSE)</f>
        <v>100000</v>
      </c>
      <c r="K87">
        <f>VLOOKUP(A87,'RE@CD'!A:D,4,FALSE)</f>
        <v>100000</v>
      </c>
      <c r="L87">
        <f>VLOOKUP(A87,DB!A:I,3,FALSE)</f>
        <v>0.60419999999999996</v>
      </c>
      <c r="M87">
        <f>VLOOKUP(A87,DB!A:I,4,FALSE)</f>
        <v>-0.13950000000000001</v>
      </c>
      <c r="N87">
        <f>VLOOKUP(A87,DB!A:I,5,FALSE)</f>
        <v>6.4999999999999997E-3</v>
      </c>
      <c r="O87">
        <f>VLOOKUP(A87,DB!A:I,6,FALSE)</f>
        <v>5.1999999999999998E-3</v>
      </c>
      <c r="P87">
        <f>VLOOKUP(A87,DB!A:I,7,FALSE)</f>
        <v>1.2999999999999999E-3</v>
      </c>
      <c r="Q87">
        <f>VLOOKUP(A87,DB!A:I,8,FALSE)</f>
        <v>0.42759999999999998</v>
      </c>
      <c r="R87">
        <f>VLOOKUP(A87,DB!A:I,9,FALSE)</f>
        <v>0.3145</v>
      </c>
      <c r="S87">
        <f>N87 *SQRT(H87)</f>
        <v>11.258330249197702</v>
      </c>
      <c r="T87">
        <f>L87/N87</f>
        <v>92.953846153846158</v>
      </c>
    </row>
    <row r="88" spans="1:20" x14ac:dyDescent="0.25">
      <c r="A88" t="s">
        <v>908</v>
      </c>
      <c r="B88" t="s">
        <v>322</v>
      </c>
      <c r="C88" s="4">
        <v>0.16011600000000001</v>
      </c>
      <c r="D88" s="4">
        <v>0.371</v>
      </c>
      <c r="E88" s="4">
        <v>8.2743999999999998E-2</v>
      </c>
      <c r="F88" s="4">
        <v>0.435</v>
      </c>
      <c r="G88">
        <v>5.7299999999999999E-3</v>
      </c>
      <c r="H88">
        <f>VLOOKUP(A88,DB!A:I,2,FALSE)</f>
        <v>3000000</v>
      </c>
      <c r="I88">
        <f>VLOOKUP(A88,'RE@CD'!A:D,2,FALSE)</f>
        <v>800000</v>
      </c>
      <c r="J88">
        <f>VLOOKUP(A88,'RE@CD'!A:D,3,FALSE)</f>
        <v>475000</v>
      </c>
      <c r="K88">
        <f>VLOOKUP(A88,'RE@CD'!A:D,4,FALSE)</f>
        <v>475000</v>
      </c>
      <c r="L88">
        <f>VLOOKUP(A88,DB!A:I,3,FALSE)</f>
        <v>0.94389999999999996</v>
      </c>
      <c r="M88">
        <f>VLOOKUP(A88,DB!A:I,4,FALSE)</f>
        <v>-0.19220000000000001</v>
      </c>
      <c r="N88">
        <f>VLOOKUP(A88,DB!A:I,5,FALSE)</f>
        <v>6.4900000000000001E-3</v>
      </c>
      <c r="O88">
        <f>VLOOKUP(A88,DB!A:I,6,FALSE)</f>
        <v>4.96E-3</v>
      </c>
      <c r="P88">
        <f>VLOOKUP(A88,DB!A:I,7,FALSE)</f>
        <v>1.5200000000000001E-3</v>
      </c>
      <c r="Q88">
        <f>VLOOKUP(A88,DB!A:I,8,FALSE)</f>
        <v>0.58040000000000003</v>
      </c>
      <c r="R88">
        <f>VLOOKUP(A88,DB!A:I,9,FALSE)</f>
        <v>8.4199999999999997E-2</v>
      </c>
      <c r="S88">
        <f>N88 *SQRT(H88)</f>
        <v>11.241009741122014</v>
      </c>
      <c r="T88">
        <f>L88/N88</f>
        <v>145.43913713405237</v>
      </c>
    </row>
    <row r="89" spans="1:20" x14ac:dyDescent="0.25">
      <c r="A89" t="s">
        <v>795</v>
      </c>
      <c r="B89" t="s">
        <v>210</v>
      </c>
      <c r="C89" s="4">
        <v>0.112974</v>
      </c>
      <c r="D89" s="4">
        <v>0.28399999999999997</v>
      </c>
      <c r="E89" s="4">
        <v>4.6690000000000002E-2</v>
      </c>
      <c r="F89" s="4">
        <v>0.32500000000000001</v>
      </c>
      <c r="G89">
        <v>1.9499999999999999E-3</v>
      </c>
      <c r="H89">
        <f>VLOOKUP(A89,DB!A:I,2,FALSE)</f>
        <v>3000000</v>
      </c>
      <c r="I89">
        <f>VLOOKUP(A89,'RE@CD'!A:D,2,FALSE)</f>
        <v>650000</v>
      </c>
      <c r="J89">
        <f>VLOOKUP(A89,'RE@CD'!A:D,3,FALSE)</f>
        <v>125000</v>
      </c>
      <c r="K89">
        <f>VLOOKUP(A89,'RE@CD'!A:D,4,FALSE)</f>
        <v>150000</v>
      </c>
      <c r="L89">
        <f>VLOOKUP(A89,DB!A:I,3,FALSE)</f>
        <v>0.30499999999999999</v>
      </c>
      <c r="M89">
        <f>VLOOKUP(A89,DB!A:I,4,FALSE)</f>
        <v>-3.1899999999999998E-2</v>
      </c>
      <c r="N89">
        <f>VLOOKUP(A89,DB!A:I,5,FALSE)</f>
        <v>6.4700000000000001E-3</v>
      </c>
      <c r="O89">
        <f>VLOOKUP(A89,DB!A:I,6,FALSE)</f>
        <v>5.5900000000000004E-3</v>
      </c>
      <c r="P89">
        <f>VLOOKUP(A89,DB!A:I,7,FALSE)</f>
        <v>8.8000000000000003E-4</v>
      </c>
      <c r="Q89">
        <f>VLOOKUP(A89,DB!A:I,8,FALSE)</f>
        <v>0.4047</v>
      </c>
      <c r="R89">
        <f>VLOOKUP(A89,DB!A:I,9,FALSE)</f>
        <v>0.1128</v>
      </c>
      <c r="S89">
        <f>N89 *SQRT(H89)</f>
        <v>11.206368724970636</v>
      </c>
      <c r="T89">
        <f>L89/N89</f>
        <v>47.140649149922716</v>
      </c>
    </row>
    <row r="90" spans="1:20" x14ac:dyDescent="0.25">
      <c r="A90" t="s">
        <v>619</v>
      </c>
      <c r="B90" t="s">
        <v>34</v>
      </c>
      <c r="C90" s="4">
        <v>5.9054000000000002E-2</v>
      </c>
      <c r="D90" s="4">
        <v>0.2</v>
      </c>
      <c r="E90" s="4">
        <v>6.1034999999999999E-2</v>
      </c>
      <c r="F90" s="4">
        <v>0.5</v>
      </c>
      <c r="G90">
        <v>4.7499999999999999E-3</v>
      </c>
      <c r="H90">
        <f>VLOOKUP(A90,DB!A:I,2,FALSE)</f>
        <v>2100000</v>
      </c>
      <c r="I90">
        <f>VLOOKUP(A90,'RE@CD'!A:D,2,FALSE)</f>
        <v>400000</v>
      </c>
      <c r="J90">
        <f>VLOOKUP(A90,'RE@CD'!A:D,3,FALSE)</f>
        <v>200000</v>
      </c>
      <c r="K90">
        <f>VLOOKUP(A90,'RE@CD'!A:D,4,FALSE)</f>
        <v>200000</v>
      </c>
      <c r="L90">
        <f>VLOOKUP(A90,DB!A:I,3,FALSE)</f>
        <v>0.87739999999999996</v>
      </c>
      <c r="M90">
        <f>VLOOKUP(A90,DB!A:I,4,FALSE)</f>
        <v>-0.20399999999999999</v>
      </c>
      <c r="N90">
        <f>VLOOKUP(A90,DB!A:I,5,FALSE)</f>
        <v>6.45E-3</v>
      </c>
      <c r="O90">
        <f>VLOOKUP(A90,DB!A:I,6,FALSE)</f>
        <v>4.5300000000000002E-3</v>
      </c>
      <c r="P90">
        <f>VLOOKUP(A90,DB!A:I,7,FALSE)</f>
        <v>1.92E-3</v>
      </c>
      <c r="Q90">
        <f>VLOOKUP(A90,DB!A:I,8,FALSE)</f>
        <v>0.74050000000000005</v>
      </c>
      <c r="R90">
        <f>VLOOKUP(A90,DB!A:I,9,FALSE)</f>
        <v>2.3699999999999999E-2</v>
      </c>
      <c r="S90">
        <f>N90 *SQRT(H90)</f>
        <v>9.3469380012921892</v>
      </c>
      <c r="T90">
        <f>L90/N90</f>
        <v>136.03100775193798</v>
      </c>
    </row>
    <row r="91" spans="1:20" x14ac:dyDescent="0.25">
      <c r="A91" t="s">
        <v>862</v>
      </c>
      <c r="B91" t="s">
        <v>277</v>
      </c>
      <c r="C91" s="4">
        <v>0.12609100000000001</v>
      </c>
      <c r="D91" s="4">
        <v>0.37</v>
      </c>
      <c r="E91" s="4">
        <v>4.3108E-2</v>
      </c>
      <c r="F91" s="4">
        <v>0.371</v>
      </c>
      <c r="G91">
        <v>5.9899999999999997E-3</v>
      </c>
      <c r="H91">
        <f>VLOOKUP(A91,DB!A:I,2,FALSE)</f>
        <v>3000000</v>
      </c>
      <c r="I91">
        <f>VLOOKUP(A91,'RE@CD'!A:D,2,FALSE)</f>
        <v>625000</v>
      </c>
      <c r="J91">
        <f>VLOOKUP(A91,'RE@CD'!A:D,3,FALSE)</f>
        <v>225000</v>
      </c>
      <c r="K91">
        <f>VLOOKUP(A91,'RE@CD'!A:D,4,FALSE)</f>
        <v>225000</v>
      </c>
      <c r="L91">
        <f>VLOOKUP(A91,DB!A:I,3,FALSE)</f>
        <v>0.2082</v>
      </c>
      <c r="M91">
        <f>VLOOKUP(A91,DB!A:I,4,FALSE)</f>
        <v>-8.8000000000000005E-3</v>
      </c>
      <c r="N91">
        <f>VLOOKUP(A91,DB!A:I,5,FALSE)</f>
        <v>6.43E-3</v>
      </c>
      <c r="O91">
        <f>VLOOKUP(A91,DB!A:I,6,FALSE)</f>
        <v>5.3899999999999998E-3</v>
      </c>
      <c r="P91">
        <f>VLOOKUP(A91,DB!A:I,7,FALSE)</f>
        <v>1.0300000000000001E-3</v>
      </c>
      <c r="Q91">
        <f>VLOOKUP(A91,DB!A:I,8,FALSE)</f>
        <v>0.52639999999999998</v>
      </c>
      <c r="R91">
        <f>VLOOKUP(A91,DB!A:I,9,FALSE)</f>
        <v>6.1400000000000003E-2</v>
      </c>
      <c r="S91">
        <f>N91 *SQRT(H91)</f>
        <v>11.13708669266788</v>
      </c>
      <c r="T91">
        <f>L91/N91</f>
        <v>32.379471228615863</v>
      </c>
    </row>
    <row r="92" spans="1:20" x14ac:dyDescent="0.25">
      <c r="A92" t="s">
        <v>1039</v>
      </c>
      <c r="B92" t="s">
        <v>450</v>
      </c>
      <c r="C92" s="4">
        <v>9.8526000000000002E-2</v>
      </c>
      <c r="D92" s="4">
        <v>0.26900000000000002</v>
      </c>
      <c r="E92" s="4">
        <v>1.7076999999999998E-2</v>
      </c>
      <c r="F92" s="4">
        <v>0.32100000000000001</v>
      </c>
      <c r="G92">
        <v>2.0699999999999998E-3</v>
      </c>
      <c r="H92">
        <f>VLOOKUP(A92,DB!A:I,2,FALSE)</f>
        <v>3000000</v>
      </c>
      <c r="I92">
        <f>VLOOKUP(A92,'RE@CD'!A:D,2,FALSE)</f>
        <v>175000</v>
      </c>
      <c r="J92">
        <f>VLOOKUP(A92,'RE@CD'!A:D,3,FALSE)</f>
        <v>60000</v>
      </c>
      <c r="K92">
        <f>VLOOKUP(A92,'RE@CD'!A:D,4,FALSE)</f>
        <v>60000</v>
      </c>
      <c r="L92">
        <f>VLOOKUP(A92,DB!A:I,3,FALSE)</f>
        <v>8.0699999999999994E-2</v>
      </c>
      <c r="M92">
        <f>VLOOKUP(A92,DB!A:I,4,FALSE)</f>
        <v>-4.0000000000000002E-4</v>
      </c>
      <c r="N92">
        <f>VLOOKUP(A92,DB!A:I,5,FALSE)</f>
        <v>6.43E-3</v>
      </c>
      <c r="O92">
        <f>VLOOKUP(A92,DB!A:I,6,FALSE)</f>
        <v>5.79E-3</v>
      </c>
      <c r="P92">
        <f>VLOOKUP(A92,DB!A:I,7,FALSE)</f>
        <v>6.4000000000000005E-4</v>
      </c>
      <c r="Q92">
        <f>VLOOKUP(A92,DB!A:I,8,FALSE)</f>
        <v>0.50009999999999999</v>
      </c>
      <c r="R92">
        <f>VLOOKUP(A92,DB!A:I,9,FALSE)</f>
        <v>8.0000000000000002E-3</v>
      </c>
      <c r="S92">
        <f>N92 *SQRT(H92)</f>
        <v>11.13708669266788</v>
      </c>
      <c r="T92">
        <f>L92/N92</f>
        <v>12.550544323483669</v>
      </c>
    </row>
    <row r="93" spans="1:20" x14ac:dyDescent="0.25">
      <c r="A93" t="s">
        <v>757</v>
      </c>
      <c r="B93" t="s">
        <v>172</v>
      </c>
      <c r="C93" s="4">
        <v>0.16567999999999999</v>
      </c>
      <c r="D93" s="4">
        <v>0.25700000000000001</v>
      </c>
      <c r="E93" s="4">
        <v>0</v>
      </c>
      <c r="F93" s="4">
        <v>8.3000000000000004E-2</v>
      </c>
      <c r="G93">
        <v>1.66E-2</v>
      </c>
      <c r="H93">
        <f>VLOOKUP(A93,DB!A:I,2,FALSE)</f>
        <v>3000000</v>
      </c>
      <c r="I93">
        <f>VLOOKUP(A93,'RE@CD'!A:D,2,FALSE)</f>
        <v>425000</v>
      </c>
      <c r="J93">
        <f>VLOOKUP(A93,'RE@CD'!A:D,3,FALSE)</f>
        <v>90000</v>
      </c>
      <c r="K93">
        <f>VLOOKUP(A93,'RE@CD'!A:D,4,FALSE)</f>
        <v>100000</v>
      </c>
      <c r="L93">
        <f>VLOOKUP(A93,DB!A:I,3,FALSE)</f>
        <v>0</v>
      </c>
      <c r="M93">
        <f>VLOOKUP(A93,DB!A:I,4,FALSE)</f>
        <v>0</v>
      </c>
      <c r="N93">
        <f>VLOOKUP(A93,DB!A:I,5,FALSE)</f>
        <v>6.4200000000000004E-3</v>
      </c>
      <c r="O93">
        <f>VLOOKUP(A93,DB!A:I,6,FALSE)</f>
        <v>5.3400000000000001E-3</v>
      </c>
      <c r="P93">
        <f>VLOOKUP(A93,DB!A:I,7,FALSE)</f>
        <v>1.07E-3</v>
      </c>
      <c r="Q93">
        <f>VLOOKUP(A93,DB!A:I,8,FALSE)</f>
        <v>0.35</v>
      </c>
      <c r="R93">
        <f>VLOOKUP(A93,DB!A:I,9,FALSE)</f>
        <v>0.34989999999999999</v>
      </c>
      <c r="S93">
        <f>N93 *SQRT(H93)</f>
        <v>11.119766184592192</v>
      </c>
      <c r="T93">
        <f>L93/N93</f>
        <v>0</v>
      </c>
    </row>
    <row r="94" spans="1:20" x14ac:dyDescent="0.25">
      <c r="A94" t="s">
        <v>669</v>
      </c>
      <c r="B94" t="s">
        <v>84</v>
      </c>
      <c r="C94" s="4">
        <v>0.18929199999999999</v>
      </c>
      <c r="D94" s="4">
        <v>0.29799999999999999</v>
      </c>
      <c r="E94" s="4">
        <v>4.3271999999999998E-2</v>
      </c>
      <c r="F94" s="4">
        <v>0.29599999999999999</v>
      </c>
      <c r="G94">
        <v>1.14E-2</v>
      </c>
      <c r="H94">
        <f>VLOOKUP(A94,DB!A:I,2,FALSE)</f>
        <v>3000000</v>
      </c>
      <c r="I94">
        <f>VLOOKUP(A94,'RE@CD'!A:D,2,FALSE)</f>
        <v>575000</v>
      </c>
      <c r="J94">
        <f>VLOOKUP(A94,'RE@CD'!A:D,3,FALSE)</f>
        <v>150000</v>
      </c>
      <c r="K94">
        <f>VLOOKUP(A94,'RE@CD'!A:D,4,FALSE)</f>
        <v>175000</v>
      </c>
      <c r="L94">
        <f>VLOOKUP(A94,DB!A:I,3,FALSE)</f>
        <v>0.5605</v>
      </c>
      <c r="M94">
        <f>VLOOKUP(A94,DB!A:I,4,FALSE)</f>
        <v>-0.1084</v>
      </c>
      <c r="N94">
        <f>VLOOKUP(A94,DB!A:I,5,FALSE)</f>
        <v>6.3800000000000003E-3</v>
      </c>
      <c r="O94">
        <f>VLOOKUP(A94,DB!A:I,6,FALSE)</f>
        <v>4.6699999999999997E-3</v>
      </c>
      <c r="P94">
        <f>VLOOKUP(A94,DB!A:I,7,FALSE)</f>
        <v>1.7099999999999999E-3</v>
      </c>
      <c r="Q94">
        <f>VLOOKUP(A94,DB!A:I,8,FALSE)</f>
        <v>0.37669999999999998</v>
      </c>
      <c r="R94">
        <f>VLOOKUP(A94,DB!A:I,9,FALSE)</f>
        <v>0.61299999999999999</v>
      </c>
      <c r="S94">
        <f>N94 *SQRT(H94)</f>
        <v>11.050484152289437</v>
      </c>
      <c r="T94">
        <f>L94/N94</f>
        <v>87.852664576802511</v>
      </c>
    </row>
    <row r="95" spans="1:20" x14ac:dyDescent="0.25">
      <c r="A95" t="s">
        <v>781</v>
      </c>
      <c r="B95" t="s">
        <v>196</v>
      </c>
      <c r="C95" s="4">
        <v>0.160356</v>
      </c>
      <c r="D95" s="4">
        <v>0.25900000000000001</v>
      </c>
      <c r="E95" s="4">
        <v>3.576E-2</v>
      </c>
      <c r="F95" s="4">
        <v>0.49299999999999999</v>
      </c>
      <c r="G95">
        <v>1.1730000000000001E-2</v>
      </c>
      <c r="H95">
        <f>VLOOKUP(A95,DB!A:I,2,FALSE)</f>
        <v>3000000</v>
      </c>
      <c r="I95">
        <f>VLOOKUP(A95,'RE@CD'!A:D,2,FALSE)</f>
        <v>450000</v>
      </c>
      <c r="J95">
        <f>VLOOKUP(A95,'RE@CD'!A:D,3,FALSE)</f>
        <v>100000</v>
      </c>
      <c r="K95">
        <f>VLOOKUP(A95,'RE@CD'!A:D,4,FALSE)</f>
        <v>100000</v>
      </c>
      <c r="L95">
        <f>VLOOKUP(A95,DB!A:I,3,FALSE)</f>
        <v>0.50129999999999997</v>
      </c>
      <c r="M95">
        <f>VLOOKUP(A95,DB!A:I,4,FALSE)</f>
        <v>-0.11360000000000001</v>
      </c>
      <c r="N95">
        <f>VLOOKUP(A95,DB!A:I,5,FALSE)</f>
        <v>6.3600000000000002E-3</v>
      </c>
      <c r="O95">
        <f>VLOOKUP(A95,DB!A:I,6,FALSE)</f>
        <v>5.1799999999999997E-3</v>
      </c>
      <c r="P95">
        <f>VLOOKUP(A95,DB!A:I,7,FALSE)</f>
        <v>1.1800000000000001E-3</v>
      </c>
      <c r="Q95">
        <f>VLOOKUP(A95,DB!A:I,8,FALSE)</f>
        <v>0.41820000000000002</v>
      </c>
      <c r="R95">
        <f>VLOOKUP(A95,DB!A:I,9,FALSE)</f>
        <v>0.33429999999999999</v>
      </c>
      <c r="S95">
        <f>N95 *SQRT(H95)</f>
        <v>11.015843136138059</v>
      </c>
      <c r="T95">
        <f>L95/N95</f>
        <v>78.820754716981128</v>
      </c>
    </row>
    <row r="96" spans="1:20" x14ac:dyDescent="0.25">
      <c r="A96" t="s">
        <v>658</v>
      </c>
      <c r="B96" t="s">
        <v>73</v>
      </c>
      <c r="C96" s="4">
        <v>0.14733299999999999</v>
      </c>
      <c r="D96" s="4">
        <v>0.28599999999999998</v>
      </c>
      <c r="E96" s="4">
        <v>3.8488000000000001E-2</v>
      </c>
      <c r="F96" s="4">
        <v>0.28599999999999998</v>
      </c>
      <c r="G96">
        <v>8.0499999999999999E-3</v>
      </c>
      <c r="H96">
        <f>VLOOKUP(A96,DB!A:I,2,FALSE)</f>
        <v>2400000</v>
      </c>
      <c r="I96">
        <f>VLOOKUP(A96,'RE@CD'!A:D,2,FALSE)</f>
        <v>275000</v>
      </c>
      <c r="J96">
        <f>VLOOKUP(A96,'RE@CD'!A:D,3,FALSE)</f>
        <v>90000</v>
      </c>
      <c r="K96">
        <f>VLOOKUP(A96,'RE@CD'!A:D,4,FALSE)</f>
        <v>90000</v>
      </c>
      <c r="L96">
        <f>VLOOKUP(A96,DB!A:I,3,FALSE)</f>
        <v>0.32440000000000002</v>
      </c>
      <c r="M96">
        <f>VLOOKUP(A96,DB!A:I,4,FALSE)</f>
        <v>-5.2699999999999997E-2</v>
      </c>
      <c r="N96">
        <f>VLOOKUP(A96,DB!A:I,5,FALSE)</f>
        <v>6.3499999999999997E-3</v>
      </c>
      <c r="O96">
        <f>VLOOKUP(A96,DB!A:I,6,FALSE)</f>
        <v>4.9100000000000003E-3</v>
      </c>
      <c r="P96">
        <f>VLOOKUP(A96,DB!A:I,7,FALSE)</f>
        <v>1.4400000000000001E-3</v>
      </c>
      <c r="Q96">
        <f>VLOOKUP(A96,DB!A:I,8,FALSE)</f>
        <v>0.34470000000000001</v>
      </c>
      <c r="R96">
        <f>VLOOKUP(A96,DB!A:I,9,FALSE)</f>
        <v>0.64270000000000005</v>
      </c>
      <c r="S96">
        <f>N96 *SQRT(H96)</f>
        <v>9.8373776993668383</v>
      </c>
      <c r="T96">
        <f>L96/N96</f>
        <v>51.086614173228355</v>
      </c>
    </row>
    <row r="97" spans="1:20" x14ac:dyDescent="0.25">
      <c r="A97" t="s">
        <v>843</v>
      </c>
      <c r="B97" t="s">
        <v>258</v>
      </c>
      <c r="C97" s="4">
        <v>7.9049999999999995E-2</v>
      </c>
      <c r="D97" s="4">
        <v>0.27300000000000002</v>
      </c>
      <c r="E97" s="4">
        <v>9.4929999999999997E-3</v>
      </c>
      <c r="F97" s="4">
        <v>0.34599999999999997</v>
      </c>
      <c r="G97">
        <v>2.2599999999999999E-3</v>
      </c>
      <c r="H97">
        <f>VLOOKUP(A97,DB!A:I,2,FALSE)</f>
        <v>950000</v>
      </c>
      <c r="I97">
        <f>VLOOKUP(A97,'RE@CD'!A:D,2,FALSE)</f>
        <v>150000</v>
      </c>
      <c r="J97">
        <f>VLOOKUP(A97,'RE@CD'!A:D,3,FALSE)</f>
        <v>50000</v>
      </c>
      <c r="K97">
        <f>VLOOKUP(A97,'RE@CD'!A:D,4,FALSE)</f>
        <v>70000</v>
      </c>
      <c r="L97">
        <f>VLOOKUP(A97,DB!A:I,3,FALSE)</f>
        <v>6.4000000000000001E-2</v>
      </c>
      <c r="M97">
        <f>VLOOKUP(A97,DB!A:I,4,FALSE)</f>
        <v>-1.2500000000000001E-2</v>
      </c>
      <c r="N97">
        <f>VLOOKUP(A97,DB!A:I,5,FALSE)</f>
        <v>4.5399999999999998E-3</v>
      </c>
      <c r="O97">
        <f>VLOOKUP(A97,DB!A:I,6,FALSE)</f>
        <v>3.79E-3</v>
      </c>
      <c r="P97">
        <f>VLOOKUP(A97,DB!A:I,7,FALSE)</f>
        <v>7.5000000000000002E-4</v>
      </c>
      <c r="Q97">
        <f>VLOOKUP(A97,DB!A:I,8,FALSE)</f>
        <v>0.64470000000000005</v>
      </c>
      <c r="R97">
        <f>VLOOKUP(A97,DB!A:I,9,FALSE)</f>
        <v>0.89580000000000004</v>
      </c>
      <c r="S97">
        <f>N97 *SQRT(H97)</f>
        <v>4.4250446325432691</v>
      </c>
      <c r="T97">
        <f>L97/N97</f>
        <v>14.096916299559473</v>
      </c>
    </row>
    <row r="98" spans="1:20" x14ac:dyDescent="0.25">
      <c r="A98" t="s">
        <v>896</v>
      </c>
      <c r="B98" t="s">
        <v>311</v>
      </c>
      <c r="C98" s="4">
        <v>0.170069</v>
      </c>
      <c r="D98" s="4">
        <v>0.40300000000000002</v>
      </c>
      <c r="E98" s="4">
        <v>4.9807999999999998E-2</v>
      </c>
      <c r="F98" s="4">
        <v>0.435</v>
      </c>
      <c r="G98">
        <v>1.5399999999999999E-3</v>
      </c>
      <c r="H98">
        <f>VLOOKUP(A98,DB!A:I,2,FALSE)</f>
        <v>1150000</v>
      </c>
      <c r="I98">
        <f>VLOOKUP(A98,'RE@CD'!A:D,2,FALSE)</f>
        <v>525000</v>
      </c>
      <c r="J98">
        <f>VLOOKUP(A98,'RE@CD'!A:D,3,FALSE)</f>
        <v>325000</v>
      </c>
      <c r="K98">
        <f>VLOOKUP(A98,'RE@CD'!A:D,4,FALSE)</f>
        <v>325000</v>
      </c>
      <c r="L98">
        <f>VLOOKUP(A98,DB!A:I,3,FALSE)</f>
        <v>0.51200000000000001</v>
      </c>
      <c r="M98">
        <f>VLOOKUP(A98,DB!A:I,4,FALSE)</f>
        <v>-0.1003</v>
      </c>
      <c r="N98">
        <f>VLOOKUP(A98,DB!A:I,5,FALSE)</f>
        <v>6.3499999999999997E-3</v>
      </c>
      <c r="O98">
        <f>VLOOKUP(A98,DB!A:I,6,FALSE)</f>
        <v>4.47E-3</v>
      </c>
      <c r="P98">
        <f>VLOOKUP(A98,DB!A:I,7,FALSE)</f>
        <v>1.8799999999999999E-3</v>
      </c>
      <c r="Q98">
        <f>VLOOKUP(A98,DB!A:I,8,FALSE)</f>
        <v>0.64890000000000003</v>
      </c>
      <c r="R98">
        <f>VLOOKUP(A98,DB!A:I,9,FALSE)</f>
        <v>0.68510000000000004</v>
      </c>
      <c r="S98">
        <f>N98 *SQRT(H98)</f>
        <v>6.8096163621748911</v>
      </c>
      <c r="T98">
        <f>L98/N98</f>
        <v>80.629921259842519</v>
      </c>
    </row>
    <row r="99" spans="1:20" x14ac:dyDescent="0.25">
      <c r="A99" t="s">
        <v>796</v>
      </c>
      <c r="B99" t="s">
        <v>211</v>
      </c>
      <c r="C99" s="4">
        <v>0.111413</v>
      </c>
      <c r="D99" s="4">
        <v>0.248</v>
      </c>
      <c r="E99" s="4">
        <v>4.5370000000000001E-2</v>
      </c>
      <c r="F99" s="4">
        <v>0.33</v>
      </c>
      <c r="G99">
        <v>2.0300000000000001E-3</v>
      </c>
      <c r="H99">
        <f>VLOOKUP(A99,DB!A:I,2,FALSE)</f>
        <v>3000000</v>
      </c>
      <c r="I99">
        <f>VLOOKUP(A99,'RE@CD'!A:D,2,FALSE)</f>
        <v>450000</v>
      </c>
      <c r="J99">
        <f>VLOOKUP(A99,'RE@CD'!A:D,3,FALSE)</f>
        <v>100000</v>
      </c>
      <c r="K99">
        <f>VLOOKUP(A99,'RE@CD'!A:D,4,FALSE)</f>
        <v>100000</v>
      </c>
      <c r="L99">
        <f>VLOOKUP(A99,DB!A:I,3,FALSE)</f>
        <v>0.32179999999999997</v>
      </c>
      <c r="M99">
        <f>VLOOKUP(A99,DB!A:I,4,FALSE)</f>
        <v>-3.9E-2</v>
      </c>
      <c r="N99">
        <f>VLOOKUP(A99,DB!A:I,5,FALSE)</f>
        <v>6.2899999999999996E-3</v>
      </c>
      <c r="O99">
        <f>VLOOKUP(A99,DB!A:I,6,FALSE)</f>
        <v>5.4799999999999996E-3</v>
      </c>
      <c r="P99">
        <f>VLOOKUP(A99,DB!A:I,7,FALSE)</f>
        <v>8.0999999999999996E-4</v>
      </c>
      <c r="Q99">
        <f>VLOOKUP(A99,DB!A:I,8,FALSE)</f>
        <v>0.43380000000000002</v>
      </c>
      <c r="R99">
        <f>VLOOKUP(A99,DB!A:I,9,FALSE)</f>
        <v>0.1183</v>
      </c>
      <c r="S99">
        <f>N99 *SQRT(H99)</f>
        <v>10.894599579608236</v>
      </c>
      <c r="T99">
        <f>L99/N99</f>
        <v>51.160572337042922</v>
      </c>
    </row>
    <row r="100" spans="1:20" x14ac:dyDescent="0.25">
      <c r="A100" t="s">
        <v>827</v>
      </c>
      <c r="B100" t="s">
        <v>242</v>
      </c>
      <c r="C100" s="4">
        <v>0.15645200000000001</v>
      </c>
      <c r="D100" s="4">
        <v>0.26700000000000002</v>
      </c>
      <c r="E100" s="4">
        <v>4.0459000000000002E-2</v>
      </c>
      <c r="F100" s="4">
        <v>0.45900000000000002</v>
      </c>
      <c r="G100">
        <v>1.2529999999999999E-2</v>
      </c>
      <c r="H100">
        <f>VLOOKUP(A100,DB!A:I,2,FALSE)</f>
        <v>3000000</v>
      </c>
      <c r="I100">
        <f>VLOOKUP(A100,'RE@CD'!A:D,2,FALSE)</f>
        <v>400000</v>
      </c>
      <c r="J100">
        <f>VLOOKUP(A100,'RE@CD'!A:D,3,FALSE)</f>
        <v>100000</v>
      </c>
      <c r="K100">
        <f>VLOOKUP(A100,'RE@CD'!A:D,4,FALSE)</f>
        <v>100000</v>
      </c>
      <c r="L100">
        <f>VLOOKUP(A100,DB!A:I,3,FALSE)</f>
        <v>0.56930000000000003</v>
      </c>
      <c r="M100">
        <f>VLOOKUP(A100,DB!A:I,4,FALSE)</f>
        <v>-0.12280000000000001</v>
      </c>
      <c r="N100">
        <f>VLOOKUP(A100,DB!A:I,5,FALSE)</f>
        <v>6.2899999999999996E-3</v>
      </c>
      <c r="O100">
        <f>VLOOKUP(A100,DB!A:I,6,FALSE)</f>
        <v>5.0600000000000003E-3</v>
      </c>
      <c r="P100">
        <f>VLOOKUP(A100,DB!A:I,7,FALSE)</f>
        <v>1.23E-3</v>
      </c>
      <c r="Q100">
        <f>VLOOKUP(A100,DB!A:I,8,FALSE)</f>
        <v>0.4214</v>
      </c>
      <c r="R100">
        <f>VLOOKUP(A100,DB!A:I,9,FALSE)</f>
        <v>0.36520000000000002</v>
      </c>
      <c r="S100">
        <f>N100 *SQRT(H100)</f>
        <v>10.894599579608236</v>
      </c>
      <c r="T100">
        <f>L100/N100</f>
        <v>90.508744038155811</v>
      </c>
    </row>
    <row r="101" spans="1:20" x14ac:dyDescent="0.25">
      <c r="A101" t="s">
        <v>668</v>
      </c>
      <c r="B101" t="s">
        <v>83</v>
      </c>
      <c r="C101" s="4">
        <v>0.17457700000000001</v>
      </c>
      <c r="D101" s="4">
        <v>0.29599999999999999</v>
      </c>
      <c r="E101" s="4">
        <v>3.6156000000000001E-2</v>
      </c>
      <c r="F101" s="4">
        <v>0.26600000000000001</v>
      </c>
      <c r="G101">
        <v>9.4000000000000004E-3</v>
      </c>
      <c r="H101">
        <f>VLOOKUP(A101,DB!A:I,2,FALSE)</f>
        <v>3000000</v>
      </c>
      <c r="I101">
        <f>VLOOKUP(A101,'RE@CD'!A:D,2,FALSE)</f>
        <v>525000</v>
      </c>
      <c r="J101">
        <f>VLOOKUP(A101,'RE@CD'!A:D,3,FALSE)</f>
        <v>100000</v>
      </c>
      <c r="K101">
        <f>VLOOKUP(A101,'RE@CD'!A:D,4,FALSE)</f>
        <v>125000</v>
      </c>
      <c r="L101">
        <f>VLOOKUP(A101,DB!A:I,3,FALSE)</f>
        <v>0.37880000000000003</v>
      </c>
      <c r="M101">
        <f>VLOOKUP(A101,DB!A:I,4,FALSE)</f>
        <v>-6.25E-2</v>
      </c>
      <c r="N101">
        <f>VLOOKUP(A101,DB!A:I,5,FALSE)</f>
        <v>6.1900000000000002E-3</v>
      </c>
      <c r="O101">
        <f>VLOOKUP(A101,DB!A:I,6,FALSE)</f>
        <v>4.79E-3</v>
      </c>
      <c r="P101">
        <f>VLOOKUP(A101,DB!A:I,7,FALSE)</f>
        <v>1.41E-3</v>
      </c>
      <c r="Q101">
        <f>VLOOKUP(A101,DB!A:I,8,FALSE)</f>
        <v>0.3579</v>
      </c>
      <c r="R101">
        <f>VLOOKUP(A101,DB!A:I,9,FALSE)</f>
        <v>0.58789999999999998</v>
      </c>
      <c r="S101">
        <f>N101 *SQRT(H101)</f>
        <v>10.72139449885135</v>
      </c>
      <c r="T101">
        <f>L101/N101</f>
        <v>61.195476575121162</v>
      </c>
    </row>
    <row r="102" spans="1:20" x14ac:dyDescent="0.25">
      <c r="A102" t="s">
        <v>715</v>
      </c>
      <c r="B102" t="s">
        <v>130</v>
      </c>
      <c r="C102" s="4">
        <v>0.13325899999999999</v>
      </c>
      <c r="D102" s="4">
        <v>0.311</v>
      </c>
      <c r="E102" s="4">
        <v>3.7263999999999999E-2</v>
      </c>
      <c r="F102" s="4">
        <v>0.24299999999999999</v>
      </c>
      <c r="G102">
        <v>4.4999999999999999E-4</v>
      </c>
      <c r="H102">
        <f>VLOOKUP(A102,DB!A:I,2,FALSE)</f>
        <v>1150000</v>
      </c>
      <c r="I102">
        <f>VLOOKUP(A102,'RE@CD'!A:D,2,FALSE)</f>
        <v>450000</v>
      </c>
      <c r="J102">
        <f>VLOOKUP(A102,'RE@CD'!A:D,3,FALSE)</f>
        <v>90000</v>
      </c>
      <c r="K102">
        <f>VLOOKUP(A102,'RE@CD'!A:D,4,FALSE)</f>
        <v>100000</v>
      </c>
      <c r="L102">
        <f>VLOOKUP(A102,DB!A:I,3,FALSE)</f>
        <v>0.21540000000000001</v>
      </c>
      <c r="M102">
        <f>VLOOKUP(A102,DB!A:I,4,FALSE)</f>
        <v>-1.06E-2</v>
      </c>
      <c r="N102">
        <f>VLOOKUP(A102,DB!A:I,5,FALSE)</f>
        <v>6.1599999999999997E-3</v>
      </c>
      <c r="O102">
        <f>VLOOKUP(A102,DB!A:I,6,FALSE)</f>
        <v>4.5399999999999998E-3</v>
      </c>
      <c r="P102">
        <f>VLOOKUP(A102,DB!A:I,7,FALSE)</f>
        <v>1.6199999999999999E-3</v>
      </c>
      <c r="Q102">
        <f>VLOOKUP(A102,DB!A:I,8,FALSE)</f>
        <v>0.41899999999999998</v>
      </c>
      <c r="R102">
        <f>VLOOKUP(A102,DB!A:I,9,FALSE)</f>
        <v>0.82420000000000004</v>
      </c>
      <c r="S102">
        <f>N102 *SQRT(H102)</f>
        <v>6.6058640615743824</v>
      </c>
      <c r="T102">
        <f>L102/N102</f>
        <v>34.967532467532472</v>
      </c>
    </row>
    <row r="103" spans="1:20" x14ac:dyDescent="0.25">
      <c r="A103" t="s">
        <v>929</v>
      </c>
      <c r="B103" t="s">
        <v>579</v>
      </c>
      <c r="C103" s="4">
        <v>0.16147800000000001</v>
      </c>
      <c r="D103" s="4">
        <v>0.33900000000000002</v>
      </c>
      <c r="E103" s="4">
        <v>6.0186000000000003E-2</v>
      </c>
      <c r="F103" s="4">
        <v>0.5</v>
      </c>
      <c r="G103">
        <v>1.2540000000000001E-2</v>
      </c>
      <c r="H103">
        <f>VLOOKUP(A103,DB!A:I,2,FALSE)</f>
        <v>3000000</v>
      </c>
      <c r="I103">
        <f>VLOOKUP(A103,'RE@CD'!A:D,2,FALSE)</f>
        <v>500000</v>
      </c>
      <c r="J103">
        <f>VLOOKUP(A103,'RE@CD'!A:D,3,FALSE)</f>
        <v>200000</v>
      </c>
      <c r="K103">
        <f>VLOOKUP(A103,'RE@CD'!A:D,4,FALSE)</f>
        <v>200000</v>
      </c>
      <c r="L103">
        <f>VLOOKUP(A103,DB!A:I,3,FALSE)</f>
        <v>0.82140000000000002</v>
      </c>
      <c r="M103">
        <f>VLOOKUP(A103,DB!A:I,4,FALSE)</f>
        <v>-0.1817</v>
      </c>
      <c r="N103">
        <f>VLOOKUP(A103,DB!A:I,5,FALSE)</f>
        <v>6.1599999999999997E-3</v>
      </c>
      <c r="O103">
        <f>VLOOKUP(A103,DB!A:I,6,FALSE)</f>
        <v>4.8999999999999998E-3</v>
      </c>
      <c r="P103">
        <f>VLOOKUP(A103,DB!A:I,7,FALSE)</f>
        <v>1.2600000000000001E-3</v>
      </c>
      <c r="Q103">
        <f>VLOOKUP(A103,DB!A:I,8,FALSE)</f>
        <v>0.61019999999999996</v>
      </c>
      <c r="R103">
        <f>VLOOKUP(A103,DB!A:I,9,FALSE)</f>
        <v>0.1017</v>
      </c>
      <c r="S103">
        <f>N103 *SQRT(H103)</f>
        <v>10.669432974624282</v>
      </c>
      <c r="T103">
        <f>L103/N103</f>
        <v>133.34415584415586</v>
      </c>
    </row>
    <row r="104" spans="1:20" x14ac:dyDescent="0.25">
      <c r="A104" t="s">
        <v>948</v>
      </c>
      <c r="B104" t="s">
        <v>359</v>
      </c>
      <c r="C104" s="4">
        <v>0.22645000000000001</v>
      </c>
      <c r="D104" s="4">
        <v>0.33900000000000002</v>
      </c>
      <c r="E104" s="4">
        <v>3.4382000000000003E-2</v>
      </c>
      <c r="F104" s="4">
        <v>0.40200000000000002</v>
      </c>
      <c r="G104">
        <v>2.486E-2</v>
      </c>
      <c r="H104">
        <f>VLOOKUP(A104,DB!A:I,2,FALSE)</f>
        <v>3000000</v>
      </c>
      <c r="I104">
        <f>VLOOKUP(A104,'RE@CD'!A:D,2,FALSE)</f>
        <v>475000</v>
      </c>
      <c r="J104">
        <f>VLOOKUP(A104,'RE@CD'!A:D,3,FALSE)</f>
        <v>175000</v>
      </c>
      <c r="K104">
        <f>VLOOKUP(A104,'RE@CD'!A:D,4,FALSE)</f>
        <v>175000</v>
      </c>
      <c r="L104">
        <f>VLOOKUP(A104,DB!A:I,3,FALSE)</f>
        <v>0.26350000000000001</v>
      </c>
      <c r="M104">
        <f>VLOOKUP(A104,DB!A:I,4,FALSE)</f>
        <v>-5.4699999999999999E-2</v>
      </c>
      <c r="N104">
        <f>VLOOKUP(A104,DB!A:I,5,FALSE)</f>
        <v>6.1399999999999996E-3</v>
      </c>
      <c r="O104">
        <f>VLOOKUP(A104,DB!A:I,6,FALSE)</f>
        <v>4.4600000000000004E-3</v>
      </c>
      <c r="P104">
        <f>VLOOKUP(A104,DB!A:I,7,FALSE)</f>
        <v>1.6800000000000001E-3</v>
      </c>
      <c r="Q104">
        <f>VLOOKUP(A104,DB!A:I,8,FALSE)</f>
        <v>0.51619999999999999</v>
      </c>
      <c r="R104">
        <f>VLOOKUP(A104,DB!A:I,9,FALSE)</f>
        <v>0.50209999999999999</v>
      </c>
      <c r="S104">
        <f>N104 *SQRT(H104)</f>
        <v>10.634791958472904</v>
      </c>
      <c r="T104">
        <f>L104/N104</f>
        <v>42.915309446254078</v>
      </c>
    </row>
    <row r="105" spans="1:20" x14ac:dyDescent="0.25">
      <c r="A105" t="s">
        <v>889</v>
      </c>
      <c r="B105" t="s">
        <v>304</v>
      </c>
      <c r="C105" s="4">
        <v>0.17516499999999999</v>
      </c>
      <c r="D105" s="4">
        <v>0.33900000000000002</v>
      </c>
      <c r="E105" s="4">
        <v>4.1140000000000003E-2</v>
      </c>
      <c r="F105" s="4">
        <v>0.40300000000000002</v>
      </c>
      <c r="G105">
        <v>2.5600000000000002E-3</v>
      </c>
      <c r="H105">
        <f>VLOOKUP(A105,DB!A:I,2,FALSE)</f>
        <v>3000000</v>
      </c>
      <c r="I105">
        <f>VLOOKUP(A105,'RE@CD'!A:D,2,FALSE)</f>
        <v>700000</v>
      </c>
      <c r="J105">
        <f>VLOOKUP(A105,'RE@CD'!A:D,3,FALSE)</f>
        <v>175000</v>
      </c>
      <c r="K105">
        <f>VLOOKUP(A105,'RE@CD'!A:D,4,FALSE)</f>
        <v>200000</v>
      </c>
      <c r="L105">
        <f>VLOOKUP(A105,DB!A:I,3,FALSE)</f>
        <v>0.50549999999999995</v>
      </c>
      <c r="M105">
        <f>VLOOKUP(A105,DB!A:I,4,FALSE)</f>
        <v>-0.10059999999999999</v>
      </c>
      <c r="N105">
        <f>VLOOKUP(A105,DB!A:I,5,FALSE)</f>
        <v>6.13E-3</v>
      </c>
      <c r="O105">
        <f>VLOOKUP(A105,DB!A:I,6,FALSE)</f>
        <v>4.8799999999999998E-3</v>
      </c>
      <c r="P105">
        <f>VLOOKUP(A105,DB!A:I,7,FALSE)</f>
        <v>1.25E-3</v>
      </c>
      <c r="Q105">
        <f>VLOOKUP(A105,DB!A:I,8,FALSE)</f>
        <v>0.43259999999999998</v>
      </c>
      <c r="R105">
        <f>VLOOKUP(A105,DB!A:I,9,FALSE)</f>
        <v>0.46610000000000001</v>
      </c>
      <c r="S105">
        <f>N105 *SQRT(H105)</f>
        <v>10.617471450397217</v>
      </c>
      <c r="T105">
        <f>L105/N105</f>
        <v>82.463295269168015</v>
      </c>
    </row>
    <row r="106" spans="1:20" x14ac:dyDescent="0.25">
      <c r="A106" t="s">
        <v>1015</v>
      </c>
      <c r="B106" t="s">
        <v>426</v>
      </c>
      <c r="C106" s="4">
        <v>0.14668900000000001</v>
      </c>
      <c r="D106" s="4">
        <v>0.29699999999999999</v>
      </c>
      <c r="E106" s="4">
        <v>6.8662000000000001E-2</v>
      </c>
      <c r="F106" s="4">
        <v>0.47699999999999998</v>
      </c>
      <c r="G106">
        <v>1.076E-2</v>
      </c>
      <c r="H106">
        <f>VLOOKUP(A106,DB!A:I,2,FALSE)</f>
        <v>3000000</v>
      </c>
      <c r="I106">
        <f>VLOOKUP(A106,'RE@CD'!A:D,2,FALSE)</f>
        <v>375000</v>
      </c>
      <c r="J106">
        <f>VLOOKUP(A106,'RE@CD'!A:D,3,FALSE)</f>
        <v>150000</v>
      </c>
      <c r="K106">
        <f>VLOOKUP(A106,'RE@CD'!A:D,4,FALSE)</f>
        <v>150000</v>
      </c>
      <c r="L106">
        <f>VLOOKUP(A106,DB!A:I,3,FALSE)</f>
        <v>0.91210000000000002</v>
      </c>
      <c r="M106">
        <f>VLOOKUP(A106,DB!A:I,4,FALSE)</f>
        <v>-0.19789999999999999</v>
      </c>
      <c r="N106">
        <f>VLOOKUP(A106,DB!A:I,5,FALSE)</f>
        <v>6.13E-3</v>
      </c>
      <c r="O106">
        <f>VLOOKUP(A106,DB!A:I,6,FALSE)</f>
        <v>4.6499999999999996E-3</v>
      </c>
      <c r="P106">
        <f>VLOOKUP(A106,DB!A:I,7,FALSE)</f>
        <v>1.47E-3</v>
      </c>
      <c r="Q106">
        <f>VLOOKUP(A106,DB!A:I,8,FALSE)</f>
        <v>0.54620000000000002</v>
      </c>
      <c r="R106">
        <f>VLOOKUP(A106,DB!A:I,9,FALSE)</f>
        <v>0.28070000000000001</v>
      </c>
      <c r="S106">
        <f>N106 *SQRT(H106)</f>
        <v>10.617471450397217</v>
      </c>
      <c r="T106">
        <f>L106/N106</f>
        <v>148.79282218597064</v>
      </c>
    </row>
    <row r="107" spans="1:20" x14ac:dyDescent="0.25">
      <c r="A107" t="s">
        <v>785</v>
      </c>
      <c r="B107" t="s">
        <v>200</v>
      </c>
      <c r="C107" s="4">
        <v>0.15040999999999999</v>
      </c>
      <c r="D107" s="4">
        <v>0.27600000000000002</v>
      </c>
      <c r="E107" s="4">
        <v>3.8947000000000002E-2</v>
      </c>
      <c r="F107" s="4">
        <v>0.55800000000000005</v>
      </c>
      <c r="G107">
        <v>9.7400000000000004E-3</v>
      </c>
      <c r="H107">
        <f>VLOOKUP(A107,DB!A:I,2,FALSE)</f>
        <v>3000000</v>
      </c>
      <c r="I107">
        <f>VLOOKUP(A107,'RE@CD'!A:D,2,FALSE)</f>
        <v>375000</v>
      </c>
      <c r="J107">
        <f>VLOOKUP(A107,'RE@CD'!A:D,3,FALSE)</f>
        <v>90000</v>
      </c>
      <c r="K107">
        <f>VLOOKUP(A107,'RE@CD'!A:D,4,FALSE)</f>
        <v>125000</v>
      </c>
      <c r="L107">
        <f>VLOOKUP(A107,DB!A:I,3,FALSE)</f>
        <v>0.59370000000000001</v>
      </c>
      <c r="M107">
        <f>VLOOKUP(A107,DB!A:I,4,FALSE)</f>
        <v>-0.14199999999999999</v>
      </c>
      <c r="N107">
        <f>VLOOKUP(A107,DB!A:I,5,FALSE)</f>
        <v>6.1199999999999996E-3</v>
      </c>
      <c r="O107">
        <f>VLOOKUP(A107,DB!A:I,6,FALSE)</f>
        <v>4.96E-3</v>
      </c>
      <c r="P107">
        <f>VLOOKUP(A107,DB!A:I,7,FALSE)</f>
        <v>1.16E-3</v>
      </c>
      <c r="Q107">
        <f>VLOOKUP(A107,DB!A:I,8,FALSE)</f>
        <v>0.46079999999999999</v>
      </c>
      <c r="R107">
        <f>VLOOKUP(A107,DB!A:I,9,FALSE)</f>
        <v>0.36049999999999999</v>
      </c>
      <c r="S107">
        <f>N107 *SQRT(H107)</f>
        <v>10.600150942321529</v>
      </c>
      <c r="T107">
        <f>L107/N107</f>
        <v>97.009803921568633</v>
      </c>
    </row>
    <row r="108" spans="1:20" x14ac:dyDescent="0.25">
      <c r="A108" t="s">
        <v>777</v>
      </c>
      <c r="B108" t="s">
        <v>192</v>
      </c>
      <c r="C108" s="4">
        <v>0.182642</v>
      </c>
      <c r="D108" s="4">
        <v>0.318</v>
      </c>
      <c r="E108" s="4">
        <v>2.6623000000000001E-2</v>
      </c>
      <c r="F108" s="4">
        <v>0.56599999999999995</v>
      </c>
      <c r="G108">
        <v>5.2700000000000004E-3</v>
      </c>
      <c r="H108">
        <f>VLOOKUP(A108,DB!A:I,2,FALSE)</f>
        <v>3000000</v>
      </c>
      <c r="I108">
        <f>VLOOKUP(A108,'RE@CD'!A:D,2,FALSE)</f>
        <v>550000</v>
      </c>
      <c r="J108">
        <f>VLOOKUP(A108,'RE@CD'!A:D,3,FALSE)</f>
        <v>150000</v>
      </c>
      <c r="K108">
        <f>VLOOKUP(A108,'RE@CD'!A:D,4,FALSE)</f>
        <v>175000</v>
      </c>
      <c r="L108">
        <f>VLOOKUP(A108,DB!A:I,3,FALSE)</f>
        <v>0.45300000000000001</v>
      </c>
      <c r="M108">
        <f>VLOOKUP(A108,DB!A:I,4,FALSE)</f>
        <v>-9.9699999999999997E-2</v>
      </c>
      <c r="N108">
        <f>VLOOKUP(A108,DB!A:I,5,FALSE)</f>
        <v>6.11E-3</v>
      </c>
      <c r="O108">
        <f>VLOOKUP(A108,DB!A:I,6,FALSE)</f>
        <v>4.9300000000000004E-3</v>
      </c>
      <c r="P108">
        <f>VLOOKUP(A108,DB!A:I,7,FALSE)</f>
        <v>1.1800000000000001E-3</v>
      </c>
      <c r="Q108">
        <f>VLOOKUP(A108,DB!A:I,8,FALSE)</f>
        <v>0.43049999999999999</v>
      </c>
      <c r="R108">
        <f>VLOOKUP(A108,DB!A:I,9,FALSE)</f>
        <v>0.43020000000000003</v>
      </c>
      <c r="S108">
        <f>N108 *SQRT(H108)</f>
        <v>10.582830434245839</v>
      </c>
      <c r="T108">
        <f>L108/N108</f>
        <v>74.140752864157122</v>
      </c>
    </row>
    <row r="109" spans="1:20" x14ac:dyDescent="0.25">
      <c r="A109" t="s">
        <v>1114</v>
      </c>
      <c r="B109" t="s">
        <v>525</v>
      </c>
      <c r="C109" s="4">
        <v>9.4135999999999997E-2</v>
      </c>
      <c r="D109" s="4">
        <v>0.27700000000000002</v>
      </c>
      <c r="E109" s="4">
        <v>4.4853999999999998E-2</v>
      </c>
      <c r="F109" s="4">
        <v>0.40200000000000002</v>
      </c>
      <c r="G109">
        <v>4.4999999999999999E-4</v>
      </c>
      <c r="H109">
        <f>VLOOKUP(A109,DB!A:I,2,FALSE)</f>
        <v>2900000</v>
      </c>
      <c r="I109">
        <f>VLOOKUP(A109,'RE@CD'!A:D,2,FALSE)</f>
        <v>200000</v>
      </c>
      <c r="J109">
        <f>VLOOKUP(A109,'RE@CD'!A:D,3,FALSE)</f>
        <v>125000</v>
      </c>
      <c r="K109">
        <f>VLOOKUP(A109,'RE@CD'!A:D,4,FALSE)</f>
        <v>125000</v>
      </c>
      <c r="L109">
        <f>VLOOKUP(A109,DB!A:I,3,FALSE)</f>
        <v>0.48920000000000002</v>
      </c>
      <c r="M109">
        <f>VLOOKUP(A109,DB!A:I,4,FALSE)</f>
        <v>-9.4700000000000006E-2</v>
      </c>
      <c r="N109">
        <f>VLOOKUP(A109,DB!A:I,5,FALSE)</f>
        <v>6.11E-3</v>
      </c>
      <c r="O109">
        <f>VLOOKUP(A109,DB!A:I,6,FALSE)</f>
        <v>5.3299999999999997E-3</v>
      </c>
      <c r="P109">
        <f>VLOOKUP(A109,DB!A:I,7,FALSE)</f>
        <v>7.6999999999999996E-4</v>
      </c>
      <c r="Q109">
        <f>VLOOKUP(A109,DB!A:I,8,FALSE)</f>
        <v>0.53739999999999999</v>
      </c>
      <c r="R109">
        <f>VLOOKUP(A109,DB!A:I,9,FALSE)</f>
        <v>1.12E-2</v>
      </c>
      <c r="S109">
        <f>N109 *SQRT(H109)</f>
        <v>10.40495506958103</v>
      </c>
      <c r="T109">
        <f>L109/N109</f>
        <v>80.065466448445179</v>
      </c>
    </row>
    <row r="110" spans="1:20" x14ac:dyDescent="0.25">
      <c r="A110" t="s">
        <v>1111</v>
      </c>
      <c r="B110" t="s">
        <v>522</v>
      </c>
      <c r="C110" s="4">
        <v>9.7839999999999996E-2</v>
      </c>
      <c r="D110" s="4">
        <v>0.26100000000000001</v>
      </c>
      <c r="E110" s="4">
        <v>4.3668999999999999E-2</v>
      </c>
      <c r="F110" s="4">
        <v>0.379</v>
      </c>
      <c r="G110">
        <v>8.3800000000000003E-3</v>
      </c>
      <c r="H110">
        <f>VLOOKUP(A110,DB!A:I,2,FALSE)</f>
        <v>3000000</v>
      </c>
      <c r="I110">
        <f>VLOOKUP(A110,'RE@CD'!A:D,2,FALSE)</f>
        <v>200000</v>
      </c>
      <c r="J110">
        <f>VLOOKUP(A110,'RE@CD'!A:D,3,FALSE)</f>
        <v>70000</v>
      </c>
      <c r="K110">
        <f>VLOOKUP(A110,'RE@CD'!A:D,4,FALSE)</f>
        <v>80000</v>
      </c>
      <c r="L110">
        <f>VLOOKUP(A110,DB!A:I,3,FALSE)</f>
        <v>0.4667</v>
      </c>
      <c r="M110">
        <f>VLOOKUP(A110,DB!A:I,4,FALSE)</f>
        <v>-8.6900000000000005E-2</v>
      </c>
      <c r="N110">
        <f>VLOOKUP(A110,DB!A:I,5,FALSE)</f>
        <v>6.0899999999999999E-3</v>
      </c>
      <c r="O110">
        <f>VLOOKUP(A110,DB!A:I,6,FALSE)</f>
        <v>5.3299999999999997E-3</v>
      </c>
      <c r="P110">
        <f>VLOOKUP(A110,DB!A:I,7,FALSE)</f>
        <v>7.6999999999999996E-4</v>
      </c>
      <c r="Q110">
        <f>VLOOKUP(A110,DB!A:I,8,FALSE)</f>
        <v>0.4521</v>
      </c>
      <c r="R110">
        <f>VLOOKUP(A110,DB!A:I,9,FALSE)</f>
        <v>0.1154</v>
      </c>
      <c r="S110">
        <f>N110 *SQRT(H110)</f>
        <v>10.548189418094461</v>
      </c>
      <c r="T110">
        <f>L110/N110</f>
        <v>76.633825944170766</v>
      </c>
    </row>
    <row r="111" spans="1:20" x14ac:dyDescent="0.25">
      <c r="A111" t="s">
        <v>895</v>
      </c>
      <c r="B111" t="s">
        <v>310</v>
      </c>
      <c r="C111" s="4">
        <v>0.14983399999999999</v>
      </c>
      <c r="D111" s="4">
        <v>0.40300000000000002</v>
      </c>
      <c r="E111" s="4">
        <v>4.7757000000000001E-2</v>
      </c>
      <c r="F111" s="4">
        <v>0.435</v>
      </c>
      <c r="G111">
        <v>8.0000000000000004E-4</v>
      </c>
      <c r="H111">
        <f>VLOOKUP(A111,DB!A:I,2,FALSE)</f>
        <v>1250000</v>
      </c>
      <c r="I111">
        <f>VLOOKUP(A111,'RE@CD'!A:D,2,FALSE)</f>
        <v>475000</v>
      </c>
      <c r="J111">
        <f>VLOOKUP(A111,'RE@CD'!A:D,3,FALSE)</f>
        <v>325000</v>
      </c>
      <c r="K111">
        <f>VLOOKUP(A111,'RE@CD'!A:D,4,FALSE)</f>
        <v>325000</v>
      </c>
      <c r="L111">
        <f>VLOOKUP(A111,DB!A:I,3,FALSE)</f>
        <v>0.53190000000000004</v>
      </c>
      <c r="M111">
        <f>VLOOKUP(A111,DB!A:I,4,FALSE)</f>
        <v>-0.10780000000000001</v>
      </c>
      <c r="N111">
        <f>VLOOKUP(A111,DB!A:I,5,FALSE)</f>
        <v>6.0800000000000003E-3</v>
      </c>
      <c r="O111">
        <f>VLOOKUP(A111,DB!A:I,6,FALSE)</f>
        <v>4.5999999999999999E-3</v>
      </c>
      <c r="P111">
        <f>VLOOKUP(A111,DB!A:I,7,FALSE)</f>
        <v>1.48E-3</v>
      </c>
      <c r="Q111">
        <f>VLOOKUP(A111,DB!A:I,8,FALSE)</f>
        <v>0.65469999999999995</v>
      </c>
      <c r="R111">
        <f>VLOOKUP(A111,DB!A:I,9,FALSE)</f>
        <v>0.60150000000000003</v>
      </c>
      <c r="S111">
        <f>N111 *SQRT(H111)</f>
        <v>6.7976466515993614</v>
      </c>
      <c r="T111">
        <f>L111/N111</f>
        <v>87.483552631578945</v>
      </c>
    </row>
    <row r="112" spans="1:20" x14ac:dyDescent="0.25">
      <c r="A112" t="s">
        <v>875</v>
      </c>
      <c r="B112" t="s">
        <v>290</v>
      </c>
      <c r="C112" s="4">
        <v>0.14766000000000001</v>
      </c>
      <c r="D112" s="4">
        <v>0.33900000000000002</v>
      </c>
      <c r="E112" s="4">
        <v>3.0626E-2</v>
      </c>
      <c r="F112" s="4">
        <v>0.33900000000000002</v>
      </c>
      <c r="G112">
        <v>7.6000000000000004E-4</v>
      </c>
      <c r="H112">
        <f>VLOOKUP(A112,DB!A:I,2,FALSE)</f>
        <v>2300000</v>
      </c>
      <c r="I112">
        <f>VLOOKUP(A112,'RE@CD'!A:D,2,FALSE)</f>
        <v>450000</v>
      </c>
      <c r="J112">
        <f>VLOOKUP(A112,'RE@CD'!A:D,3,FALSE)</f>
        <v>125000</v>
      </c>
      <c r="K112">
        <f>VLOOKUP(A112,'RE@CD'!A:D,4,FALSE)</f>
        <v>150000</v>
      </c>
      <c r="L112">
        <f>VLOOKUP(A112,DB!A:I,3,FALSE)</f>
        <v>0.59850000000000003</v>
      </c>
      <c r="M112">
        <f>VLOOKUP(A112,DB!A:I,4,FALSE)</f>
        <v>-0.1331</v>
      </c>
      <c r="N112">
        <f>VLOOKUP(A112,DB!A:I,5,FALSE)</f>
        <v>6.0499999999999998E-3</v>
      </c>
      <c r="O112">
        <f>VLOOKUP(A112,DB!A:I,6,FALSE)</f>
        <v>4.8399999999999997E-3</v>
      </c>
      <c r="P112">
        <f>VLOOKUP(A112,DB!A:I,7,FALSE)</f>
        <v>1.2099999999999999E-3</v>
      </c>
      <c r="Q112">
        <f>VLOOKUP(A112,DB!A:I,8,FALSE)</f>
        <v>0.47089999999999999</v>
      </c>
      <c r="R112">
        <f>VLOOKUP(A112,DB!A:I,9,FALSE)</f>
        <v>0.52569999999999995</v>
      </c>
      <c r="S112">
        <f>N112 *SQRT(H112)</f>
        <v>9.1752792873023754</v>
      </c>
      <c r="T112">
        <f>L112/N112</f>
        <v>98.925619834710758</v>
      </c>
    </row>
    <row r="113" spans="1:20" x14ac:dyDescent="0.25">
      <c r="A113" t="s">
        <v>944</v>
      </c>
      <c r="B113" t="s">
        <v>355</v>
      </c>
      <c r="C113" s="4">
        <v>0.15164</v>
      </c>
      <c r="D113" s="4">
        <v>0.33900000000000002</v>
      </c>
      <c r="E113" s="4">
        <v>3.7733999999999997E-2</v>
      </c>
      <c r="F113" s="4">
        <v>0.371</v>
      </c>
      <c r="G113">
        <v>9.0799999999999995E-3</v>
      </c>
      <c r="H113">
        <f>VLOOKUP(A113,DB!A:I,2,FALSE)</f>
        <v>3000000</v>
      </c>
      <c r="I113">
        <f>VLOOKUP(A113,'RE@CD'!A:D,2,FALSE)</f>
        <v>300000</v>
      </c>
      <c r="J113">
        <f>VLOOKUP(A113,'RE@CD'!A:D,3,FALSE)</f>
        <v>125000</v>
      </c>
      <c r="K113">
        <f>VLOOKUP(A113,'RE@CD'!A:D,4,FALSE)</f>
        <v>125000</v>
      </c>
      <c r="L113">
        <f>VLOOKUP(A113,DB!A:I,3,FALSE)</f>
        <v>0.2974</v>
      </c>
      <c r="M113">
        <f>VLOOKUP(A113,DB!A:I,4,FALSE)</f>
        <v>-5.04E-2</v>
      </c>
      <c r="N113">
        <f>VLOOKUP(A113,DB!A:I,5,FALSE)</f>
        <v>6.0299999999999998E-3</v>
      </c>
      <c r="O113">
        <f>VLOOKUP(A113,DB!A:I,6,FALSE)</f>
        <v>5.0000000000000001E-3</v>
      </c>
      <c r="P113">
        <f>VLOOKUP(A113,DB!A:I,7,FALSE)</f>
        <v>1.0300000000000001E-3</v>
      </c>
      <c r="Q113">
        <f>VLOOKUP(A113,DB!A:I,8,FALSE)</f>
        <v>0.50349999999999995</v>
      </c>
      <c r="R113">
        <f>VLOOKUP(A113,DB!A:I,9,FALSE)</f>
        <v>0.30840000000000001</v>
      </c>
      <c r="S113">
        <f>N113 *SQRT(H113)</f>
        <v>10.44426636964033</v>
      </c>
      <c r="T113">
        <f>L113/N113</f>
        <v>49.320066334991708</v>
      </c>
    </row>
    <row r="114" spans="1:20" x14ac:dyDescent="0.25">
      <c r="A114" t="s">
        <v>1086</v>
      </c>
      <c r="B114" t="s">
        <v>497</v>
      </c>
      <c r="C114" s="4">
        <v>5.0608E-2</v>
      </c>
      <c r="D114" s="4">
        <v>0.14899999999999999</v>
      </c>
      <c r="E114" s="4">
        <v>6.1164999999999997E-2</v>
      </c>
      <c r="F114" s="4">
        <v>0.45100000000000001</v>
      </c>
      <c r="G114">
        <v>2.65E-3</v>
      </c>
      <c r="H114">
        <f>VLOOKUP(A114,DB!A:I,2,FALSE)</f>
        <v>2800000</v>
      </c>
      <c r="I114">
        <f>VLOOKUP(A114,'RE@CD'!A:D,2,FALSE)</f>
        <v>300000</v>
      </c>
      <c r="J114">
        <f>VLOOKUP(A114,'RE@CD'!A:D,3,FALSE)</f>
        <v>175000</v>
      </c>
      <c r="K114">
        <f>VLOOKUP(A114,'RE@CD'!A:D,4,FALSE)</f>
        <v>175000</v>
      </c>
      <c r="L114">
        <f>VLOOKUP(A114,DB!A:I,3,FALSE)</f>
        <v>0.6633</v>
      </c>
      <c r="M114">
        <f>VLOOKUP(A114,DB!A:I,4,FALSE)</f>
        <v>-0.1404</v>
      </c>
      <c r="N114">
        <f>VLOOKUP(A114,DB!A:I,5,FALSE)</f>
        <v>6.0200000000000002E-3</v>
      </c>
      <c r="O114">
        <f>VLOOKUP(A114,DB!A:I,6,FALSE)</f>
        <v>4.8999999999999998E-3</v>
      </c>
      <c r="P114">
        <f>VLOOKUP(A114,DB!A:I,7,FALSE)</f>
        <v>1.1299999999999999E-3</v>
      </c>
      <c r="Q114">
        <f>VLOOKUP(A114,DB!A:I,8,FALSE)</f>
        <v>0.58940000000000003</v>
      </c>
      <c r="R114">
        <f>VLOOKUP(A114,DB!A:I,9,FALSE)</f>
        <v>6.7000000000000002E-3</v>
      </c>
      <c r="S114">
        <f>N114 *SQRT(H114)</f>
        <v>10.073386719470269</v>
      </c>
      <c r="T114">
        <f>L114/N114</f>
        <v>110.1827242524917</v>
      </c>
    </row>
    <row r="115" spans="1:20" x14ac:dyDescent="0.25">
      <c r="A115" t="s">
        <v>718</v>
      </c>
      <c r="B115" t="s">
        <v>133</v>
      </c>
      <c r="C115" s="4">
        <v>0.14258999999999999</v>
      </c>
      <c r="D115" s="4">
        <v>0.318</v>
      </c>
      <c r="E115" s="4">
        <v>3.4855999999999998E-2</v>
      </c>
      <c r="F115" s="4">
        <v>0.23599999999999999</v>
      </c>
      <c r="G115">
        <v>3.2599999999999999E-3</v>
      </c>
      <c r="H115">
        <f>VLOOKUP(A115,DB!A:I,2,FALSE)</f>
        <v>1350000</v>
      </c>
      <c r="I115">
        <f>VLOOKUP(A115,'RE@CD'!A:D,2,FALSE)</f>
        <v>575000</v>
      </c>
      <c r="J115">
        <f>VLOOKUP(A115,'RE@CD'!A:D,3,FALSE)</f>
        <v>100000</v>
      </c>
      <c r="K115">
        <f>VLOOKUP(A115,'RE@CD'!A:D,4,FALSE)</f>
        <v>150000</v>
      </c>
      <c r="L115">
        <f>VLOOKUP(A115,DB!A:I,3,FALSE)</f>
        <v>0.13900000000000001</v>
      </c>
      <c r="M115">
        <f>VLOOKUP(A115,DB!A:I,4,FALSE)</f>
        <v>1.0699999999999999E-2</v>
      </c>
      <c r="N115">
        <f>VLOOKUP(A115,DB!A:I,5,FALSE)</f>
        <v>5.9899999999999997E-3</v>
      </c>
      <c r="O115">
        <f>VLOOKUP(A115,DB!A:I,6,FALSE)</f>
        <v>4.47E-3</v>
      </c>
      <c r="P115">
        <f>VLOOKUP(A115,DB!A:I,7,FALSE)</f>
        <v>1.5200000000000001E-3</v>
      </c>
      <c r="Q115">
        <f>VLOOKUP(A115,DB!A:I,8,FALSE)</f>
        <v>0.39229999999999998</v>
      </c>
      <c r="R115">
        <f>VLOOKUP(A115,DB!A:I,9,FALSE)</f>
        <v>0.8155</v>
      </c>
      <c r="S115">
        <f>N115 *SQRT(H115)</f>
        <v>6.9597510731347283</v>
      </c>
      <c r="T115">
        <f>L115/N115</f>
        <v>23.205342237061775</v>
      </c>
    </row>
    <row r="116" spans="1:20" x14ac:dyDescent="0.25">
      <c r="A116" t="s">
        <v>656</v>
      </c>
      <c r="B116" t="s">
        <v>71</v>
      </c>
      <c r="C116" s="4">
        <v>9.3825000000000006E-2</v>
      </c>
      <c r="D116" s="4">
        <v>0.307</v>
      </c>
      <c r="E116" s="4">
        <v>4.0305000000000001E-2</v>
      </c>
      <c r="F116" s="4">
        <v>0.44900000000000001</v>
      </c>
      <c r="G116">
        <v>3.1E-4</v>
      </c>
      <c r="H116">
        <f>VLOOKUP(A116,DB!A:I,2,FALSE)</f>
        <v>1050000</v>
      </c>
      <c r="I116">
        <f>VLOOKUP(A116,'RE@CD'!A:D,2,FALSE)</f>
        <v>225000</v>
      </c>
      <c r="J116">
        <f>VLOOKUP(A116,'RE@CD'!A:D,3,FALSE)</f>
        <v>100000</v>
      </c>
      <c r="K116">
        <f>VLOOKUP(A116,'RE@CD'!A:D,4,FALSE)</f>
        <v>100000</v>
      </c>
      <c r="L116">
        <f>VLOOKUP(A116,DB!A:I,3,FALSE)</f>
        <v>0.47460000000000002</v>
      </c>
      <c r="M116">
        <f>VLOOKUP(A116,DB!A:I,4,FALSE)</f>
        <v>-0.1028</v>
      </c>
      <c r="N116">
        <f>VLOOKUP(A116,DB!A:I,5,FALSE)</f>
        <v>5.9800000000000001E-3</v>
      </c>
      <c r="O116">
        <f>VLOOKUP(A116,DB!A:I,6,FALSE)</f>
        <v>5.0000000000000001E-3</v>
      </c>
      <c r="P116">
        <f>VLOOKUP(A116,DB!A:I,7,FALSE)</f>
        <v>9.7999999999999997E-4</v>
      </c>
      <c r="Q116">
        <f>VLOOKUP(A116,DB!A:I,8,FALSE)</f>
        <v>0.63729999999999998</v>
      </c>
      <c r="R116">
        <f>VLOOKUP(A116,DB!A:I,9,FALSE)</f>
        <v>0.50029999999999997</v>
      </c>
      <c r="S116">
        <f>N116 *SQRT(H116)</f>
        <v>6.1276765580438397</v>
      </c>
      <c r="T116">
        <f>L116/N116</f>
        <v>79.364548494983282</v>
      </c>
    </row>
    <row r="117" spans="1:20" x14ac:dyDescent="0.25">
      <c r="A117" t="s">
        <v>615</v>
      </c>
      <c r="B117" t="s">
        <v>30</v>
      </c>
      <c r="C117" s="4">
        <v>5.0590999999999997E-2</v>
      </c>
      <c r="D117" s="4">
        <v>0.22500000000000001</v>
      </c>
      <c r="E117" s="4">
        <v>1.3491E-2</v>
      </c>
      <c r="F117" s="4">
        <v>0.33</v>
      </c>
      <c r="G117">
        <v>3.63E-3</v>
      </c>
      <c r="H117">
        <f>VLOOKUP(A117,DB!A:I,2,FALSE)</f>
        <v>500000</v>
      </c>
      <c r="I117">
        <f>VLOOKUP(A117,'RE@CD'!A:D,2,FALSE)</f>
        <v>90000</v>
      </c>
      <c r="J117">
        <f>VLOOKUP(A117,'RE@CD'!A:D,3,FALSE)</f>
        <v>50000</v>
      </c>
      <c r="K117">
        <f>VLOOKUP(A117,'RE@CD'!A:D,4,FALSE)</f>
        <v>50000</v>
      </c>
      <c r="L117">
        <f>VLOOKUP(A117,DB!A:I,3,FALSE)</f>
        <v>2.3E-2</v>
      </c>
      <c r="M117">
        <f>VLOOKUP(A117,DB!A:I,4,FALSE)</f>
        <v>-2.01E-2</v>
      </c>
      <c r="N117">
        <f>VLOOKUP(A117,DB!A:I,5,FALSE)</f>
        <v>4.4099999999999999E-3</v>
      </c>
      <c r="O117">
        <f>VLOOKUP(A117,DB!A:I,6,FALSE)</f>
        <v>3.14E-3</v>
      </c>
      <c r="P117">
        <f>VLOOKUP(A117,DB!A:I,7,FALSE)</f>
        <v>1.2700000000000001E-3</v>
      </c>
      <c r="Q117">
        <f>VLOOKUP(A117,DB!A:I,8,FALSE)</f>
        <v>0.91759999999999997</v>
      </c>
      <c r="R117">
        <f>VLOOKUP(A117,DB!A:I,9,FALSE)</f>
        <v>0.8972</v>
      </c>
      <c r="S117">
        <f>N117 *SQRT(H117)</f>
        <v>3.1183409050326745</v>
      </c>
      <c r="T117">
        <f>L117/N117</f>
        <v>5.2154195011337867</v>
      </c>
    </row>
    <row r="118" spans="1:20" x14ac:dyDescent="0.25">
      <c r="A118" t="s">
        <v>888</v>
      </c>
      <c r="B118" t="s">
        <v>303</v>
      </c>
      <c r="C118" s="4">
        <v>0.19570599999999999</v>
      </c>
      <c r="D118" s="4">
        <v>0.371</v>
      </c>
      <c r="E118" s="4">
        <v>3.9550000000000002E-2</v>
      </c>
      <c r="F118" s="4">
        <v>0.46700000000000003</v>
      </c>
      <c r="G118">
        <v>4.6499999999999996E-3</v>
      </c>
      <c r="H118">
        <f>VLOOKUP(A118,DB!A:I,2,FALSE)</f>
        <v>3000000</v>
      </c>
      <c r="I118">
        <f>VLOOKUP(A118,'RE@CD'!A:D,2,FALSE)</f>
        <v>650000</v>
      </c>
      <c r="J118">
        <f>VLOOKUP(A118,'RE@CD'!A:D,3,FALSE)</f>
        <v>200000</v>
      </c>
      <c r="K118">
        <f>VLOOKUP(A118,'RE@CD'!A:D,4,FALSE)</f>
        <v>225000</v>
      </c>
      <c r="L118">
        <f>VLOOKUP(A118,DB!A:I,3,FALSE)</f>
        <v>0.51870000000000005</v>
      </c>
      <c r="M118">
        <f>VLOOKUP(A118,DB!A:I,4,FALSE)</f>
        <v>-0.111</v>
      </c>
      <c r="N118">
        <f>VLOOKUP(A118,DB!A:I,5,FALSE)</f>
        <v>5.96E-3</v>
      </c>
      <c r="O118">
        <f>VLOOKUP(A118,DB!A:I,6,FALSE)</f>
        <v>4.5799999999999999E-3</v>
      </c>
      <c r="P118">
        <f>VLOOKUP(A118,DB!A:I,7,FALSE)</f>
        <v>1.3799999999999999E-3</v>
      </c>
      <c r="Q118">
        <f>VLOOKUP(A118,DB!A:I,8,FALSE)</f>
        <v>0.49080000000000001</v>
      </c>
      <c r="R118">
        <f>VLOOKUP(A118,DB!A:I,9,FALSE)</f>
        <v>0.49740000000000001</v>
      </c>
      <c r="S118">
        <f>N118 *SQRT(H118)</f>
        <v>10.323022813110509</v>
      </c>
      <c r="T118">
        <f>L118/N118</f>
        <v>87.030201342281885</v>
      </c>
    </row>
    <row r="119" spans="1:20" x14ac:dyDescent="0.25">
      <c r="A119" t="s">
        <v>986</v>
      </c>
      <c r="B119" t="s">
        <v>397</v>
      </c>
      <c r="C119" s="4">
        <v>0.16587399999999999</v>
      </c>
      <c r="D119" s="4">
        <v>0.372</v>
      </c>
      <c r="E119" s="4">
        <v>3.8669000000000002E-2</v>
      </c>
      <c r="F119" s="4">
        <v>0.39100000000000001</v>
      </c>
      <c r="G119">
        <v>2.4099999999999998E-3</v>
      </c>
      <c r="H119">
        <f>VLOOKUP(A119,DB!A:I,2,FALSE)</f>
        <v>1750000</v>
      </c>
      <c r="I119">
        <f>VLOOKUP(A119,'RE@CD'!A:D,2,FALSE)</f>
        <v>475000</v>
      </c>
      <c r="J119">
        <f>VLOOKUP(A119,'RE@CD'!A:D,3,FALSE)</f>
        <v>175000</v>
      </c>
      <c r="K119">
        <f>VLOOKUP(A119,'RE@CD'!A:D,4,FALSE)</f>
        <v>225000</v>
      </c>
      <c r="L119">
        <f>VLOOKUP(A119,DB!A:I,3,FALSE)</f>
        <v>0.61270000000000002</v>
      </c>
      <c r="M119">
        <f>VLOOKUP(A119,DB!A:I,4,FALSE)</f>
        <v>-0.1234</v>
      </c>
      <c r="N119">
        <f>VLOOKUP(A119,DB!A:I,5,FALSE)</f>
        <v>5.96E-3</v>
      </c>
      <c r="O119">
        <f>VLOOKUP(A119,DB!A:I,6,FALSE)</f>
        <v>4.4200000000000003E-3</v>
      </c>
      <c r="P119">
        <f>VLOOKUP(A119,DB!A:I,7,FALSE)</f>
        <v>1.5399999999999999E-3</v>
      </c>
      <c r="Q119">
        <f>VLOOKUP(A119,DB!A:I,8,FALSE)</f>
        <v>0.5746</v>
      </c>
      <c r="R119">
        <f>VLOOKUP(A119,DB!A:I,9,FALSE)</f>
        <v>0.62929999999999997</v>
      </c>
      <c r="S119">
        <f>N119 *SQRT(H119)</f>
        <v>7.8843389069724799</v>
      </c>
      <c r="T119">
        <f>L119/N119</f>
        <v>102.80201342281879</v>
      </c>
    </row>
    <row r="120" spans="1:20" x14ac:dyDescent="0.25">
      <c r="A120" t="s">
        <v>1159</v>
      </c>
      <c r="B120" t="s">
        <v>569</v>
      </c>
      <c r="C120" s="4">
        <v>0.160187</v>
      </c>
      <c r="D120" s="4">
        <v>0.315</v>
      </c>
      <c r="E120" s="4">
        <v>3.2502000000000003E-2</v>
      </c>
      <c r="F120" s="4">
        <v>0.47399999999999998</v>
      </c>
      <c r="G120">
        <v>9.7999999999999997E-3</v>
      </c>
      <c r="H120">
        <f>VLOOKUP(A120,DB!A:I,2,FALSE)</f>
        <v>3000000</v>
      </c>
      <c r="I120">
        <f>VLOOKUP(A120,'RE@CD'!A:D,2,FALSE)</f>
        <v>400000</v>
      </c>
      <c r="J120">
        <f>VLOOKUP(A120,'RE@CD'!A:D,3,FALSE)</f>
        <v>125000</v>
      </c>
      <c r="K120">
        <f>VLOOKUP(A120,'RE@CD'!A:D,4,FALSE)</f>
        <v>150000</v>
      </c>
      <c r="L120">
        <f>VLOOKUP(A120,DB!A:I,3,FALSE)</f>
        <v>0.39710000000000001</v>
      </c>
      <c r="M120">
        <f>VLOOKUP(A120,DB!A:I,4,FALSE)</f>
        <v>-8.6300000000000002E-2</v>
      </c>
      <c r="N120">
        <f>VLOOKUP(A120,DB!A:I,5,FALSE)</f>
        <v>5.96E-3</v>
      </c>
      <c r="O120">
        <f>VLOOKUP(A120,DB!A:I,6,FALSE)</f>
        <v>4.6299999999999996E-3</v>
      </c>
      <c r="P120">
        <f>VLOOKUP(A120,DB!A:I,7,FALSE)</f>
        <v>1.32E-3</v>
      </c>
      <c r="Q120">
        <f>VLOOKUP(A120,DB!A:I,8,FALSE)</f>
        <v>0.57779999999999998</v>
      </c>
      <c r="R120">
        <f>VLOOKUP(A120,DB!A:I,9,FALSE)</f>
        <v>0.38640000000000002</v>
      </c>
      <c r="S120">
        <f>N120 *SQRT(H120)</f>
        <v>10.323022813110509</v>
      </c>
      <c r="T120">
        <f>L120/N120</f>
        <v>66.627516778523486</v>
      </c>
    </row>
    <row r="121" spans="1:20" x14ac:dyDescent="0.25">
      <c r="A121" t="s">
        <v>856</v>
      </c>
      <c r="B121" t="s">
        <v>271</v>
      </c>
      <c r="C121" s="4">
        <v>9.9939E-2</v>
      </c>
      <c r="D121" s="4">
        <v>0.3</v>
      </c>
      <c r="E121" s="4">
        <v>2.4667000000000001E-2</v>
      </c>
      <c r="F121" s="4">
        <v>0.25</v>
      </c>
      <c r="G121">
        <v>2.2000000000000001E-4</v>
      </c>
      <c r="H121">
        <f>VLOOKUP(A121,DB!A:I,2,FALSE)</f>
        <v>1050000</v>
      </c>
      <c r="I121">
        <f>VLOOKUP(A121,'RE@CD'!A:D,2,FALSE)</f>
        <v>275000</v>
      </c>
      <c r="J121">
        <f>VLOOKUP(A121,'RE@CD'!A:D,3,FALSE)</f>
        <v>60000</v>
      </c>
      <c r="K121">
        <f>VLOOKUP(A121,'RE@CD'!A:D,4,FALSE)</f>
        <v>70000</v>
      </c>
      <c r="L121">
        <f>VLOOKUP(A121,DB!A:I,3,FALSE)</f>
        <v>9.3600000000000003E-2</v>
      </c>
      <c r="M121">
        <f>VLOOKUP(A121,DB!A:I,4,FALSE)</f>
        <v>3.5999999999999999E-3</v>
      </c>
      <c r="N121">
        <f>VLOOKUP(A121,DB!A:I,5,FALSE)</f>
        <v>5.9500000000000004E-3</v>
      </c>
      <c r="O121">
        <f>VLOOKUP(A121,DB!A:I,6,FALSE)</f>
        <v>4.9899999999999996E-3</v>
      </c>
      <c r="P121">
        <f>VLOOKUP(A121,DB!A:I,7,FALSE)</f>
        <v>9.6000000000000002E-4</v>
      </c>
      <c r="Q121">
        <f>VLOOKUP(A121,DB!A:I,8,FALSE)</f>
        <v>0.38629999999999998</v>
      </c>
      <c r="R121">
        <f>VLOOKUP(A121,DB!A:I,9,FALSE)</f>
        <v>0.7843</v>
      </c>
      <c r="S121">
        <f>N121 *SQRT(H121)</f>
        <v>6.0969357057459614</v>
      </c>
      <c r="T121">
        <f>L121/N121</f>
        <v>15.731092436974789</v>
      </c>
    </row>
    <row r="122" spans="1:20" x14ac:dyDescent="0.25">
      <c r="A122" t="s">
        <v>654</v>
      </c>
      <c r="B122" t="s">
        <v>69</v>
      </c>
      <c r="C122" s="4">
        <v>0.117849</v>
      </c>
      <c r="D122" s="4">
        <v>0.318</v>
      </c>
      <c r="E122" s="4">
        <v>6.5797999999999995E-2</v>
      </c>
      <c r="F122" s="4">
        <v>0.437</v>
      </c>
      <c r="G122">
        <v>8.3700000000000007E-3</v>
      </c>
      <c r="H122">
        <f>VLOOKUP(A122,DB!A:I,2,FALSE)</f>
        <v>3000000</v>
      </c>
      <c r="I122">
        <f>VLOOKUP(A122,'RE@CD'!A:D,2,FALSE)</f>
        <v>525000</v>
      </c>
      <c r="J122">
        <f>VLOOKUP(A122,'RE@CD'!A:D,3,FALSE)</f>
        <v>300000</v>
      </c>
      <c r="K122">
        <f>VLOOKUP(A122,'RE@CD'!A:D,4,FALSE)</f>
        <v>300000</v>
      </c>
      <c r="L122">
        <f>VLOOKUP(A122,DB!A:I,3,FALSE)</f>
        <v>0.68089999999999995</v>
      </c>
      <c r="M122">
        <f>VLOOKUP(A122,DB!A:I,4,FALSE)</f>
        <v>-0.1338</v>
      </c>
      <c r="N122">
        <f>VLOOKUP(A122,DB!A:I,5,FALSE)</f>
        <v>5.9199999999999999E-3</v>
      </c>
      <c r="O122">
        <f>VLOOKUP(A122,DB!A:I,6,FALSE)</f>
        <v>4.9899999999999996E-3</v>
      </c>
      <c r="P122">
        <f>VLOOKUP(A122,DB!A:I,7,FALSE)</f>
        <v>9.3000000000000005E-4</v>
      </c>
      <c r="Q122">
        <f>VLOOKUP(A122,DB!A:I,8,FALSE)</f>
        <v>0.59089999999999998</v>
      </c>
      <c r="R122">
        <f>VLOOKUP(A122,DB!A:I,9,FALSE)</f>
        <v>2.5899999999999999E-2</v>
      </c>
      <c r="S122">
        <f>N122 *SQRT(H122)</f>
        <v>10.253740780807753</v>
      </c>
      <c r="T122">
        <f>L122/N122</f>
        <v>115.01689189189189</v>
      </c>
    </row>
    <row r="123" spans="1:20" x14ac:dyDescent="0.25">
      <c r="A123" t="s">
        <v>954</v>
      </c>
      <c r="B123" t="s">
        <v>365</v>
      </c>
      <c r="C123" s="4">
        <v>0.21965000000000001</v>
      </c>
      <c r="D123" s="4">
        <v>0.33900000000000002</v>
      </c>
      <c r="E123" s="4">
        <v>3.227E-2</v>
      </c>
      <c r="F123" s="4">
        <v>0.435</v>
      </c>
      <c r="G123">
        <v>3.6700000000000003E-2</v>
      </c>
      <c r="H123">
        <f>VLOOKUP(A123,DB!A:I,2,FALSE)</f>
        <v>3000000</v>
      </c>
      <c r="I123">
        <f>VLOOKUP(A123,'RE@CD'!A:D,2,FALSE)</f>
        <v>450000</v>
      </c>
      <c r="J123">
        <f>VLOOKUP(A123,'RE@CD'!A:D,3,FALSE)</f>
        <v>300000</v>
      </c>
      <c r="K123">
        <f>VLOOKUP(A123,'RE@CD'!A:D,4,FALSE)</f>
        <v>300000</v>
      </c>
      <c r="L123">
        <f>VLOOKUP(A123,DB!A:I,3,FALSE)</f>
        <v>0.3574</v>
      </c>
      <c r="M123">
        <f>VLOOKUP(A123,DB!A:I,4,FALSE)</f>
        <v>-7.1599999999999997E-2</v>
      </c>
      <c r="N123">
        <f>VLOOKUP(A123,DB!A:I,5,FALSE)</f>
        <v>5.9100000000000003E-3</v>
      </c>
      <c r="O123">
        <f>VLOOKUP(A123,DB!A:I,6,FALSE)</f>
        <v>4.3699999999999998E-3</v>
      </c>
      <c r="P123">
        <f>VLOOKUP(A123,DB!A:I,7,FALSE)</f>
        <v>1.5399999999999999E-3</v>
      </c>
      <c r="Q123">
        <f>VLOOKUP(A123,DB!A:I,8,FALSE)</f>
        <v>0.52210000000000001</v>
      </c>
      <c r="R123">
        <f>VLOOKUP(A123,DB!A:I,9,FALSE)</f>
        <v>0.46260000000000001</v>
      </c>
      <c r="S123">
        <f>N123 *SQRT(H123)</f>
        <v>10.236420272732065</v>
      </c>
      <c r="T123">
        <f>L123/N123</f>
        <v>60.473773265651431</v>
      </c>
    </row>
    <row r="124" spans="1:20" x14ac:dyDescent="0.25">
      <c r="A124" t="s">
        <v>775</v>
      </c>
      <c r="B124" t="s">
        <v>190</v>
      </c>
      <c r="C124" s="4">
        <v>0.184668</v>
      </c>
      <c r="D124" s="4">
        <v>0.32400000000000001</v>
      </c>
      <c r="E124" s="4">
        <v>2.5689E-2</v>
      </c>
      <c r="F124" s="4">
        <v>0.48299999999999998</v>
      </c>
      <c r="G124">
        <v>2.7799999999999999E-3</v>
      </c>
      <c r="H124">
        <f>VLOOKUP(A124,DB!A:I,2,FALSE)</f>
        <v>3000000</v>
      </c>
      <c r="I124">
        <f>VLOOKUP(A124,'RE@CD'!A:D,2,FALSE)</f>
        <v>575000</v>
      </c>
      <c r="J124">
        <f>VLOOKUP(A124,'RE@CD'!A:D,3,FALSE)</f>
        <v>150000</v>
      </c>
      <c r="K124">
        <f>VLOOKUP(A124,'RE@CD'!A:D,4,FALSE)</f>
        <v>200000</v>
      </c>
      <c r="L124">
        <f>VLOOKUP(A124,DB!A:I,3,FALSE)</f>
        <v>0.41860000000000003</v>
      </c>
      <c r="M124">
        <f>VLOOKUP(A124,DB!A:I,4,FALSE)</f>
        <v>-8.9499999999999996E-2</v>
      </c>
      <c r="N124">
        <f>VLOOKUP(A124,DB!A:I,5,FALSE)</f>
        <v>5.8900000000000003E-3</v>
      </c>
      <c r="O124">
        <f>VLOOKUP(A124,DB!A:I,6,FALSE)</f>
        <v>4.7299999999999998E-3</v>
      </c>
      <c r="P124">
        <f>VLOOKUP(A124,DB!A:I,7,FALSE)</f>
        <v>1.16E-3</v>
      </c>
      <c r="Q124">
        <f>VLOOKUP(A124,DB!A:I,8,FALSE)</f>
        <v>0.45900000000000002</v>
      </c>
      <c r="R124">
        <f>VLOOKUP(A124,DB!A:I,9,FALSE)</f>
        <v>0.46250000000000002</v>
      </c>
      <c r="S124">
        <f>N124 *SQRT(H124)</f>
        <v>10.201779256580688</v>
      </c>
      <c r="T124">
        <f>L124/N124</f>
        <v>71.069609507640067</v>
      </c>
    </row>
    <row r="125" spans="1:20" x14ac:dyDescent="0.25">
      <c r="A125" t="s">
        <v>1010</v>
      </c>
      <c r="B125" t="s">
        <v>421</v>
      </c>
      <c r="C125" s="4">
        <v>0.15265400000000001</v>
      </c>
      <c r="D125" s="4">
        <v>0.26900000000000002</v>
      </c>
      <c r="E125" s="4">
        <v>1.9979E-2</v>
      </c>
      <c r="F125" s="4">
        <v>0.311</v>
      </c>
      <c r="G125">
        <v>2.8300000000000001E-3</v>
      </c>
      <c r="H125">
        <f>VLOOKUP(A125,DB!A:I,2,FALSE)</f>
        <v>3000000</v>
      </c>
      <c r="I125">
        <f>VLOOKUP(A125,'RE@CD'!A:D,2,FALSE)</f>
        <v>300000</v>
      </c>
      <c r="J125">
        <f>VLOOKUP(A125,'RE@CD'!A:D,3,FALSE)</f>
        <v>100000</v>
      </c>
      <c r="K125">
        <f>VLOOKUP(A125,'RE@CD'!A:D,4,FALSE)</f>
        <v>100000</v>
      </c>
      <c r="L125">
        <f>VLOOKUP(A125,DB!A:I,3,FALSE)</f>
        <v>8.77E-2</v>
      </c>
      <c r="M125">
        <f>VLOOKUP(A125,DB!A:I,4,FALSE)</f>
        <v>3.2000000000000002E-3</v>
      </c>
      <c r="N125">
        <f>VLOOKUP(A125,DB!A:I,5,FALSE)</f>
        <v>5.8900000000000003E-3</v>
      </c>
      <c r="O125">
        <f>VLOOKUP(A125,DB!A:I,6,FALSE)</f>
        <v>4.9699999999999996E-3</v>
      </c>
      <c r="P125">
        <f>VLOOKUP(A125,DB!A:I,7,FALSE)</f>
        <v>9.2000000000000003E-4</v>
      </c>
      <c r="Q125">
        <f>VLOOKUP(A125,DB!A:I,8,FALSE)</f>
        <v>0.39460000000000001</v>
      </c>
      <c r="R125">
        <f>VLOOKUP(A125,DB!A:I,9,FALSE)</f>
        <v>0.43330000000000002</v>
      </c>
      <c r="S125">
        <f>N125 *SQRT(H125)</f>
        <v>10.201779256580688</v>
      </c>
      <c r="T125">
        <f>L125/N125</f>
        <v>14.889643463497453</v>
      </c>
    </row>
    <row r="126" spans="1:20" x14ac:dyDescent="0.25">
      <c r="A126" t="s">
        <v>1148</v>
      </c>
      <c r="B126" t="s">
        <v>559</v>
      </c>
      <c r="C126" s="4">
        <v>0.13999400000000001</v>
      </c>
      <c r="D126" s="4">
        <v>0.27200000000000002</v>
      </c>
      <c r="E126" s="4">
        <v>3.9705999999999998E-2</v>
      </c>
      <c r="F126" s="4">
        <v>0.38800000000000001</v>
      </c>
      <c r="G126">
        <v>1.26E-2</v>
      </c>
      <c r="H126">
        <f>VLOOKUP(A126,DB!A:I,2,FALSE)</f>
        <v>3000000</v>
      </c>
      <c r="I126">
        <f>VLOOKUP(A126,'RE@CD'!A:D,2,FALSE)</f>
        <v>275000</v>
      </c>
      <c r="J126">
        <f>VLOOKUP(A126,'RE@CD'!A:D,3,FALSE)</f>
        <v>90000</v>
      </c>
      <c r="K126">
        <f>VLOOKUP(A126,'RE@CD'!A:D,4,FALSE)</f>
        <v>100000</v>
      </c>
      <c r="L126">
        <f>VLOOKUP(A126,DB!A:I,3,FALSE)</f>
        <v>0.46729999999999999</v>
      </c>
      <c r="M126">
        <f>VLOOKUP(A126,DB!A:I,4,FALSE)</f>
        <v>-8.6599999999999996E-2</v>
      </c>
      <c r="N126">
        <f>VLOOKUP(A126,DB!A:I,5,FALSE)</f>
        <v>5.8799999999999998E-3</v>
      </c>
      <c r="O126">
        <f>VLOOKUP(A126,DB!A:I,6,FALSE)</f>
        <v>4.8300000000000001E-3</v>
      </c>
      <c r="P126">
        <f>VLOOKUP(A126,DB!A:I,7,FALSE)</f>
        <v>1.0499999999999999E-3</v>
      </c>
      <c r="Q126">
        <f>VLOOKUP(A126,DB!A:I,8,FALSE)</f>
        <v>0.434</v>
      </c>
      <c r="R126">
        <f>VLOOKUP(A126,DB!A:I,9,FALSE)</f>
        <v>0.38629999999999998</v>
      </c>
      <c r="S126">
        <f>N126 *SQRT(H126)</f>
        <v>10.184458748504998</v>
      </c>
      <c r="T126">
        <f>L126/N126</f>
        <v>79.472789115646265</v>
      </c>
    </row>
    <row r="127" spans="1:20" x14ac:dyDescent="0.25">
      <c r="A127" t="s">
        <v>653</v>
      </c>
      <c r="B127" t="s">
        <v>68</v>
      </c>
      <c r="C127" s="4">
        <v>0.12829399999999999</v>
      </c>
      <c r="D127" s="4">
        <v>0.32800000000000001</v>
      </c>
      <c r="E127" s="4">
        <v>6.6170999999999994E-2</v>
      </c>
      <c r="F127" s="4">
        <v>0.44400000000000001</v>
      </c>
      <c r="G127">
        <v>8.5299999999999994E-3</v>
      </c>
      <c r="H127">
        <f>VLOOKUP(A127,DB!A:I,2,FALSE)</f>
        <v>3000000</v>
      </c>
      <c r="I127">
        <f>VLOOKUP(A127,'RE@CD'!A:D,2,FALSE)</f>
        <v>525000</v>
      </c>
      <c r="J127">
        <f>VLOOKUP(A127,'RE@CD'!A:D,3,FALSE)</f>
        <v>250000</v>
      </c>
      <c r="K127">
        <f>VLOOKUP(A127,'RE@CD'!A:D,4,FALSE)</f>
        <v>250000</v>
      </c>
      <c r="L127">
        <f>VLOOKUP(A127,DB!A:I,3,FALSE)</f>
        <v>0.66900000000000004</v>
      </c>
      <c r="M127">
        <f>VLOOKUP(A127,DB!A:I,4,FALSE)</f>
        <v>-0.1283</v>
      </c>
      <c r="N127">
        <f>VLOOKUP(A127,DB!A:I,5,FALSE)</f>
        <v>5.8700000000000002E-3</v>
      </c>
      <c r="O127">
        <f>VLOOKUP(A127,DB!A:I,6,FALSE)</f>
        <v>4.9399999999999999E-3</v>
      </c>
      <c r="P127">
        <f>VLOOKUP(A127,DB!A:I,7,FALSE)</f>
        <v>9.3000000000000005E-4</v>
      </c>
      <c r="Q127">
        <f>VLOOKUP(A127,DB!A:I,8,FALSE)</f>
        <v>0.58409999999999995</v>
      </c>
      <c r="R127">
        <f>VLOOKUP(A127,DB!A:I,9,FALSE)</f>
        <v>7.4999999999999997E-2</v>
      </c>
      <c r="S127">
        <f>N127 *SQRT(H127)</f>
        <v>10.16713824042931</v>
      </c>
      <c r="T127">
        <f>L127/N127</f>
        <v>113.96933560477002</v>
      </c>
    </row>
    <row r="128" spans="1:20" x14ac:dyDescent="0.25">
      <c r="A128" t="s">
        <v>872</v>
      </c>
      <c r="B128" t="s">
        <v>287</v>
      </c>
      <c r="C128" s="4">
        <v>0.15673300000000001</v>
      </c>
      <c r="D128" s="4">
        <v>0.40200000000000002</v>
      </c>
      <c r="E128" s="4">
        <v>2.6581E-2</v>
      </c>
      <c r="F128" s="4">
        <v>0.75</v>
      </c>
      <c r="G128">
        <v>1.5100000000000001E-3</v>
      </c>
      <c r="H128">
        <f>VLOOKUP(A128,DB!A:I,2,FALSE)</f>
        <v>1150000</v>
      </c>
      <c r="I128">
        <f>VLOOKUP(A128,'RE@CD'!A:D,2,FALSE)</f>
        <v>425000</v>
      </c>
      <c r="J128">
        <f>VLOOKUP(A128,'RE@CD'!A:D,3,FALSE)</f>
        <v>225000</v>
      </c>
      <c r="K128">
        <f>VLOOKUP(A128,'RE@CD'!A:D,4,FALSE)</f>
        <v>225000</v>
      </c>
      <c r="L128">
        <f>VLOOKUP(A128,DB!A:I,3,FALSE)</f>
        <v>0.53190000000000004</v>
      </c>
      <c r="M128">
        <f>VLOOKUP(A128,DB!A:I,4,FALSE)</f>
        <v>-0.12659999999999999</v>
      </c>
      <c r="N128">
        <f>VLOOKUP(A128,DB!A:I,5,FALSE)</f>
        <v>5.8599999999999998E-3</v>
      </c>
      <c r="O128">
        <f>VLOOKUP(A128,DB!A:I,6,FALSE)</f>
        <v>4.4900000000000001E-3</v>
      </c>
      <c r="P128">
        <f>VLOOKUP(A128,DB!A:I,7,FALSE)</f>
        <v>1.3699999999999999E-3</v>
      </c>
      <c r="Q128">
        <f>VLOOKUP(A128,DB!A:I,8,FALSE)</f>
        <v>0.67359999999999998</v>
      </c>
      <c r="R128">
        <f>VLOOKUP(A128,DB!A:I,9,FALSE)</f>
        <v>0.62670000000000003</v>
      </c>
      <c r="S128">
        <f>N128 *SQRT(H128)</f>
        <v>6.2841499027314747</v>
      </c>
      <c r="T128">
        <f>L128/N128</f>
        <v>90.767918088737218</v>
      </c>
    </row>
    <row r="129" spans="1:20" x14ac:dyDescent="0.25">
      <c r="A129" t="s">
        <v>1047</v>
      </c>
      <c r="B129" t="s">
        <v>458</v>
      </c>
      <c r="C129" s="4">
        <v>0.127049</v>
      </c>
      <c r="D129" s="4">
        <v>0.22</v>
      </c>
      <c r="E129" s="4">
        <v>3.0022E-2</v>
      </c>
      <c r="F129" s="4">
        <v>0.217</v>
      </c>
      <c r="G129">
        <v>4.3400000000000001E-3</v>
      </c>
      <c r="H129">
        <f>VLOOKUP(A129,DB!A:I,2,FALSE)</f>
        <v>1300000</v>
      </c>
      <c r="I129">
        <f>VLOOKUP(A129,'RE@CD'!A:D,2,FALSE)</f>
        <v>325000</v>
      </c>
      <c r="J129">
        <f>VLOOKUP(A129,'RE@CD'!A:D,3,FALSE)</f>
        <v>80000</v>
      </c>
      <c r="K129">
        <f>VLOOKUP(A129,'RE@CD'!A:D,4,FALSE)</f>
        <v>100000</v>
      </c>
      <c r="L129">
        <f>VLOOKUP(A129,DB!A:I,3,FALSE)</f>
        <v>0.1023</v>
      </c>
      <c r="M129">
        <f>VLOOKUP(A129,DB!A:I,4,FALSE)</f>
        <v>1.6199999999999999E-2</v>
      </c>
      <c r="N129">
        <f>VLOOKUP(A129,DB!A:I,5,FALSE)</f>
        <v>5.8599999999999998E-3</v>
      </c>
      <c r="O129">
        <f>VLOOKUP(A129,DB!A:I,6,FALSE)</f>
        <v>4.5300000000000002E-3</v>
      </c>
      <c r="P129">
        <f>VLOOKUP(A129,DB!A:I,7,FALSE)</f>
        <v>1.33E-3</v>
      </c>
      <c r="Q129">
        <f>VLOOKUP(A129,DB!A:I,8,FALSE)</f>
        <v>0.33450000000000002</v>
      </c>
      <c r="R129">
        <f>VLOOKUP(A129,DB!A:I,9,FALSE)</f>
        <v>0.80020000000000002</v>
      </c>
      <c r="S129">
        <f>N129 *SQRT(H129)</f>
        <v>6.6814279910809482</v>
      </c>
      <c r="T129">
        <f>L129/N129</f>
        <v>17.457337883959045</v>
      </c>
    </row>
    <row r="130" spans="1:20" x14ac:dyDescent="0.25">
      <c r="A130" t="s">
        <v>709</v>
      </c>
      <c r="B130" t="s">
        <v>124</v>
      </c>
      <c r="C130" s="4">
        <v>0.11529499999999999</v>
      </c>
      <c r="D130" s="4">
        <v>0.32</v>
      </c>
      <c r="E130" s="4">
        <v>3.0523000000000002E-2</v>
      </c>
      <c r="F130" s="4">
        <v>0.23599999999999999</v>
      </c>
      <c r="G130">
        <v>2.32E-3</v>
      </c>
      <c r="H130">
        <f>VLOOKUP(A130,DB!A:I,2,FALSE)</f>
        <v>1050000</v>
      </c>
      <c r="I130">
        <f>VLOOKUP(A130,'RE@CD'!A:D,2,FALSE)</f>
        <v>475000</v>
      </c>
      <c r="J130">
        <f>VLOOKUP(A130,'RE@CD'!A:D,3,FALSE)</f>
        <v>150000</v>
      </c>
      <c r="K130">
        <f>VLOOKUP(A130,'RE@CD'!A:D,4,FALSE)</f>
        <v>150000</v>
      </c>
      <c r="L130">
        <f>VLOOKUP(A130,DB!A:I,3,FALSE)</f>
        <v>0.1158</v>
      </c>
      <c r="M130">
        <f>VLOOKUP(A130,DB!A:I,4,FALSE)</f>
        <v>9.4999999999999998E-3</v>
      </c>
      <c r="N130">
        <f>VLOOKUP(A130,DB!A:I,5,FALSE)</f>
        <v>5.8399999999999997E-3</v>
      </c>
      <c r="O130">
        <f>VLOOKUP(A130,DB!A:I,6,FALSE)</f>
        <v>4.4900000000000001E-3</v>
      </c>
      <c r="P130">
        <f>VLOOKUP(A130,DB!A:I,7,FALSE)</f>
        <v>1.3600000000000001E-3</v>
      </c>
      <c r="Q130">
        <f>VLOOKUP(A130,DB!A:I,8,FALSE)</f>
        <v>0.43869999999999998</v>
      </c>
      <c r="R130">
        <f>VLOOKUP(A130,DB!A:I,9,FALSE)</f>
        <v>0.82809999999999995</v>
      </c>
      <c r="S130">
        <f>N130 *SQRT(H130)</f>
        <v>5.9842192473204046</v>
      </c>
      <c r="T130">
        <f>L130/N130</f>
        <v>19.828767123287673</v>
      </c>
    </row>
    <row r="131" spans="1:20" x14ac:dyDescent="0.25">
      <c r="A131" t="s">
        <v>764</v>
      </c>
      <c r="B131" t="s">
        <v>179</v>
      </c>
      <c r="C131" s="4">
        <v>0.166434</v>
      </c>
      <c r="D131" s="4">
        <v>0.46200000000000002</v>
      </c>
      <c r="E131" s="4">
        <v>1.6895E-2</v>
      </c>
      <c r="F131" s="4">
        <v>0.35499999999999998</v>
      </c>
      <c r="G131">
        <v>6.3000000000000003E-4</v>
      </c>
      <c r="H131">
        <f>VLOOKUP(A131,DB!A:I,2,FALSE)</f>
        <v>1750000</v>
      </c>
      <c r="I131">
        <f>VLOOKUP(A131,'RE@CD'!A:D,2,FALSE)</f>
        <v>725000</v>
      </c>
      <c r="J131">
        <f>VLOOKUP(A131,'RE@CD'!A:D,3,FALSE)</f>
        <v>300000</v>
      </c>
      <c r="K131">
        <f>VLOOKUP(A131,'RE@CD'!A:D,4,FALSE)</f>
        <v>375000</v>
      </c>
      <c r="L131">
        <f>VLOOKUP(A131,DB!A:I,3,FALSE)</f>
        <v>0.2417</v>
      </c>
      <c r="M131">
        <f>VLOOKUP(A131,DB!A:I,4,FALSE)</f>
        <v>-4.9399999999999999E-2</v>
      </c>
      <c r="N131">
        <f>VLOOKUP(A131,DB!A:I,5,FALSE)</f>
        <v>5.8399999999999997E-3</v>
      </c>
      <c r="O131">
        <f>VLOOKUP(A131,DB!A:I,6,FALSE)</f>
        <v>3.96E-3</v>
      </c>
      <c r="P131">
        <f>VLOOKUP(A131,DB!A:I,7,FALSE)</f>
        <v>1.8799999999999999E-3</v>
      </c>
      <c r="Q131">
        <f>VLOOKUP(A131,DB!A:I,8,FALSE)</f>
        <v>0.61260000000000003</v>
      </c>
      <c r="R131">
        <f>VLOOKUP(A131,DB!A:I,9,FALSE)</f>
        <v>0.7661</v>
      </c>
      <c r="S131">
        <f>N131 *SQRT(H131)</f>
        <v>7.7255938283086039</v>
      </c>
      <c r="T131">
        <f>L131/N131</f>
        <v>41.386986301369866</v>
      </c>
    </row>
    <row r="132" spans="1:20" x14ac:dyDescent="0.25">
      <c r="A132" t="s">
        <v>1084</v>
      </c>
      <c r="B132" t="s">
        <v>495</v>
      </c>
      <c r="C132" s="4">
        <v>0.1699</v>
      </c>
      <c r="D132" s="4">
        <v>0.308</v>
      </c>
      <c r="E132" s="4">
        <v>0</v>
      </c>
      <c r="F132" s="4">
        <v>0.70599999999999996</v>
      </c>
      <c r="G132">
        <v>1.201E-2</v>
      </c>
      <c r="H132">
        <f>VLOOKUP(A132,DB!A:I,2,FALSE)</f>
        <v>3000000</v>
      </c>
      <c r="I132">
        <f>VLOOKUP(A132,'RE@CD'!A:D,2,FALSE)</f>
        <v>325000</v>
      </c>
      <c r="J132">
        <f>VLOOKUP(A132,'RE@CD'!A:D,3,FALSE)</f>
        <v>100000</v>
      </c>
      <c r="K132">
        <f>VLOOKUP(A132,'RE@CD'!A:D,4,FALSE)</f>
        <v>125000</v>
      </c>
      <c r="L132">
        <f>VLOOKUP(A132,DB!A:I,3,FALSE)</f>
        <v>0</v>
      </c>
      <c r="M132">
        <f>VLOOKUP(A132,DB!A:I,4,FALSE)</f>
        <v>0</v>
      </c>
      <c r="N132">
        <f>VLOOKUP(A132,DB!A:I,5,FALSE)</f>
        <v>5.8199999999999997E-3</v>
      </c>
      <c r="O132">
        <f>VLOOKUP(A132,DB!A:I,6,FALSE)</f>
        <v>4.8500000000000001E-3</v>
      </c>
      <c r="P132">
        <f>VLOOKUP(A132,DB!A:I,7,FALSE)</f>
        <v>9.7000000000000005E-4</v>
      </c>
      <c r="Q132">
        <f>VLOOKUP(A132,DB!A:I,8,FALSE)</f>
        <v>0.43020000000000003</v>
      </c>
      <c r="R132">
        <f>VLOOKUP(A132,DB!A:I,9,FALSE)</f>
        <v>0.43030000000000002</v>
      </c>
      <c r="S132">
        <f>N132 *SQRT(H132)</f>
        <v>10.080535700050865</v>
      </c>
      <c r="T132">
        <f>L132/N132</f>
        <v>0</v>
      </c>
    </row>
    <row r="133" spans="1:20" x14ac:dyDescent="0.25">
      <c r="A133" t="s">
        <v>1002</v>
      </c>
      <c r="B133" t="s">
        <v>413</v>
      </c>
      <c r="C133" s="4">
        <v>4.8114999999999998E-2</v>
      </c>
      <c r="D133" s="4">
        <v>0.17100000000000001</v>
      </c>
      <c r="E133" s="4">
        <v>0</v>
      </c>
      <c r="F133" s="4">
        <v>0.63300000000000001</v>
      </c>
      <c r="G133">
        <v>2.3800000000000002E-3</v>
      </c>
      <c r="H133">
        <f>VLOOKUP(A133,DB!A:I,2,FALSE)</f>
        <v>625000</v>
      </c>
      <c r="I133">
        <f>VLOOKUP(A133,'RE@CD'!A:D,2,FALSE)</f>
        <v>100000</v>
      </c>
      <c r="J133">
        <f>VLOOKUP(A133,'RE@CD'!A:D,3,FALSE)</f>
        <v>50000</v>
      </c>
      <c r="K133">
        <f>VLOOKUP(A133,'RE@CD'!A:D,4,FALSE)</f>
        <v>60000</v>
      </c>
      <c r="L133">
        <f>VLOOKUP(A133,DB!A:I,3,FALSE)</f>
        <v>1E-4</v>
      </c>
      <c r="M133">
        <f>VLOOKUP(A133,DB!A:I,4,FALSE)</f>
        <v>0</v>
      </c>
      <c r="N133">
        <f>VLOOKUP(A133,DB!A:I,5,FALSE)</f>
        <v>4.3099999999999996E-3</v>
      </c>
      <c r="O133">
        <f>VLOOKUP(A133,DB!A:I,6,FALSE)</f>
        <v>3.14E-3</v>
      </c>
      <c r="P133">
        <f>VLOOKUP(A133,DB!A:I,7,FALSE)</f>
        <v>1.17E-3</v>
      </c>
      <c r="Q133">
        <f>VLOOKUP(A133,DB!A:I,8,FALSE)</f>
        <v>0.92369999999999997</v>
      </c>
      <c r="R133">
        <f>VLOOKUP(A133,DB!A:I,9,FALSE)</f>
        <v>0.92359999999999998</v>
      </c>
      <c r="S133">
        <f>N133 *SQRT(H133)</f>
        <v>3.4073541788314285</v>
      </c>
      <c r="T133">
        <f>L133/N133</f>
        <v>2.3201856148491882E-2</v>
      </c>
    </row>
    <row r="134" spans="1:20" x14ac:dyDescent="0.25">
      <c r="A134" t="s">
        <v>646</v>
      </c>
      <c r="B134" t="s">
        <v>61</v>
      </c>
      <c r="C134" s="4">
        <v>0.212204</v>
      </c>
      <c r="D134" s="4">
        <v>0.33900000000000002</v>
      </c>
      <c r="E134" s="4">
        <v>3.0872E-2</v>
      </c>
      <c r="F134" s="4">
        <v>0.40200000000000002</v>
      </c>
      <c r="G134">
        <v>2.8289999999999999E-2</v>
      </c>
      <c r="H134">
        <f>VLOOKUP(A134,DB!A:I,2,FALSE)</f>
        <v>3000000</v>
      </c>
      <c r="I134">
        <f>VLOOKUP(A134,'RE@CD'!A:D,2,FALSE)</f>
        <v>550000</v>
      </c>
      <c r="J134">
        <f>VLOOKUP(A134,'RE@CD'!A:D,3,FALSE)</f>
        <v>175000</v>
      </c>
      <c r="K134">
        <f>VLOOKUP(A134,'RE@CD'!A:D,4,FALSE)</f>
        <v>225000</v>
      </c>
      <c r="L134">
        <f>VLOOKUP(A134,DB!A:I,3,FALSE)</f>
        <v>0.33239999999999997</v>
      </c>
      <c r="M134">
        <f>VLOOKUP(A134,DB!A:I,4,FALSE)</f>
        <v>-6.6000000000000003E-2</v>
      </c>
      <c r="N134">
        <f>VLOOKUP(A134,DB!A:I,5,FALSE)</f>
        <v>5.79E-3</v>
      </c>
      <c r="O134">
        <f>VLOOKUP(A134,DB!A:I,6,FALSE)</f>
        <v>4.4799999999999996E-3</v>
      </c>
      <c r="P134">
        <f>VLOOKUP(A134,DB!A:I,7,FALSE)</f>
        <v>1.31E-3</v>
      </c>
      <c r="Q134">
        <f>VLOOKUP(A134,DB!A:I,8,FALSE)</f>
        <v>0.4995</v>
      </c>
      <c r="R134">
        <f>VLOOKUP(A134,DB!A:I,9,FALSE)</f>
        <v>0.48720000000000002</v>
      </c>
      <c r="S134">
        <f>N134 *SQRT(H134)</f>
        <v>10.028574175823799</v>
      </c>
      <c r="T134">
        <f>L134/N134</f>
        <v>57.409326424870464</v>
      </c>
    </row>
    <row r="135" spans="1:20" x14ac:dyDescent="0.25">
      <c r="A135" t="s">
        <v>671</v>
      </c>
      <c r="B135" t="s">
        <v>86</v>
      </c>
      <c r="C135" s="4">
        <v>0.14404</v>
      </c>
      <c r="D135" s="4">
        <v>0.26500000000000001</v>
      </c>
      <c r="E135" s="4">
        <v>0</v>
      </c>
      <c r="F135" s="4">
        <v>0.11600000000000001</v>
      </c>
      <c r="G135">
        <v>1.0149999999999999E-2</v>
      </c>
      <c r="H135">
        <f>VLOOKUP(A135,DB!A:I,2,FALSE)</f>
        <v>3000000</v>
      </c>
      <c r="I135">
        <f>VLOOKUP(A135,'RE@CD'!A:D,2,FALSE)</f>
        <v>325000</v>
      </c>
      <c r="J135">
        <f>VLOOKUP(A135,'RE@CD'!A:D,3,FALSE)</f>
        <v>80000</v>
      </c>
      <c r="K135">
        <f>VLOOKUP(A135,'RE@CD'!A:D,4,FALSE)</f>
        <v>100000</v>
      </c>
      <c r="L135">
        <f>VLOOKUP(A135,DB!A:I,3,FALSE)</f>
        <v>0</v>
      </c>
      <c r="M135">
        <f>VLOOKUP(A135,DB!A:I,4,FALSE)</f>
        <v>0</v>
      </c>
      <c r="N135">
        <f>VLOOKUP(A135,DB!A:I,5,FALSE)</f>
        <v>5.79E-3</v>
      </c>
      <c r="O135">
        <f>VLOOKUP(A135,DB!A:I,6,FALSE)</f>
        <v>5.0099999999999997E-3</v>
      </c>
      <c r="P135">
        <f>VLOOKUP(A135,DB!A:I,7,FALSE)</f>
        <v>7.7999999999999999E-4</v>
      </c>
      <c r="Q135">
        <f>VLOOKUP(A135,DB!A:I,8,FALSE)</f>
        <v>0.40050000000000002</v>
      </c>
      <c r="R135">
        <f>VLOOKUP(A135,DB!A:I,9,FALSE)</f>
        <v>0.40050000000000002</v>
      </c>
      <c r="S135">
        <f>N135 *SQRT(H135)</f>
        <v>10.028574175823799</v>
      </c>
      <c r="T135">
        <f>L135/N135</f>
        <v>0</v>
      </c>
    </row>
    <row r="136" spans="1:20" x14ac:dyDescent="0.25">
      <c r="A136" t="s">
        <v>1016</v>
      </c>
      <c r="B136" t="s">
        <v>427</v>
      </c>
      <c r="C136" s="4">
        <v>0.13058500000000001</v>
      </c>
      <c r="D136" s="4">
        <v>0.30099999999999999</v>
      </c>
      <c r="E136" s="4">
        <v>6.5782999999999994E-2</v>
      </c>
      <c r="F136" s="4">
        <v>0.48199999999999998</v>
      </c>
      <c r="G136">
        <v>4.0400000000000002E-3</v>
      </c>
      <c r="H136">
        <f>VLOOKUP(A136,DB!A:I,2,FALSE)</f>
        <v>3000000</v>
      </c>
      <c r="I136">
        <f>VLOOKUP(A136,'RE@CD'!A:D,2,FALSE)</f>
        <v>325000</v>
      </c>
      <c r="J136">
        <f>VLOOKUP(A136,'RE@CD'!A:D,3,FALSE)</f>
        <v>150000</v>
      </c>
      <c r="K136">
        <f>VLOOKUP(A136,'RE@CD'!A:D,4,FALSE)</f>
        <v>150000</v>
      </c>
      <c r="L136">
        <f>VLOOKUP(A136,DB!A:I,3,FALSE)</f>
        <v>0.89470000000000005</v>
      </c>
      <c r="M136">
        <f>VLOOKUP(A136,DB!A:I,4,FALSE)</f>
        <v>-0.1976</v>
      </c>
      <c r="N136">
        <f>VLOOKUP(A136,DB!A:I,5,FALSE)</f>
        <v>5.7800000000000004E-3</v>
      </c>
      <c r="O136">
        <f>VLOOKUP(A136,DB!A:I,6,FALSE)</f>
        <v>4.5199999999999997E-3</v>
      </c>
      <c r="P136">
        <f>VLOOKUP(A136,DB!A:I,7,FALSE)</f>
        <v>1.25E-3</v>
      </c>
      <c r="Q136">
        <f>VLOOKUP(A136,DB!A:I,8,FALSE)</f>
        <v>0.57250000000000001</v>
      </c>
      <c r="R136">
        <f>VLOOKUP(A136,DB!A:I,9,FALSE)</f>
        <v>0.30499999999999999</v>
      </c>
      <c r="S136">
        <f>N136 *SQRT(H136)</f>
        <v>10.011253667748111</v>
      </c>
      <c r="T136">
        <f>L136/N136</f>
        <v>154.7923875432526</v>
      </c>
    </row>
    <row r="137" spans="1:20" x14ac:dyDescent="0.25">
      <c r="A137" t="s">
        <v>1108</v>
      </c>
      <c r="B137" t="s">
        <v>519</v>
      </c>
      <c r="C137" s="4">
        <v>8.0048999999999995E-2</v>
      </c>
      <c r="D137" s="4">
        <v>0.247</v>
      </c>
      <c r="E137" s="4">
        <v>3.4674999999999997E-2</v>
      </c>
      <c r="F137" s="4">
        <v>0.36</v>
      </c>
      <c r="G137">
        <v>3.81E-3</v>
      </c>
      <c r="H137">
        <f>VLOOKUP(A137,DB!A:I,2,FALSE)</f>
        <v>3000000</v>
      </c>
      <c r="I137">
        <f>VLOOKUP(A137,'RE@CD'!A:D,2,FALSE)</f>
        <v>125000</v>
      </c>
      <c r="J137">
        <f>VLOOKUP(A137,'RE@CD'!A:D,3,FALSE)</f>
        <v>50000</v>
      </c>
      <c r="K137">
        <f>VLOOKUP(A137,'RE@CD'!A:D,4,FALSE)</f>
        <v>60000</v>
      </c>
      <c r="L137">
        <f>VLOOKUP(A137,DB!A:I,3,FALSE)</f>
        <v>0.42609999999999998</v>
      </c>
      <c r="M137">
        <f>VLOOKUP(A137,DB!A:I,4,FALSE)</f>
        <v>-8.7999999999999995E-2</v>
      </c>
      <c r="N137">
        <f>VLOOKUP(A137,DB!A:I,5,FALSE)</f>
        <v>5.77E-3</v>
      </c>
      <c r="O137">
        <f>VLOOKUP(A137,DB!A:I,6,FALSE)</f>
        <v>5.11E-3</v>
      </c>
      <c r="P137">
        <f>VLOOKUP(A137,DB!A:I,7,FALSE)</f>
        <v>6.6E-4</v>
      </c>
      <c r="Q137">
        <f>VLOOKUP(A137,DB!A:I,8,FALSE)</f>
        <v>0.41070000000000001</v>
      </c>
      <c r="R137">
        <f>VLOOKUP(A137,DB!A:I,9,FALSE)</f>
        <v>0.32329999999999998</v>
      </c>
      <c r="S137">
        <f>N137 *SQRT(H137)</f>
        <v>9.9939331596724212</v>
      </c>
      <c r="T137">
        <f>L137/N137</f>
        <v>73.8474870017331</v>
      </c>
    </row>
    <row r="138" spans="1:20" x14ac:dyDescent="0.25">
      <c r="A138" t="s">
        <v>776</v>
      </c>
      <c r="B138" t="s">
        <v>191</v>
      </c>
      <c r="C138" s="4">
        <v>0.18142</v>
      </c>
      <c r="D138" s="4">
        <v>0.318</v>
      </c>
      <c r="E138" s="4">
        <v>2.9776E-2</v>
      </c>
      <c r="F138" s="4">
        <v>0.59099999999999997</v>
      </c>
      <c r="G138">
        <v>5.5199999999999997E-3</v>
      </c>
      <c r="H138">
        <f>VLOOKUP(A138,DB!A:I,2,FALSE)</f>
        <v>3000000</v>
      </c>
      <c r="I138">
        <f>VLOOKUP(A138,'RE@CD'!A:D,2,FALSE)</f>
        <v>475000</v>
      </c>
      <c r="J138">
        <f>VLOOKUP(A138,'RE@CD'!A:D,3,FALSE)</f>
        <v>250000</v>
      </c>
      <c r="K138">
        <f>VLOOKUP(A138,'RE@CD'!A:D,4,FALSE)</f>
        <v>250000</v>
      </c>
      <c r="L138">
        <f>VLOOKUP(A138,DB!A:I,3,FALSE)</f>
        <v>0.47220000000000001</v>
      </c>
      <c r="M138">
        <f>VLOOKUP(A138,DB!A:I,4,FALSE)</f>
        <v>-0.1101</v>
      </c>
      <c r="N138">
        <f>VLOOKUP(A138,DB!A:I,5,FALSE)</f>
        <v>5.7600000000000004E-3</v>
      </c>
      <c r="O138">
        <f>VLOOKUP(A138,DB!A:I,6,FALSE)</f>
        <v>4.6499999999999996E-3</v>
      </c>
      <c r="P138">
        <f>VLOOKUP(A138,DB!A:I,7,FALSE)</f>
        <v>1.1100000000000001E-3</v>
      </c>
      <c r="Q138">
        <f>VLOOKUP(A138,DB!A:I,8,FALSE)</f>
        <v>0.50439999999999996</v>
      </c>
      <c r="R138">
        <f>VLOOKUP(A138,DB!A:I,9,FALSE)</f>
        <v>0.43690000000000001</v>
      </c>
      <c r="S138">
        <f>N138 *SQRT(H138)</f>
        <v>9.9766126515967333</v>
      </c>
      <c r="T138">
        <f>L138/N138</f>
        <v>81.979166666666657</v>
      </c>
    </row>
    <row r="139" spans="1:20" x14ac:dyDescent="0.25">
      <c r="A139" t="s">
        <v>893</v>
      </c>
      <c r="B139" t="s">
        <v>308</v>
      </c>
      <c r="C139" s="4">
        <v>0.171096</v>
      </c>
      <c r="D139" s="4">
        <v>0.33900000000000002</v>
      </c>
      <c r="E139" s="4">
        <v>3.841E-2</v>
      </c>
      <c r="F139" s="4">
        <v>0.435</v>
      </c>
      <c r="G139">
        <v>4.7800000000000004E-3</v>
      </c>
      <c r="H139">
        <f>VLOOKUP(A139,DB!A:I,2,FALSE)</f>
        <v>3000000</v>
      </c>
      <c r="I139">
        <f>VLOOKUP(A139,'RE@CD'!A:D,2,FALSE)</f>
        <v>550000</v>
      </c>
      <c r="J139">
        <f>VLOOKUP(A139,'RE@CD'!A:D,3,FALSE)</f>
        <v>150000</v>
      </c>
      <c r="K139">
        <f>VLOOKUP(A139,'RE@CD'!A:D,4,FALSE)</f>
        <v>200000</v>
      </c>
      <c r="L139">
        <f>VLOOKUP(A139,DB!A:I,3,FALSE)</f>
        <v>0.4753</v>
      </c>
      <c r="M139">
        <f>VLOOKUP(A139,DB!A:I,4,FALSE)</f>
        <v>-9.6699999999999994E-2</v>
      </c>
      <c r="N139">
        <f>VLOOKUP(A139,DB!A:I,5,FALSE)</f>
        <v>5.7600000000000004E-3</v>
      </c>
      <c r="O139">
        <f>VLOOKUP(A139,DB!A:I,6,FALSE)</f>
        <v>4.6600000000000001E-3</v>
      </c>
      <c r="P139">
        <f>VLOOKUP(A139,DB!A:I,7,FALSE)</f>
        <v>1.1100000000000001E-3</v>
      </c>
      <c r="Q139">
        <f>VLOOKUP(A139,DB!A:I,8,FALSE)</f>
        <v>0.46920000000000001</v>
      </c>
      <c r="R139">
        <f>VLOOKUP(A139,DB!A:I,9,FALSE)</f>
        <v>0.47460000000000002</v>
      </c>
      <c r="S139">
        <f>N139 *SQRT(H139)</f>
        <v>9.9766126515967333</v>
      </c>
      <c r="T139">
        <f>L139/N139</f>
        <v>82.5173611111111</v>
      </c>
    </row>
    <row r="140" spans="1:20" x14ac:dyDescent="0.25">
      <c r="A140" t="s">
        <v>1018</v>
      </c>
      <c r="B140" t="s">
        <v>429</v>
      </c>
      <c r="C140" s="4">
        <v>9.8512000000000002E-2</v>
      </c>
      <c r="D140" s="4">
        <v>0.32400000000000001</v>
      </c>
      <c r="E140" s="4">
        <v>4.0794999999999998E-2</v>
      </c>
      <c r="F140" s="4">
        <v>0.46400000000000002</v>
      </c>
      <c r="G140">
        <v>1.92E-3</v>
      </c>
      <c r="H140">
        <f>VLOOKUP(A140,DB!A:I,2,FALSE)</f>
        <v>3000000</v>
      </c>
      <c r="I140">
        <f>VLOOKUP(A140,'RE@CD'!A:D,2,FALSE)</f>
        <v>225000</v>
      </c>
      <c r="J140">
        <f>VLOOKUP(A140,'RE@CD'!A:D,3,FALSE)</f>
        <v>100000</v>
      </c>
      <c r="K140">
        <f>VLOOKUP(A140,'RE@CD'!A:D,4,FALSE)</f>
        <v>125000</v>
      </c>
      <c r="L140">
        <f>VLOOKUP(A140,DB!A:I,3,FALSE)</f>
        <v>0.53180000000000005</v>
      </c>
      <c r="M140">
        <f>VLOOKUP(A140,DB!A:I,4,FALSE)</f>
        <v>-0.1193</v>
      </c>
      <c r="N140">
        <f>VLOOKUP(A140,DB!A:I,5,FALSE)</f>
        <v>5.7499999999999999E-3</v>
      </c>
      <c r="O140">
        <f>VLOOKUP(A140,DB!A:I,6,FALSE)</f>
        <v>5.2100000000000002E-3</v>
      </c>
      <c r="P140">
        <f>VLOOKUP(A140,DB!A:I,7,FALSE)</f>
        <v>5.5000000000000003E-4</v>
      </c>
      <c r="Q140">
        <f>VLOOKUP(A140,DB!A:I,8,FALSE)</f>
        <v>0.62580000000000002</v>
      </c>
      <c r="R140">
        <f>VLOOKUP(A140,DB!A:I,9,FALSE)</f>
        <v>8.8000000000000005E-3</v>
      </c>
      <c r="S140">
        <f>N140 *SQRT(H140)</f>
        <v>9.9592921435210435</v>
      </c>
      <c r="T140">
        <f>L140/N140</f>
        <v>92.486956521739145</v>
      </c>
    </row>
    <row r="141" spans="1:20" x14ac:dyDescent="0.25">
      <c r="A141" t="s">
        <v>645</v>
      </c>
      <c r="B141" t="s">
        <v>60</v>
      </c>
      <c r="C141" s="4">
        <v>0.17427000000000001</v>
      </c>
      <c r="D141" s="4">
        <v>0.33900000000000002</v>
      </c>
      <c r="E141" s="4">
        <v>3.9291E-2</v>
      </c>
      <c r="F141" s="4">
        <v>0.371</v>
      </c>
      <c r="G141">
        <v>1.7049999999999999E-2</v>
      </c>
      <c r="H141">
        <f>VLOOKUP(A141,DB!A:I,2,FALSE)</f>
        <v>3000000</v>
      </c>
      <c r="I141">
        <f>VLOOKUP(A141,'RE@CD'!A:D,2,FALSE)</f>
        <v>500000</v>
      </c>
      <c r="J141">
        <f>VLOOKUP(A141,'RE@CD'!A:D,3,FALSE)</f>
        <v>175000</v>
      </c>
      <c r="K141">
        <f>VLOOKUP(A141,'RE@CD'!A:D,4,FALSE)</f>
        <v>200000</v>
      </c>
      <c r="L141">
        <f>VLOOKUP(A141,DB!A:I,3,FALSE)</f>
        <v>0.46029999999999999</v>
      </c>
      <c r="M141">
        <f>VLOOKUP(A141,DB!A:I,4,FALSE)</f>
        <v>-9.3600000000000003E-2</v>
      </c>
      <c r="N141">
        <f>VLOOKUP(A141,DB!A:I,5,FALSE)</f>
        <v>5.7400000000000003E-3</v>
      </c>
      <c r="O141">
        <f>VLOOKUP(A141,DB!A:I,6,FALSE)</f>
        <v>4.5999999999999999E-3</v>
      </c>
      <c r="P141">
        <f>VLOOKUP(A141,DB!A:I,7,FALSE)</f>
        <v>1.14E-3</v>
      </c>
      <c r="Q141">
        <f>VLOOKUP(A141,DB!A:I,8,FALSE)</f>
        <v>0.48039999999999999</v>
      </c>
      <c r="R141">
        <f>VLOOKUP(A141,DB!A:I,9,FALSE)</f>
        <v>0.45419999999999999</v>
      </c>
      <c r="S141">
        <f>N141 *SQRT(H141)</f>
        <v>9.9419716354453556</v>
      </c>
      <c r="T141">
        <f>L141/N141</f>
        <v>80.191637630662015</v>
      </c>
    </row>
    <row r="142" spans="1:20" x14ac:dyDescent="0.25">
      <c r="A142" t="s">
        <v>894</v>
      </c>
      <c r="B142" t="s">
        <v>309</v>
      </c>
      <c r="C142" s="4">
        <v>0.19634799999999999</v>
      </c>
      <c r="D142" s="4">
        <v>0.371</v>
      </c>
      <c r="E142" s="4">
        <v>3.7089999999999998E-2</v>
      </c>
      <c r="F142" s="4">
        <v>0.435</v>
      </c>
      <c r="G142">
        <v>4.0299999999999997E-3</v>
      </c>
      <c r="H142">
        <f>VLOOKUP(A142,DB!A:I,2,FALSE)</f>
        <v>3000000</v>
      </c>
      <c r="I142">
        <f>VLOOKUP(A142,'RE@CD'!A:D,2,FALSE)</f>
        <v>675000</v>
      </c>
      <c r="J142">
        <f>VLOOKUP(A142,'RE@CD'!A:D,3,FALSE)</f>
        <v>225000</v>
      </c>
      <c r="K142">
        <f>VLOOKUP(A142,'RE@CD'!A:D,4,FALSE)</f>
        <v>275000</v>
      </c>
      <c r="L142">
        <f>VLOOKUP(A142,DB!A:I,3,FALSE)</f>
        <v>0.48559999999999998</v>
      </c>
      <c r="M142">
        <f>VLOOKUP(A142,DB!A:I,4,FALSE)</f>
        <v>-0.10340000000000001</v>
      </c>
      <c r="N142">
        <f>VLOOKUP(A142,DB!A:I,5,FALSE)</f>
        <v>5.7299999999999999E-3</v>
      </c>
      <c r="O142">
        <f>VLOOKUP(A142,DB!A:I,6,FALSE)</f>
        <v>4.4099999999999999E-3</v>
      </c>
      <c r="P142">
        <f>VLOOKUP(A142,DB!A:I,7,FALSE)</f>
        <v>1.32E-3</v>
      </c>
      <c r="Q142">
        <f>VLOOKUP(A142,DB!A:I,8,FALSE)</f>
        <v>0.52349999999999997</v>
      </c>
      <c r="R142">
        <f>VLOOKUP(A142,DB!A:I,9,FALSE)</f>
        <v>0.52039999999999997</v>
      </c>
      <c r="S142">
        <f>N142 *SQRT(H142)</f>
        <v>9.9246511273696658</v>
      </c>
      <c r="T142">
        <f>L142/N142</f>
        <v>84.746945898778364</v>
      </c>
    </row>
    <row r="143" spans="1:20" x14ac:dyDescent="0.25">
      <c r="A143" t="s">
        <v>1012</v>
      </c>
      <c r="B143" t="s">
        <v>423</v>
      </c>
      <c r="C143" s="4">
        <v>0.119669</v>
      </c>
      <c r="D143" s="4">
        <v>0.26200000000000001</v>
      </c>
      <c r="E143" s="4">
        <v>1.1228E-2</v>
      </c>
      <c r="F143" s="4">
        <v>0.221</v>
      </c>
      <c r="G143">
        <v>4.0499999999999998E-3</v>
      </c>
      <c r="H143">
        <f>VLOOKUP(A143,DB!A:I,2,FALSE)</f>
        <v>3000000</v>
      </c>
      <c r="I143">
        <f>VLOOKUP(A143,'RE@CD'!A:D,2,FALSE)</f>
        <v>225000</v>
      </c>
      <c r="J143">
        <f>VLOOKUP(A143,'RE@CD'!A:D,3,FALSE)</f>
        <v>60000</v>
      </c>
      <c r="K143">
        <f>VLOOKUP(A143,'RE@CD'!A:D,4,FALSE)</f>
        <v>80000</v>
      </c>
      <c r="L143">
        <f>VLOOKUP(A143,DB!A:I,3,FALSE)</f>
        <v>-3.5999999999999999E-3</v>
      </c>
      <c r="M143">
        <f>VLOOKUP(A143,DB!A:I,4,FALSE)</f>
        <v>1.8200000000000001E-2</v>
      </c>
      <c r="N143">
        <f>VLOOKUP(A143,DB!A:I,5,FALSE)</f>
        <v>5.7299999999999999E-3</v>
      </c>
      <c r="O143">
        <f>VLOOKUP(A143,DB!A:I,6,FALSE)</f>
        <v>5.0099999999999997E-3</v>
      </c>
      <c r="P143">
        <f>VLOOKUP(A143,DB!A:I,7,FALSE)</f>
        <v>7.1000000000000002E-4</v>
      </c>
      <c r="Q143">
        <f>VLOOKUP(A143,DB!A:I,8,FALSE)</f>
        <v>0.34370000000000001</v>
      </c>
      <c r="R143">
        <f>VLOOKUP(A143,DB!A:I,9,FALSE)</f>
        <v>0.44890000000000002</v>
      </c>
      <c r="S143">
        <f>N143 *SQRT(H143)</f>
        <v>9.9246511273696658</v>
      </c>
      <c r="T143">
        <f>L143/N143</f>
        <v>-0.62827225130890052</v>
      </c>
    </row>
    <row r="144" spans="1:20" x14ac:dyDescent="0.25">
      <c r="A144" t="s">
        <v>655</v>
      </c>
      <c r="B144" t="s">
        <v>70</v>
      </c>
      <c r="C144" s="4">
        <v>0.1106</v>
      </c>
      <c r="D144" s="4">
        <v>0.29199999999999998</v>
      </c>
      <c r="E144" s="4">
        <v>6.7589999999999997E-2</v>
      </c>
      <c r="F144" s="4">
        <v>0.45100000000000001</v>
      </c>
      <c r="G144">
        <v>9.2399999999999999E-3</v>
      </c>
      <c r="H144">
        <f>VLOOKUP(A144,DB!A:I,2,FALSE)</f>
        <v>3000000</v>
      </c>
      <c r="I144">
        <f>VLOOKUP(A144,'RE@CD'!A:D,2,FALSE)</f>
        <v>500000</v>
      </c>
      <c r="J144">
        <f>VLOOKUP(A144,'RE@CD'!A:D,3,FALSE)</f>
        <v>225000</v>
      </c>
      <c r="K144">
        <f>VLOOKUP(A144,'RE@CD'!A:D,4,FALSE)</f>
        <v>225000</v>
      </c>
      <c r="L144">
        <f>VLOOKUP(A144,DB!A:I,3,FALSE)</f>
        <v>0.74890000000000001</v>
      </c>
      <c r="M144">
        <f>VLOOKUP(A144,DB!A:I,4,FALSE)</f>
        <v>-0.1565</v>
      </c>
      <c r="N144">
        <f>VLOOKUP(A144,DB!A:I,5,FALSE)</f>
        <v>5.7099999999999998E-3</v>
      </c>
      <c r="O144">
        <f>VLOOKUP(A144,DB!A:I,6,FALSE)</f>
        <v>4.7999999999999996E-3</v>
      </c>
      <c r="P144">
        <f>VLOOKUP(A144,DB!A:I,7,FALSE)</f>
        <v>8.9999999999999998E-4</v>
      </c>
      <c r="Q144">
        <f>VLOOKUP(A144,DB!A:I,8,FALSE)</f>
        <v>0.62819999999999998</v>
      </c>
      <c r="R144">
        <f>VLOOKUP(A144,DB!A:I,9,FALSE)</f>
        <v>2.9600000000000001E-2</v>
      </c>
      <c r="S144">
        <f>N144 *SQRT(H144)</f>
        <v>9.8900101112182881</v>
      </c>
      <c r="T144">
        <f>L144/N144</f>
        <v>131.15586690017514</v>
      </c>
    </row>
    <row r="145" spans="1:20" x14ac:dyDescent="0.25">
      <c r="A145" t="s">
        <v>659</v>
      </c>
      <c r="B145" t="s">
        <v>74</v>
      </c>
      <c r="C145" s="4">
        <v>0.114847</v>
      </c>
      <c r="D145" s="4">
        <v>0.28599999999999998</v>
      </c>
      <c r="E145" s="4">
        <v>2.1617999999999998E-2</v>
      </c>
      <c r="F145" s="4">
        <v>0.28599999999999998</v>
      </c>
      <c r="G145">
        <v>3.2000000000000002E-3</v>
      </c>
      <c r="H145">
        <f>VLOOKUP(A145,DB!A:I,2,FALSE)</f>
        <v>2900000</v>
      </c>
      <c r="I145">
        <f>VLOOKUP(A145,'RE@CD'!A:D,2,FALSE)</f>
        <v>200000</v>
      </c>
      <c r="J145">
        <f>VLOOKUP(A145,'RE@CD'!A:D,3,FALSE)</f>
        <v>60000</v>
      </c>
      <c r="K145">
        <f>VLOOKUP(A145,'RE@CD'!A:D,4,FALSE)</f>
        <v>70000</v>
      </c>
      <c r="L145">
        <f>VLOOKUP(A145,DB!A:I,3,FALSE)</f>
        <v>0.26400000000000001</v>
      </c>
      <c r="M145">
        <f>VLOOKUP(A145,DB!A:I,4,FALSE)</f>
        <v>-4.19E-2</v>
      </c>
      <c r="N145">
        <f>VLOOKUP(A145,DB!A:I,5,FALSE)</f>
        <v>5.7099999999999998E-3</v>
      </c>
      <c r="O145">
        <f>VLOOKUP(A145,DB!A:I,6,FALSE)</f>
        <v>4.8900000000000002E-3</v>
      </c>
      <c r="P145">
        <f>VLOOKUP(A145,DB!A:I,7,FALSE)</f>
        <v>8.3000000000000001E-4</v>
      </c>
      <c r="Q145">
        <f>VLOOKUP(A145,DB!A:I,8,FALSE)</f>
        <v>0.40129999999999999</v>
      </c>
      <c r="R145">
        <f>VLOOKUP(A145,DB!A:I,9,FALSE)</f>
        <v>0.4516</v>
      </c>
      <c r="S145">
        <f>N145 *SQRT(H145)</f>
        <v>9.7237796149439735</v>
      </c>
      <c r="T145">
        <f>L145/N145</f>
        <v>46.234676007005255</v>
      </c>
    </row>
    <row r="146" spans="1:20" x14ac:dyDescent="0.25">
      <c r="A146" t="s">
        <v>836</v>
      </c>
      <c r="B146" t="s">
        <v>251</v>
      </c>
      <c r="C146" s="4">
        <v>0.157275</v>
      </c>
      <c r="D146" s="4">
        <v>0.32200000000000001</v>
      </c>
      <c r="E146" s="4">
        <v>3.7627000000000001E-2</v>
      </c>
      <c r="F146" s="4">
        <v>0.50600000000000001</v>
      </c>
      <c r="G146">
        <v>1.33E-3</v>
      </c>
      <c r="H146">
        <f>VLOOKUP(A146,DB!A:I,2,FALSE)</f>
        <v>3000000</v>
      </c>
      <c r="I146">
        <f>VLOOKUP(A146,'RE@CD'!A:D,2,FALSE)</f>
        <v>425000</v>
      </c>
      <c r="J146">
        <f>VLOOKUP(A146,'RE@CD'!A:D,3,FALSE)</f>
        <v>125000</v>
      </c>
      <c r="K146">
        <f>VLOOKUP(A146,'RE@CD'!A:D,4,FALSE)</f>
        <v>150000</v>
      </c>
      <c r="L146">
        <f>VLOOKUP(A146,DB!A:I,3,FALSE)</f>
        <v>0.54710000000000003</v>
      </c>
      <c r="M146">
        <f>VLOOKUP(A146,DB!A:I,4,FALSE)</f>
        <v>-0.12590000000000001</v>
      </c>
      <c r="N146">
        <f>VLOOKUP(A146,DB!A:I,5,FALSE)</f>
        <v>5.7000000000000002E-3</v>
      </c>
      <c r="O146">
        <f>VLOOKUP(A146,DB!A:I,6,FALSE)</f>
        <v>4.5999999999999999E-3</v>
      </c>
      <c r="P146">
        <f>VLOOKUP(A146,DB!A:I,7,FALSE)</f>
        <v>1.1000000000000001E-3</v>
      </c>
      <c r="Q146">
        <f>VLOOKUP(A146,DB!A:I,8,FALSE)</f>
        <v>0.49569999999999997</v>
      </c>
      <c r="R146">
        <f>VLOOKUP(A146,DB!A:I,9,FALSE)</f>
        <v>0.46689999999999998</v>
      </c>
      <c r="S146">
        <f>N146 *SQRT(H146)</f>
        <v>9.8726896031426001</v>
      </c>
      <c r="T146">
        <f>L146/N146</f>
        <v>95.982456140350877</v>
      </c>
    </row>
    <row r="147" spans="1:20" x14ac:dyDescent="0.25">
      <c r="A147" t="s">
        <v>611</v>
      </c>
      <c r="B147" t="s">
        <v>26</v>
      </c>
      <c r="C147" s="4">
        <v>6.9265999999999994E-2</v>
      </c>
      <c r="D147" s="4">
        <v>0.23200000000000001</v>
      </c>
      <c r="E147" s="4">
        <v>2.0291E-2</v>
      </c>
      <c r="F147" s="4">
        <v>0.30499999999999999</v>
      </c>
      <c r="G147">
        <v>4.1599999999999996E-3</v>
      </c>
      <c r="H147">
        <f>VLOOKUP(A147,DB!A:I,2,FALSE)</f>
        <v>3000000</v>
      </c>
      <c r="I147">
        <f>VLOOKUP(A147,'RE@CD'!A:D,2,FALSE)</f>
        <v>100000</v>
      </c>
      <c r="J147">
        <f>VLOOKUP(A147,'RE@CD'!A:D,3,FALSE)</f>
        <v>50000</v>
      </c>
      <c r="K147">
        <f>VLOOKUP(A147,'RE@CD'!A:D,4,FALSE)</f>
        <v>50000</v>
      </c>
      <c r="L147">
        <f>VLOOKUP(A147,DB!A:I,3,FALSE)</f>
        <v>8.7499999999999994E-2</v>
      </c>
      <c r="M147">
        <f>VLOOKUP(A147,DB!A:I,4,FALSE)</f>
        <v>-2.9100000000000001E-2</v>
      </c>
      <c r="N147">
        <f>VLOOKUP(A147,DB!A:I,5,FALSE)</f>
        <v>5.6899999999999997E-3</v>
      </c>
      <c r="O147">
        <f>VLOOKUP(A147,DB!A:I,6,FALSE)</f>
        <v>5.1900000000000002E-3</v>
      </c>
      <c r="P147">
        <f>VLOOKUP(A147,DB!A:I,7,FALSE)</f>
        <v>5.0000000000000001E-4</v>
      </c>
      <c r="Q147">
        <f>VLOOKUP(A147,DB!A:I,8,FALSE)</f>
        <v>0.50529999999999997</v>
      </c>
      <c r="R147">
        <f>VLOOKUP(A147,DB!A:I,9,FALSE)</f>
        <v>0.1512</v>
      </c>
      <c r="S147">
        <f>N147 *SQRT(H147)</f>
        <v>9.8553690950669104</v>
      </c>
      <c r="T147">
        <f>L147/N147</f>
        <v>15.377855887521967</v>
      </c>
    </row>
    <row r="148" spans="1:20" x14ac:dyDescent="0.25">
      <c r="A148" t="s">
        <v>1113</v>
      </c>
      <c r="B148" t="s">
        <v>524</v>
      </c>
      <c r="C148" s="4">
        <v>0.108602</v>
      </c>
      <c r="D148" s="4">
        <v>0.307</v>
      </c>
      <c r="E148" s="4">
        <v>4.1647999999999998E-2</v>
      </c>
      <c r="F148" s="4">
        <v>0.39800000000000002</v>
      </c>
      <c r="G148">
        <v>1.64E-3</v>
      </c>
      <c r="H148">
        <f>VLOOKUP(A148,DB!A:I,2,FALSE)</f>
        <v>3000000</v>
      </c>
      <c r="I148">
        <f>VLOOKUP(A148,'RE@CD'!A:D,2,FALSE)</f>
        <v>225000</v>
      </c>
      <c r="J148">
        <f>VLOOKUP(A148,'RE@CD'!A:D,3,FALSE)</f>
        <v>100000</v>
      </c>
      <c r="K148">
        <f>VLOOKUP(A148,'RE@CD'!A:D,4,FALSE)</f>
        <v>125000</v>
      </c>
      <c r="L148">
        <f>VLOOKUP(A148,DB!A:I,3,FALSE)</f>
        <v>0.43880000000000002</v>
      </c>
      <c r="M148">
        <f>VLOOKUP(A148,DB!A:I,4,FALSE)</f>
        <v>-8.1699999999999995E-2</v>
      </c>
      <c r="N148">
        <f>VLOOKUP(A148,DB!A:I,5,FALSE)</f>
        <v>5.6899999999999997E-3</v>
      </c>
      <c r="O148">
        <f>VLOOKUP(A148,DB!A:I,6,FALSE)</f>
        <v>5.0000000000000001E-3</v>
      </c>
      <c r="P148">
        <f>VLOOKUP(A148,DB!A:I,7,FALSE)</f>
        <v>6.8999999999999997E-4</v>
      </c>
      <c r="Q148">
        <f>VLOOKUP(A148,DB!A:I,8,FALSE)</f>
        <v>0.54769999999999996</v>
      </c>
      <c r="R148">
        <f>VLOOKUP(A148,DB!A:I,9,FALSE)</f>
        <v>0.1719</v>
      </c>
      <c r="S148">
        <f>N148 *SQRT(H148)</f>
        <v>9.8553690950669104</v>
      </c>
      <c r="T148">
        <f>L148/N148</f>
        <v>77.117750439367313</v>
      </c>
    </row>
    <row r="149" spans="1:20" x14ac:dyDescent="0.25">
      <c r="A149" t="s">
        <v>717</v>
      </c>
      <c r="B149" t="s">
        <v>132</v>
      </c>
      <c r="C149" s="4">
        <v>0.13991300000000001</v>
      </c>
      <c r="D149" s="4">
        <v>0.311</v>
      </c>
      <c r="E149" s="4">
        <v>3.0311999999999999E-2</v>
      </c>
      <c r="F149" s="4">
        <v>0.22900000000000001</v>
      </c>
      <c r="G149">
        <v>3.3E-3</v>
      </c>
      <c r="H149">
        <f>VLOOKUP(A149,DB!A:I,2,FALSE)</f>
        <v>1500000</v>
      </c>
      <c r="I149">
        <f>VLOOKUP(A149,'RE@CD'!A:D,2,FALSE)</f>
        <v>650000</v>
      </c>
      <c r="J149">
        <f>VLOOKUP(A149,'RE@CD'!A:D,3,FALSE)</f>
        <v>125000</v>
      </c>
      <c r="K149">
        <f>VLOOKUP(A149,'RE@CD'!A:D,4,FALSE)</f>
        <v>175000</v>
      </c>
      <c r="L149">
        <f>VLOOKUP(A149,DB!A:I,3,FALSE)</f>
        <v>5.0700000000000002E-2</v>
      </c>
      <c r="M149">
        <f>VLOOKUP(A149,DB!A:I,4,FALSE)</f>
        <v>3.1300000000000001E-2</v>
      </c>
      <c r="N149">
        <f>VLOOKUP(A149,DB!A:I,5,FALSE)</f>
        <v>5.6800000000000002E-3</v>
      </c>
      <c r="O149">
        <f>VLOOKUP(A149,DB!A:I,6,FALSE)</f>
        <v>4.3400000000000001E-3</v>
      </c>
      <c r="P149">
        <f>VLOOKUP(A149,DB!A:I,7,FALSE)</f>
        <v>1.34E-3</v>
      </c>
      <c r="Q149">
        <f>VLOOKUP(A149,DB!A:I,8,FALSE)</f>
        <v>0.38319999999999999</v>
      </c>
      <c r="R149">
        <f>VLOOKUP(A149,DB!A:I,9,FALSE)</f>
        <v>0.82469999999999999</v>
      </c>
      <c r="S149">
        <f>N149 *SQRT(H149)</f>
        <v>6.9565508695042251</v>
      </c>
      <c r="T149">
        <f>L149/N149</f>
        <v>8.9260563380281699</v>
      </c>
    </row>
    <row r="150" spans="1:20" x14ac:dyDescent="0.25">
      <c r="A150" t="s">
        <v>801</v>
      </c>
      <c r="B150" t="s">
        <v>216</v>
      </c>
      <c r="C150" s="4">
        <v>0.129999</v>
      </c>
      <c r="D150" s="4">
        <v>0.3</v>
      </c>
      <c r="E150" s="4">
        <v>2.8771000000000001E-2</v>
      </c>
      <c r="F150" s="4">
        <v>0.22500000000000001</v>
      </c>
      <c r="G150">
        <v>3.8700000000000002E-3</v>
      </c>
      <c r="H150">
        <f>VLOOKUP(A150,DB!A:I,2,FALSE)</f>
        <v>1300000</v>
      </c>
      <c r="I150">
        <f>VLOOKUP(A150,'RE@CD'!A:D,2,FALSE)</f>
        <v>425000</v>
      </c>
      <c r="J150">
        <f>VLOOKUP(A150,'RE@CD'!A:D,3,FALSE)</f>
        <v>80000</v>
      </c>
      <c r="K150">
        <f>VLOOKUP(A150,'RE@CD'!A:D,4,FALSE)</f>
        <v>125000</v>
      </c>
      <c r="L150">
        <f>VLOOKUP(A150,DB!A:I,3,FALSE)</f>
        <v>5.9400000000000001E-2</v>
      </c>
      <c r="M150">
        <f>VLOOKUP(A150,DB!A:I,4,FALSE)</f>
        <v>2.58E-2</v>
      </c>
      <c r="N150">
        <f>VLOOKUP(A150,DB!A:I,5,FALSE)</f>
        <v>5.6800000000000002E-3</v>
      </c>
      <c r="O150">
        <f>VLOOKUP(A150,DB!A:I,6,FALSE)</f>
        <v>4.3699999999999998E-3</v>
      </c>
      <c r="P150">
        <f>VLOOKUP(A150,DB!A:I,7,FALSE)</f>
        <v>1.31E-3</v>
      </c>
      <c r="Q150">
        <f>VLOOKUP(A150,DB!A:I,8,FALSE)</f>
        <v>0.43659999999999999</v>
      </c>
      <c r="R150">
        <f>VLOOKUP(A150,DB!A:I,9,FALSE)</f>
        <v>0.79179999999999995</v>
      </c>
      <c r="S150">
        <f>N150 *SQRT(H150)</f>
        <v>6.4761964145631037</v>
      </c>
      <c r="T150">
        <f>L150/N150</f>
        <v>10.45774647887324</v>
      </c>
    </row>
    <row r="151" spans="1:20" x14ac:dyDescent="0.25">
      <c r="A151" t="s">
        <v>870</v>
      </c>
      <c r="B151" t="s">
        <v>285</v>
      </c>
      <c r="C151" s="4">
        <v>0.12593799999999999</v>
      </c>
      <c r="D151" s="4">
        <v>0.27900000000000003</v>
      </c>
      <c r="E151" s="4">
        <v>3.5057999999999999E-2</v>
      </c>
      <c r="F151" s="4">
        <v>0.56499999999999995</v>
      </c>
      <c r="G151">
        <v>3.2200000000000002E-3</v>
      </c>
      <c r="H151">
        <f>VLOOKUP(A151,DB!A:I,2,FALSE)</f>
        <v>3000000</v>
      </c>
      <c r="I151">
        <f>VLOOKUP(A151,'RE@CD'!A:D,2,FALSE)</f>
        <v>275000</v>
      </c>
      <c r="J151">
        <f>VLOOKUP(A151,'RE@CD'!A:D,3,FALSE)</f>
        <v>100000</v>
      </c>
      <c r="K151">
        <f>VLOOKUP(A151,'RE@CD'!A:D,4,FALSE)</f>
        <v>125000</v>
      </c>
      <c r="L151">
        <f>VLOOKUP(A151,DB!A:I,3,FALSE)</f>
        <v>0.51419999999999999</v>
      </c>
      <c r="M151">
        <f>VLOOKUP(A151,DB!A:I,4,FALSE)</f>
        <v>-0.1174</v>
      </c>
      <c r="N151">
        <f>VLOOKUP(A151,DB!A:I,5,FALSE)</f>
        <v>5.6800000000000002E-3</v>
      </c>
      <c r="O151">
        <f>VLOOKUP(A151,DB!A:I,6,FALSE)</f>
        <v>4.8300000000000001E-3</v>
      </c>
      <c r="P151">
        <f>VLOOKUP(A151,DB!A:I,7,FALSE)</f>
        <v>8.5999999999999998E-4</v>
      </c>
      <c r="Q151">
        <f>VLOOKUP(A151,DB!A:I,8,FALSE)</f>
        <v>0.45450000000000002</v>
      </c>
      <c r="R151">
        <f>VLOOKUP(A151,DB!A:I,9,FALSE)</f>
        <v>0.38440000000000002</v>
      </c>
      <c r="S151">
        <f>N151 *SQRT(H151)</f>
        <v>9.8380485869912224</v>
      </c>
      <c r="T151">
        <f>L151/N151</f>
        <v>90.528169014084497</v>
      </c>
    </row>
    <row r="152" spans="1:20" x14ac:dyDescent="0.25">
      <c r="A152" t="s">
        <v>602</v>
      </c>
      <c r="B152" t="s">
        <v>17</v>
      </c>
      <c r="C152" s="4">
        <v>6.4884999999999998E-2</v>
      </c>
      <c r="D152" s="4">
        <v>0.221</v>
      </c>
      <c r="E152" s="4">
        <v>2.0279999999999999E-2</v>
      </c>
      <c r="F152" s="4">
        <v>0.45500000000000002</v>
      </c>
      <c r="G152">
        <v>3.6099999999999999E-3</v>
      </c>
      <c r="H152">
        <f>VLOOKUP(A152,DB!A:I,2,FALSE)</f>
        <v>700000</v>
      </c>
      <c r="I152">
        <f>VLOOKUP(A152,'RE@CD'!A:D,2,FALSE)</f>
        <v>125000</v>
      </c>
      <c r="J152">
        <f>VLOOKUP(A152,'RE@CD'!A:D,3,FALSE)</f>
        <v>50000</v>
      </c>
      <c r="K152">
        <f>VLOOKUP(A152,'RE@CD'!A:D,4,FALSE)</f>
        <v>70000</v>
      </c>
      <c r="L152">
        <f>VLOOKUP(A152,DB!A:I,3,FALSE)</f>
        <v>0.24440000000000001</v>
      </c>
      <c r="M152">
        <f>VLOOKUP(A152,DB!A:I,4,FALSE)</f>
        <v>-5.1900000000000002E-2</v>
      </c>
      <c r="N152">
        <f>VLOOKUP(A152,DB!A:I,5,FALSE)</f>
        <v>4.2900000000000004E-3</v>
      </c>
      <c r="O152">
        <f>VLOOKUP(A152,DB!A:I,6,FALSE)</f>
        <v>3.3800000000000002E-3</v>
      </c>
      <c r="P152">
        <f>VLOOKUP(A152,DB!A:I,7,FALSE)</f>
        <v>9.1E-4</v>
      </c>
      <c r="Q152">
        <f>VLOOKUP(A152,DB!A:I,8,FALSE)</f>
        <v>0.77890000000000004</v>
      </c>
      <c r="R152">
        <f>VLOOKUP(A152,DB!A:I,9,FALSE)</f>
        <v>1</v>
      </c>
      <c r="S152">
        <f>N152 *SQRT(H152)</f>
        <v>3.5892715138311844</v>
      </c>
      <c r="T152">
        <f>L152/N152</f>
        <v>56.969696969696969</v>
      </c>
    </row>
    <row r="153" spans="1:20" x14ac:dyDescent="0.25">
      <c r="A153" t="s">
        <v>627</v>
      </c>
      <c r="B153" t="s">
        <v>42</v>
      </c>
      <c r="C153" s="4">
        <v>0.13549</v>
      </c>
      <c r="D153" s="4">
        <v>0.33900000000000002</v>
      </c>
      <c r="E153" s="4">
        <v>3.3749000000000001E-2</v>
      </c>
      <c r="F153" s="4">
        <v>0.33900000000000002</v>
      </c>
      <c r="G153">
        <v>6.6800000000000002E-3</v>
      </c>
      <c r="H153">
        <f>VLOOKUP(A153,DB!A:I,2,FALSE)</f>
        <v>2300000</v>
      </c>
      <c r="I153">
        <f>VLOOKUP(A153,'RE@CD'!A:D,2,FALSE)</f>
        <v>400000</v>
      </c>
      <c r="J153">
        <f>VLOOKUP(A153,'RE@CD'!A:D,3,FALSE)</f>
        <v>175000</v>
      </c>
      <c r="K153">
        <f>VLOOKUP(A153,'RE@CD'!A:D,4,FALSE)</f>
        <v>200000</v>
      </c>
      <c r="L153">
        <f>VLOOKUP(A153,DB!A:I,3,FALSE)</f>
        <v>0.1145</v>
      </c>
      <c r="M153">
        <f>VLOOKUP(A153,DB!A:I,4,FALSE)</f>
        <v>7.0000000000000001E-3</v>
      </c>
      <c r="N153">
        <f>VLOOKUP(A153,DB!A:I,5,FALSE)</f>
        <v>5.6699999999999997E-3</v>
      </c>
      <c r="O153">
        <f>VLOOKUP(A153,DB!A:I,6,FALSE)</f>
        <v>4.6699999999999997E-3</v>
      </c>
      <c r="P153">
        <f>VLOOKUP(A153,DB!A:I,7,FALSE)</f>
        <v>1E-3</v>
      </c>
      <c r="Q153">
        <f>VLOOKUP(A153,DB!A:I,8,FALSE)</f>
        <v>0.52439999999999998</v>
      </c>
      <c r="R153">
        <f>VLOOKUP(A153,DB!A:I,9,FALSE)</f>
        <v>0.45190000000000002</v>
      </c>
      <c r="S153">
        <f>N153 *SQRT(H153)</f>
        <v>8.5989807535544571</v>
      </c>
      <c r="T153">
        <f>L153/N153</f>
        <v>20.194003527336864</v>
      </c>
    </row>
    <row r="154" spans="1:20" x14ac:dyDescent="0.25">
      <c r="A154" t="s">
        <v>652</v>
      </c>
      <c r="B154" t="s">
        <v>67</v>
      </c>
      <c r="C154" s="4">
        <v>0.16001099999999999</v>
      </c>
      <c r="D154" s="4">
        <v>0.376</v>
      </c>
      <c r="E154" s="4">
        <v>5.6163999999999999E-2</v>
      </c>
      <c r="F154" s="4">
        <v>0.443</v>
      </c>
      <c r="G154">
        <v>1.508E-2</v>
      </c>
      <c r="H154">
        <f>VLOOKUP(A154,DB!A:I,2,FALSE)</f>
        <v>3000000</v>
      </c>
      <c r="I154">
        <f>VLOOKUP(A154,'RE@CD'!A:D,2,FALSE)</f>
        <v>500000</v>
      </c>
      <c r="J154">
        <f>VLOOKUP(A154,'RE@CD'!A:D,3,FALSE)</f>
        <v>225000</v>
      </c>
      <c r="K154">
        <f>VLOOKUP(A154,'RE@CD'!A:D,4,FALSE)</f>
        <v>250000</v>
      </c>
      <c r="L154">
        <f>VLOOKUP(A154,DB!A:I,3,FALSE)</f>
        <v>0.66220000000000001</v>
      </c>
      <c r="M154">
        <f>VLOOKUP(A154,DB!A:I,4,FALSE)</f>
        <v>-0.13320000000000001</v>
      </c>
      <c r="N154">
        <f>VLOOKUP(A154,DB!A:I,5,FALSE)</f>
        <v>5.6699999999999997E-3</v>
      </c>
      <c r="O154">
        <f>VLOOKUP(A154,DB!A:I,6,FALSE)</f>
        <v>4.47E-3</v>
      </c>
      <c r="P154">
        <f>VLOOKUP(A154,DB!A:I,7,FALSE)</f>
        <v>1.2099999999999999E-3</v>
      </c>
      <c r="Q154">
        <f>VLOOKUP(A154,DB!A:I,8,FALSE)</f>
        <v>0.58550000000000002</v>
      </c>
      <c r="R154">
        <f>VLOOKUP(A154,DB!A:I,9,FALSE)</f>
        <v>0.36370000000000002</v>
      </c>
      <c r="S154">
        <f>N154 *SQRT(H154)</f>
        <v>9.8207280789155327</v>
      </c>
      <c r="T154">
        <f>L154/N154</f>
        <v>116.79012345679013</v>
      </c>
    </row>
    <row r="155" spans="1:20" x14ac:dyDescent="0.25">
      <c r="A155" t="s">
        <v>886</v>
      </c>
      <c r="B155" t="s">
        <v>301</v>
      </c>
      <c r="C155" s="4">
        <v>0.18845600000000001</v>
      </c>
      <c r="D155" s="4">
        <v>0.35</v>
      </c>
      <c r="E155" s="4">
        <v>3.7144999999999997E-2</v>
      </c>
      <c r="F155" s="4">
        <v>0.40100000000000002</v>
      </c>
      <c r="G155">
        <v>2.5799999999999998E-3</v>
      </c>
      <c r="H155">
        <f>VLOOKUP(A155,DB!A:I,2,FALSE)</f>
        <v>3000000</v>
      </c>
      <c r="I155">
        <f>VLOOKUP(A155,'RE@CD'!A:D,2,FALSE)</f>
        <v>625000</v>
      </c>
      <c r="J155">
        <f>VLOOKUP(A155,'RE@CD'!A:D,3,FALSE)</f>
        <v>200000</v>
      </c>
      <c r="K155">
        <f>VLOOKUP(A155,'RE@CD'!A:D,4,FALSE)</f>
        <v>250000</v>
      </c>
      <c r="L155">
        <f>VLOOKUP(A155,DB!A:I,3,FALSE)</f>
        <v>0.4405</v>
      </c>
      <c r="M155">
        <f>VLOOKUP(A155,DB!A:I,4,FALSE)</f>
        <v>-9.0399999999999994E-2</v>
      </c>
      <c r="N155">
        <f>VLOOKUP(A155,DB!A:I,5,FALSE)</f>
        <v>5.6699999999999997E-3</v>
      </c>
      <c r="O155">
        <f>VLOOKUP(A155,DB!A:I,6,FALSE)</f>
        <v>4.4799999999999996E-3</v>
      </c>
      <c r="P155">
        <f>VLOOKUP(A155,DB!A:I,7,FALSE)</f>
        <v>1.1900000000000001E-3</v>
      </c>
      <c r="Q155">
        <f>VLOOKUP(A155,DB!A:I,8,FALSE)</f>
        <v>0.47120000000000001</v>
      </c>
      <c r="R155">
        <f>VLOOKUP(A155,DB!A:I,9,FALSE)</f>
        <v>0.54969999999999997</v>
      </c>
      <c r="S155">
        <f>N155 *SQRT(H155)</f>
        <v>9.8207280789155327</v>
      </c>
      <c r="T155">
        <f>L155/N155</f>
        <v>77.689594356261026</v>
      </c>
    </row>
    <row r="156" spans="1:20" x14ac:dyDescent="0.25">
      <c r="A156" t="s">
        <v>892</v>
      </c>
      <c r="B156" t="s">
        <v>307</v>
      </c>
      <c r="C156" s="4">
        <v>0.16117500000000001</v>
      </c>
      <c r="D156" s="4">
        <v>0.33900000000000002</v>
      </c>
      <c r="E156" s="4">
        <v>3.8690000000000002E-2</v>
      </c>
      <c r="F156" s="4">
        <v>0.435</v>
      </c>
      <c r="G156">
        <v>4.3400000000000001E-3</v>
      </c>
      <c r="H156">
        <f>VLOOKUP(A156,DB!A:I,2,FALSE)</f>
        <v>3000000</v>
      </c>
      <c r="I156">
        <f>VLOOKUP(A156,'RE@CD'!A:D,2,FALSE)</f>
        <v>500000</v>
      </c>
      <c r="J156">
        <f>VLOOKUP(A156,'RE@CD'!A:D,3,FALSE)</f>
        <v>150000</v>
      </c>
      <c r="K156">
        <f>VLOOKUP(A156,'RE@CD'!A:D,4,FALSE)</f>
        <v>175000</v>
      </c>
      <c r="L156">
        <f>VLOOKUP(A156,DB!A:I,3,FALSE)</f>
        <v>0.47789999999999999</v>
      </c>
      <c r="M156">
        <f>VLOOKUP(A156,DB!A:I,4,FALSE)</f>
        <v>-9.7600000000000006E-2</v>
      </c>
      <c r="N156">
        <f>VLOOKUP(A156,DB!A:I,5,FALSE)</f>
        <v>5.6600000000000001E-3</v>
      </c>
      <c r="O156">
        <f>VLOOKUP(A156,DB!A:I,6,FALSE)</f>
        <v>4.64E-3</v>
      </c>
      <c r="P156">
        <f>VLOOKUP(A156,DB!A:I,7,FALSE)</f>
        <v>1.0300000000000001E-3</v>
      </c>
      <c r="Q156">
        <f>VLOOKUP(A156,DB!A:I,8,FALSE)</f>
        <v>0.4728</v>
      </c>
      <c r="R156">
        <f>VLOOKUP(A156,DB!A:I,9,FALSE)</f>
        <v>0.47889999999999999</v>
      </c>
      <c r="S156">
        <f>N156 *SQRT(H156)</f>
        <v>9.8034075708398447</v>
      </c>
      <c r="T156">
        <f>L156/N156</f>
        <v>84.434628975265014</v>
      </c>
    </row>
    <row r="157" spans="1:20" x14ac:dyDescent="0.25">
      <c r="A157" t="s">
        <v>714</v>
      </c>
      <c r="B157" t="s">
        <v>129</v>
      </c>
      <c r="C157" s="4">
        <v>0.13106300000000001</v>
      </c>
      <c r="D157" s="4">
        <v>0.31900000000000001</v>
      </c>
      <c r="E157" s="4">
        <v>3.2492E-2</v>
      </c>
      <c r="F157" s="4">
        <v>0.23599999999999999</v>
      </c>
      <c r="G157">
        <v>3.2000000000000002E-3</v>
      </c>
      <c r="H157">
        <f>VLOOKUP(A157,DB!A:I,2,FALSE)</f>
        <v>1450000</v>
      </c>
      <c r="I157">
        <f>VLOOKUP(A157,'RE@CD'!A:D,2,FALSE)</f>
        <v>550000</v>
      </c>
      <c r="J157">
        <f>VLOOKUP(A157,'RE@CD'!A:D,3,FALSE)</f>
        <v>90000</v>
      </c>
      <c r="K157">
        <f>VLOOKUP(A157,'RE@CD'!A:D,4,FALSE)</f>
        <v>150000</v>
      </c>
      <c r="L157">
        <f>VLOOKUP(A157,DB!A:I,3,FALSE)</f>
        <v>0.12859999999999999</v>
      </c>
      <c r="M157">
        <f>VLOOKUP(A157,DB!A:I,4,FALSE)</f>
        <v>9.7000000000000003E-3</v>
      </c>
      <c r="N157">
        <f>VLOOKUP(A157,DB!A:I,5,FALSE)</f>
        <v>5.64E-3</v>
      </c>
      <c r="O157">
        <f>VLOOKUP(A157,DB!A:I,6,FALSE)</f>
        <v>4.3600000000000002E-3</v>
      </c>
      <c r="P157">
        <f>VLOOKUP(A157,DB!A:I,7,FALSE)</f>
        <v>1.2800000000000001E-3</v>
      </c>
      <c r="Q157">
        <f>VLOOKUP(A157,DB!A:I,8,FALSE)</f>
        <v>0.40529999999999999</v>
      </c>
      <c r="R157">
        <f>VLOOKUP(A157,DB!A:I,9,FALSE)</f>
        <v>0.81179999999999997</v>
      </c>
      <c r="S157">
        <f>N157 *SQRT(H157)</f>
        <v>6.7914593424388556</v>
      </c>
      <c r="T157">
        <f>L157/N157</f>
        <v>22.801418439716311</v>
      </c>
    </row>
    <row r="158" spans="1:20" x14ac:dyDescent="0.25">
      <c r="A158" t="s">
        <v>736</v>
      </c>
      <c r="B158" t="s">
        <v>151</v>
      </c>
      <c r="C158" s="4">
        <v>0.141705</v>
      </c>
      <c r="D158" s="4">
        <v>0.29599999999999999</v>
      </c>
      <c r="E158" s="4">
        <v>5.2968000000000001E-2</v>
      </c>
      <c r="F158" s="4">
        <v>0.46800000000000003</v>
      </c>
      <c r="G158">
        <v>3.0400000000000002E-3</v>
      </c>
      <c r="H158">
        <f>VLOOKUP(A158,DB!A:I,2,FALSE)</f>
        <v>2900000</v>
      </c>
      <c r="I158">
        <f>VLOOKUP(A158,'RE@CD'!A:D,2,FALSE)</f>
        <v>400000</v>
      </c>
      <c r="J158">
        <f>VLOOKUP(A158,'RE@CD'!A:D,3,FALSE)</f>
        <v>175000</v>
      </c>
      <c r="K158">
        <f>VLOOKUP(A158,'RE@CD'!A:D,4,FALSE)</f>
        <v>175000</v>
      </c>
      <c r="L158">
        <f>VLOOKUP(A158,DB!A:I,3,FALSE)</f>
        <v>0.71530000000000005</v>
      </c>
      <c r="M158">
        <f>VLOOKUP(A158,DB!A:I,4,FALSE)</f>
        <v>-0.1646</v>
      </c>
      <c r="N158">
        <f>VLOOKUP(A158,DB!A:I,5,FALSE)</f>
        <v>5.64E-3</v>
      </c>
      <c r="O158">
        <f>VLOOKUP(A158,DB!A:I,6,FALSE)</f>
        <v>4.5799999999999999E-3</v>
      </c>
      <c r="P158">
        <f>VLOOKUP(A158,DB!A:I,7,FALSE)</f>
        <v>1.07E-3</v>
      </c>
      <c r="Q158">
        <f>VLOOKUP(A158,DB!A:I,8,FALSE)</f>
        <v>0.56620000000000004</v>
      </c>
      <c r="R158">
        <f>VLOOKUP(A158,DB!A:I,9,FALSE)</f>
        <v>0.3468</v>
      </c>
      <c r="S158">
        <f>N158 *SQRT(H158)</f>
        <v>9.6045739103824896</v>
      </c>
      <c r="T158">
        <f>L158/N158</f>
        <v>126.82624113475178</v>
      </c>
    </row>
    <row r="159" spans="1:20" x14ac:dyDescent="0.25">
      <c r="A159" t="s">
        <v>779</v>
      </c>
      <c r="B159" t="s">
        <v>194</v>
      </c>
      <c r="C159" s="4">
        <v>0.16020200000000001</v>
      </c>
      <c r="D159" s="4">
        <v>0.311</v>
      </c>
      <c r="E159" s="4">
        <v>3.1171000000000001E-2</v>
      </c>
      <c r="F159" s="4">
        <v>0.65300000000000002</v>
      </c>
      <c r="G159">
        <v>2.4199999999999998E-3</v>
      </c>
      <c r="H159">
        <f>VLOOKUP(A159,DB!A:I,2,FALSE)</f>
        <v>3000000</v>
      </c>
      <c r="I159">
        <f>VLOOKUP(A159,'RE@CD'!A:D,2,FALSE)</f>
        <v>400000</v>
      </c>
      <c r="J159">
        <f>VLOOKUP(A159,'RE@CD'!A:D,3,FALSE)</f>
        <v>125000</v>
      </c>
      <c r="K159">
        <f>VLOOKUP(A159,'RE@CD'!A:D,4,FALSE)</f>
        <v>150000</v>
      </c>
      <c r="L159">
        <f>VLOOKUP(A159,DB!A:I,3,FALSE)</f>
        <v>0.53500000000000003</v>
      </c>
      <c r="M159">
        <f>VLOOKUP(A159,DB!A:I,4,FALSE)</f>
        <v>-0.13159999999999999</v>
      </c>
      <c r="N159">
        <f>VLOOKUP(A159,DB!A:I,5,FALSE)</f>
        <v>5.64E-3</v>
      </c>
      <c r="O159">
        <f>VLOOKUP(A159,DB!A:I,6,FALSE)</f>
        <v>4.6600000000000001E-3</v>
      </c>
      <c r="P159">
        <f>VLOOKUP(A159,DB!A:I,7,FALSE)</f>
        <v>9.8999999999999999E-4</v>
      </c>
      <c r="Q159">
        <f>VLOOKUP(A159,DB!A:I,8,FALSE)</f>
        <v>0.52749999999999997</v>
      </c>
      <c r="R159">
        <f>VLOOKUP(A159,DB!A:I,9,FALSE)</f>
        <v>0.39729999999999999</v>
      </c>
      <c r="S159">
        <f>N159 *SQRT(H159)</f>
        <v>9.768766554688467</v>
      </c>
      <c r="T159">
        <f>L159/N159</f>
        <v>94.858156028368796</v>
      </c>
    </row>
    <row r="160" spans="1:20" x14ac:dyDescent="0.25">
      <c r="A160" t="s">
        <v>737</v>
      </c>
      <c r="B160" t="s">
        <v>152</v>
      </c>
      <c r="C160" s="4">
        <v>0.14843500000000001</v>
      </c>
      <c r="D160" s="4">
        <v>0.29499999999999998</v>
      </c>
      <c r="E160" s="4">
        <v>5.1389999999999998E-2</v>
      </c>
      <c r="F160" s="4">
        <v>0.50600000000000001</v>
      </c>
      <c r="G160">
        <v>2.2599999999999999E-3</v>
      </c>
      <c r="H160">
        <f>VLOOKUP(A160,DB!A:I,2,FALSE)</f>
        <v>3000000</v>
      </c>
      <c r="I160">
        <f>VLOOKUP(A160,'RE@CD'!A:D,2,FALSE)</f>
        <v>400000</v>
      </c>
      <c r="J160">
        <f>VLOOKUP(A160,'RE@CD'!A:D,3,FALSE)</f>
        <v>150000</v>
      </c>
      <c r="K160">
        <f>VLOOKUP(A160,'RE@CD'!A:D,4,FALSE)</f>
        <v>150000</v>
      </c>
      <c r="L160">
        <f>VLOOKUP(A160,DB!A:I,3,FALSE)</f>
        <v>0.71220000000000006</v>
      </c>
      <c r="M160">
        <f>VLOOKUP(A160,DB!A:I,4,FALSE)</f>
        <v>-0.1661</v>
      </c>
      <c r="N160">
        <f>VLOOKUP(A160,DB!A:I,5,FALSE)</f>
        <v>5.6299999999999996E-3</v>
      </c>
      <c r="O160">
        <f>VLOOKUP(A160,DB!A:I,6,FALSE)</f>
        <v>4.5399999999999998E-3</v>
      </c>
      <c r="P160">
        <f>VLOOKUP(A160,DB!A:I,7,FALSE)</f>
        <v>1.09E-3</v>
      </c>
      <c r="Q160">
        <f>VLOOKUP(A160,DB!A:I,8,FALSE)</f>
        <v>0.56430000000000002</v>
      </c>
      <c r="R160">
        <f>VLOOKUP(A160,DB!A:I,9,FALSE)</f>
        <v>0.35699999999999998</v>
      </c>
      <c r="S160">
        <f>N160 *SQRT(H160)</f>
        <v>9.7514460466127773</v>
      </c>
      <c r="T160">
        <f>L160/N160</f>
        <v>126.50088809946716</v>
      </c>
    </row>
    <row r="161" spans="1:20" x14ac:dyDescent="0.25">
      <c r="A161" t="s">
        <v>774</v>
      </c>
      <c r="B161" t="s">
        <v>189</v>
      </c>
      <c r="C161" s="4">
        <v>0.18266299999999999</v>
      </c>
      <c r="D161" s="4">
        <v>0.35299999999999998</v>
      </c>
      <c r="E161" s="4">
        <v>2.819E-2</v>
      </c>
      <c r="F161" s="4">
        <v>0.57099999999999995</v>
      </c>
      <c r="G161">
        <v>3.9199999999999999E-3</v>
      </c>
      <c r="H161">
        <f>VLOOKUP(A161,DB!A:I,2,FALSE)</f>
        <v>3000000</v>
      </c>
      <c r="I161">
        <f>VLOOKUP(A161,'RE@CD'!A:D,2,FALSE)</f>
        <v>475000</v>
      </c>
      <c r="J161">
        <f>VLOOKUP(A161,'RE@CD'!A:D,3,FALSE)</f>
        <v>150000</v>
      </c>
      <c r="K161">
        <f>VLOOKUP(A161,'RE@CD'!A:D,4,FALSE)</f>
        <v>200000</v>
      </c>
      <c r="L161">
        <f>VLOOKUP(A161,DB!A:I,3,FALSE)</f>
        <v>0.43590000000000001</v>
      </c>
      <c r="M161">
        <f>VLOOKUP(A161,DB!A:I,4,FALSE)</f>
        <v>-9.98E-2</v>
      </c>
      <c r="N161">
        <f>VLOOKUP(A161,DB!A:I,5,FALSE)</f>
        <v>5.6299999999999996E-3</v>
      </c>
      <c r="O161">
        <f>VLOOKUP(A161,DB!A:I,6,FALSE)</f>
        <v>4.5500000000000002E-3</v>
      </c>
      <c r="P161">
        <f>VLOOKUP(A161,DB!A:I,7,FALSE)</f>
        <v>1.08E-3</v>
      </c>
      <c r="Q161">
        <f>VLOOKUP(A161,DB!A:I,8,FALSE)</f>
        <v>0.51819999999999999</v>
      </c>
      <c r="R161">
        <f>VLOOKUP(A161,DB!A:I,9,FALSE)</f>
        <v>0.46</v>
      </c>
      <c r="S161">
        <f>N161 *SQRT(H161)</f>
        <v>9.7514460466127773</v>
      </c>
      <c r="T161">
        <f>L161/N161</f>
        <v>77.424511545293086</v>
      </c>
    </row>
    <row r="162" spans="1:20" x14ac:dyDescent="0.25">
      <c r="A162" t="s">
        <v>780</v>
      </c>
      <c r="B162" t="s">
        <v>195</v>
      </c>
      <c r="C162" s="4">
        <v>0.160276</v>
      </c>
      <c r="D162" s="4">
        <v>0.30199999999999999</v>
      </c>
      <c r="E162" s="4">
        <v>3.6711000000000001E-2</v>
      </c>
      <c r="F162" s="4">
        <v>0.61099999999999999</v>
      </c>
      <c r="G162">
        <v>3.65E-3</v>
      </c>
      <c r="H162">
        <f>VLOOKUP(A162,DB!A:I,2,FALSE)</f>
        <v>3000000</v>
      </c>
      <c r="I162">
        <f>VLOOKUP(A162,'RE@CD'!A:D,2,FALSE)</f>
        <v>400000</v>
      </c>
      <c r="J162">
        <f>VLOOKUP(A162,'RE@CD'!A:D,3,FALSE)</f>
        <v>125000</v>
      </c>
      <c r="K162">
        <f>VLOOKUP(A162,'RE@CD'!A:D,4,FALSE)</f>
        <v>150000</v>
      </c>
      <c r="L162">
        <f>VLOOKUP(A162,DB!A:I,3,FALSE)</f>
        <v>0.61639999999999995</v>
      </c>
      <c r="M162">
        <f>VLOOKUP(A162,DB!A:I,4,FALSE)</f>
        <v>-0.15079999999999999</v>
      </c>
      <c r="N162">
        <f>VLOOKUP(A162,DB!A:I,5,FALSE)</f>
        <v>5.6299999999999996E-3</v>
      </c>
      <c r="O162">
        <f>VLOOKUP(A162,DB!A:I,6,FALSE)</f>
        <v>4.5100000000000001E-3</v>
      </c>
      <c r="P162">
        <f>VLOOKUP(A162,DB!A:I,7,FALSE)</f>
        <v>1.1100000000000001E-3</v>
      </c>
      <c r="Q162">
        <f>VLOOKUP(A162,DB!A:I,8,FALSE)</f>
        <v>0.53190000000000004</v>
      </c>
      <c r="R162">
        <f>VLOOKUP(A162,DB!A:I,9,FALSE)</f>
        <v>0.42530000000000001</v>
      </c>
      <c r="S162">
        <f>N162 *SQRT(H162)</f>
        <v>9.7514460466127773</v>
      </c>
      <c r="T162">
        <f>L162/N162</f>
        <v>109.48490230905861</v>
      </c>
    </row>
    <row r="163" spans="1:20" x14ac:dyDescent="0.25">
      <c r="A163" t="s">
        <v>803</v>
      </c>
      <c r="B163" t="s">
        <v>218</v>
      </c>
      <c r="C163" s="4">
        <v>0.11652999999999999</v>
      </c>
      <c r="D163" s="4">
        <v>0.28599999999999998</v>
      </c>
      <c r="E163" s="4">
        <v>2.7456999999999999E-2</v>
      </c>
      <c r="F163" s="4">
        <v>0.222</v>
      </c>
      <c r="G163">
        <v>6.4200000000000004E-3</v>
      </c>
      <c r="H163">
        <f>VLOOKUP(A163,DB!A:I,2,FALSE)</f>
        <v>1150000</v>
      </c>
      <c r="I163">
        <f>VLOOKUP(A163,'RE@CD'!A:D,2,FALSE)</f>
        <v>475000</v>
      </c>
      <c r="J163">
        <f>VLOOKUP(A163,'RE@CD'!A:D,3,FALSE)</f>
        <v>80000</v>
      </c>
      <c r="K163">
        <f>VLOOKUP(A163,'RE@CD'!A:D,4,FALSE)</f>
        <v>125000</v>
      </c>
      <c r="L163">
        <f>VLOOKUP(A163,DB!A:I,3,FALSE)</f>
        <v>-7.1000000000000004E-3</v>
      </c>
      <c r="M163">
        <f>VLOOKUP(A163,DB!A:I,4,FALSE)</f>
        <v>4.5400000000000003E-2</v>
      </c>
      <c r="N163">
        <f>VLOOKUP(A163,DB!A:I,5,FALSE)</f>
        <v>5.6299999999999996E-3</v>
      </c>
      <c r="O163">
        <f>VLOOKUP(A163,DB!A:I,6,FALSE)</f>
        <v>4.3600000000000002E-3</v>
      </c>
      <c r="P163">
        <f>VLOOKUP(A163,DB!A:I,7,FALSE)</f>
        <v>1.2700000000000001E-3</v>
      </c>
      <c r="Q163">
        <f>VLOOKUP(A163,DB!A:I,8,FALSE)</f>
        <v>0.38990000000000002</v>
      </c>
      <c r="R163">
        <f>VLOOKUP(A163,DB!A:I,9,FALSE)</f>
        <v>0.86270000000000002</v>
      </c>
      <c r="S163">
        <f>N163 *SQRT(H163)</f>
        <v>6.0375023809519108</v>
      </c>
      <c r="T163">
        <f>L163/N163</f>
        <v>-1.2611012433392541</v>
      </c>
    </row>
    <row r="164" spans="1:20" x14ac:dyDescent="0.25">
      <c r="A164" t="s">
        <v>928</v>
      </c>
      <c r="B164" t="s">
        <v>578</v>
      </c>
      <c r="C164" s="4">
        <v>0.14108899999999999</v>
      </c>
      <c r="D164" s="4">
        <v>0.33900000000000002</v>
      </c>
      <c r="E164" s="4">
        <v>7.0740999999999998E-2</v>
      </c>
      <c r="F164" s="4">
        <v>0.46700000000000003</v>
      </c>
      <c r="G164">
        <v>8.5400000000000007E-3</v>
      </c>
      <c r="H164">
        <f>VLOOKUP(A164,DB!A:I,2,FALSE)</f>
        <v>3000000</v>
      </c>
      <c r="I164">
        <f>VLOOKUP(A164,'RE@CD'!A:D,2,FALSE)</f>
        <v>525000</v>
      </c>
      <c r="J164">
        <f>VLOOKUP(A164,'RE@CD'!A:D,3,FALSE)</f>
        <v>500000</v>
      </c>
      <c r="K164">
        <f>VLOOKUP(A164,'RE@CD'!A:D,4,FALSE)</f>
        <v>500000</v>
      </c>
      <c r="L164">
        <f>VLOOKUP(A164,DB!A:I,3,FALSE)</f>
        <v>0.90810000000000002</v>
      </c>
      <c r="M164">
        <f>VLOOKUP(A164,DB!A:I,4,FALSE)</f>
        <v>-0.19989999999999999</v>
      </c>
      <c r="N164">
        <f>VLOOKUP(A164,DB!A:I,5,FALSE)</f>
        <v>5.6299999999999996E-3</v>
      </c>
      <c r="O164">
        <f>VLOOKUP(A164,DB!A:I,6,FALSE)</f>
        <v>4.5300000000000002E-3</v>
      </c>
      <c r="P164">
        <f>VLOOKUP(A164,DB!A:I,7,FALSE)</f>
        <v>1.1000000000000001E-3</v>
      </c>
      <c r="Q164">
        <f>VLOOKUP(A164,DB!A:I,8,FALSE)</f>
        <v>0.64770000000000005</v>
      </c>
      <c r="R164">
        <f>VLOOKUP(A164,DB!A:I,9,FALSE)</f>
        <v>0.14280000000000001</v>
      </c>
      <c r="S164">
        <f>N164 *SQRT(H164)</f>
        <v>9.7514460466127773</v>
      </c>
      <c r="T164">
        <f>L164/N164</f>
        <v>161.29662522202489</v>
      </c>
    </row>
    <row r="165" spans="1:20" x14ac:dyDescent="0.25">
      <c r="A165" t="s">
        <v>773</v>
      </c>
      <c r="B165" t="s">
        <v>188</v>
      </c>
      <c r="C165" s="4">
        <v>0.181979</v>
      </c>
      <c r="D165" s="4">
        <v>0.34</v>
      </c>
      <c r="E165" s="4">
        <v>2.2346000000000001E-2</v>
      </c>
      <c r="F165" s="4">
        <v>0.29399999999999998</v>
      </c>
      <c r="G165">
        <v>5.0699999999999999E-3</v>
      </c>
      <c r="H165">
        <f>VLOOKUP(A165,DB!A:I,2,FALSE)</f>
        <v>3000000</v>
      </c>
      <c r="I165">
        <f>VLOOKUP(A165,'RE@CD'!A:D,2,FALSE)</f>
        <v>575000</v>
      </c>
      <c r="J165">
        <f>VLOOKUP(A165,'RE@CD'!A:D,3,FALSE)</f>
        <v>175000</v>
      </c>
      <c r="K165">
        <f>VLOOKUP(A165,'RE@CD'!A:D,4,FALSE)</f>
        <v>225000</v>
      </c>
      <c r="L165">
        <f>VLOOKUP(A165,DB!A:I,3,FALSE)</f>
        <v>0.33550000000000002</v>
      </c>
      <c r="M165">
        <f>VLOOKUP(A165,DB!A:I,4,FALSE)</f>
        <v>-6.5500000000000003E-2</v>
      </c>
      <c r="N165">
        <f>VLOOKUP(A165,DB!A:I,5,FALSE)</f>
        <v>5.62E-3</v>
      </c>
      <c r="O165">
        <f>VLOOKUP(A165,DB!A:I,6,FALSE)</f>
        <v>4.4799999999999996E-3</v>
      </c>
      <c r="P165">
        <f>VLOOKUP(A165,DB!A:I,7,FALSE)</f>
        <v>1.14E-3</v>
      </c>
      <c r="Q165">
        <f>VLOOKUP(A165,DB!A:I,8,FALSE)</f>
        <v>0.45479999999999998</v>
      </c>
      <c r="R165">
        <f>VLOOKUP(A165,DB!A:I,9,FALSE)</f>
        <v>0.56200000000000006</v>
      </c>
      <c r="S165">
        <f>N165 *SQRT(H165)</f>
        <v>9.7341255385370893</v>
      </c>
      <c r="T165">
        <f>L165/N165</f>
        <v>59.69750889679716</v>
      </c>
    </row>
    <row r="166" spans="1:20" x14ac:dyDescent="0.25">
      <c r="A166" t="s">
        <v>1011</v>
      </c>
      <c r="B166" t="s">
        <v>422</v>
      </c>
      <c r="C166" s="4">
        <v>0.13066800000000001</v>
      </c>
      <c r="D166" s="4">
        <v>0.27400000000000002</v>
      </c>
      <c r="E166" s="4">
        <v>1.0068000000000001E-2</v>
      </c>
      <c r="F166" s="4">
        <v>0.26600000000000001</v>
      </c>
      <c r="G166">
        <v>3.6700000000000001E-3</v>
      </c>
      <c r="H166">
        <f>VLOOKUP(A166,DB!A:I,2,FALSE)</f>
        <v>3000000</v>
      </c>
      <c r="I166">
        <f>VLOOKUP(A166,'RE@CD'!A:D,2,FALSE)</f>
        <v>250000</v>
      </c>
      <c r="J166">
        <f>VLOOKUP(A166,'RE@CD'!A:D,3,FALSE)</f>
        <v>70000</v>
      </c>
      <c r="K166">
        <f>VLOOKUP(A166,'RE@CD'!A:D,4,FALSE)</f>
        <v>100000</v>
      </c>
      <c r="L166">
        <f>VLOOKUP(A166,DB!A:I,3,FALSE)</f>
        <v>2.3999999999999998E-3</v>
      </c>
      <c r="M166">
        <f>VLOOKUP(A166,DB!A:I,4,FALSE)</f>
        <v>1.52E-2</v>
      </c>
      <c r="N166">
        <f>VLOOKUP(A166,DB!A:I,5,FALSE)</f>
        <v>5.62E-3</v>
      </c>
      <c r="O166">
        <f>VLOOKUP(A166,DB!A:I,6,FALSE)</f>
        <v>4.8999999999999998E-3</v>
      </c>
      <c r="P166">
        <f>VLOOKUP(A166,DB!A:I,7,FALSE)</f>
        <v>7.2000000000000005E-4</v>
      </c>
      <c r="Q166">
        <f>VLOOKUP(A166,DB!A:I,8,FALSE)</f>
        <v>0.38679999999999998</v>
      </c>
      <c r="R166">
        <f>VLOOKUP(A166,DB!A:I,9,FALSE)</f>
        <v>0.45700000000000002</v>
      </c>
      <c r="S166">
        <f>N166 *SQRT(H166)</f>
        <v>9.7341255385370893</v>
      </c>
      <c r="T166">
        <f>L166/N166</f>
        <v>0.42704626334519569</v>
      </c>
    </row>
    <row r="167" spans="1:20" x14ac:dyDescent="0.25">
      <c r="A167" t="s">
        <v>885</v>
      </c>
      <c r="B167" t="s">
        <v>300</v>
      </c>
      <c r="C167" s="4">
        <v>0.18195600000000001</v>
      </c>
      <c r="D167" s="4">
        <v>0.33900000000000002</v>
      </c>
      <c r="E167" s="4">
        <v>3.7409999999999999E-2</v>
      </c>
      <c r="F167" s="4">
        <v>0.371</v>
      </c>
      <c r="G167">
        <v>4.3800000000000002E-3</v>
      </c>
      <c r="H167">
        <f>VLOOKUP(A167,DB!A:I,2,FALSE)</f>
        <v>3000000</v>
      </c>
      <c r="I167">
        <f>VLOOKUP(A167,'RE@CD'!A:D,2,FALSE)</f>
        <v>625000</v>
      </c>
      <c r="J167">
        <f>VLOOKUP(A167,'RE@CD'!A:D,3,FALSE)</f>
        <v>200000</v>
      </c>
      <c r="K167">
        <f>VLOOKUP(A167,'RE@CD'!A:D,4,FALSE)</f>
        <v>250000</v>
      </c>
      <c r="L167">
        <f>VLOOKUP(A167,DB!A:I,3,FALSE)</f>
        <v>0.43530000000000002</v>
      </c>
      <c r="M167">
        <f>VLOOKUP(A167,DB!A:I,4,FALSE)</f>
        <v>-8.6099999999999996E-2</v>
      </c>
      <c r="N167">
        <f>VLOOKUP(A167,DB!A:I,5,FALSE)</f>
        <v>5.5999999999999999E-3</v>
      </c>
      <c r="O167">
        <f>VLOOKUP(A167,DB!A:I,6,FALSE)</f>
        <v>4.4600000000000004E-3</v>
      </c>
      <c r="P167">
        <f>VLOOKUP(A167,DB!A:I,7,FALSE)</f>
        <v>1.14E-3</v>
      </c>
      <c r="Q167">
        <f>VLOOKUP(A167,DB!A:I,8,FALSE)</f>
        <v>0.48370000000000002</v>
      </c>
      <c r="R167">
        <f>VLOOKUP(A167,DB!A:I,9,FALSE)</f>
        <v>0.54579999999999995</v>
      </c>
      <c r="S167">
        <f>N167 *SQRT(H167)</f>
        <v>9.6994845223857116</v>
      </c>
      <c r="T167">
        <f>L167/N167</f>
        <v>77.732142857142861</v>
      </c>
    </row>
    <row r="168" spans="1:20" x14ac:dyDescent="0.25">
      <c r="A168" t="s">
        <v>1055</v>
      </c>
      <c r="B168" t="s">
        <v>466</v>
      </c>
      <c r="C168" s="4">
        <v>0.160301</v>
      </c>
      <c r="D168" s="4">
        <v>0.33500000000000002</v>
      </c>
      <c r="E168" s="4">
        <v>1.3609E-2</v>
      </c>
      <c r="F168" s="4">
        <v>0.73099999999999998</v>
      </c>
      <c r="G168">
        <v>8.0800000000000004E-3</v>
      </c>
      <c r="H168">
        <f>VLOOKUP(A168,DB!A:I,2,FALSE)</f>
        <v>3000000</v>
      </c>
      <c r="I168">
        <f>VLOOKUP(A168,'RE@CD'!A:D,2,FALSE)</f>
        <v>275000</v>
      </c>
      <c r="J168">
        <f>VLOOKUP(A168,'RE@CD'!A:D,3,FALSE)</f>
        <v>125000</v>
      </c>
      <c r="K168">
        <f>VLOOKUP(A168,'RE@CD'!A:D,4,FALSE)</f>
        <v>150000</v>
      </c>
      <c r="L168">
        <f>VLOOKUP(A168,DB!A:I,3,FALSE)</f>
        <v>0.24479999999999999</v>
      </c>
      <c r="M168">
        <f>VLOOKUP(A168,DB!A:I,4,FALSE)</f>
        <v>-5.33E-2</v>
      </c>
      <c r="N168">
        <f>VLOOKUP(A168,DB!A:I,5,FALSE)</f>
        <v>5.5999999999999999E-3</v>
      </c>
      <c r="O168">
        <f>VLOOKUP(A168,DB!A:I,6,FALSE)</f>
        <v>4.4900000000000001E-3</v>
      </c>
      <c r="P168">
        <f>VLOOKUP(A168,DB!A:I,7,FALSE)</f>
        <v>1.1199999999999999E-3</v>
      </c>
      <c r="Q168">
        <f>VLOOKUP(A168,DB!A:I,8,FALSE)</f>
        <v>0.44419999999999998</v>
      </c>
      <c r="R168">
        <f>VLOOKUP(A168,DB!A:I,9,FALSE)</f>
        <v>0.54679999999999995</v>
      </c>
      <c r="S168">
        <f>N168 *SQRT(H168)</f>
        <v>9.6994845223857116</v>
      </c>
      <c r="T168">
        <f>L168/N168</f>
        <v>43.714285714285715</v>
      </c>
    </row>
    <row r="169" spans="1:20" x14ac:dyDescent="0.25">
      <c r="A169" t="s">
        <v>688</v>
      </c>
      <c r="B169" t="s">
        <v>103</v>
      </c>
      <c r="C169" s="4">
        <v>0.13647999999999999</v>
      </c>
      <c r="D169" s="4">
        <v>0.314</v>
      </c>
      <c r="E169" s="4">
        <v>4.0238000000000003E-2</v>
      </c>
      <c r="F169" s="4">
        <v>0.46800000000000003</v>
      </c>
      <c r="G169">
        <v>7.9100000000000004E-3</v>
      </c>
      <c r="H169">
        <f>VLOOKUP(A169,DB!A:I,2,FALSE)</f>
        <v>3000000</v>
      </c>
      <c r="I169">
        <f>VLOOKUP(A169,'RE@CD'!A:D,2,FALSE)</f>
        <v>325000</v>
      </c>
      <c r="J169">
        <f>VLOOKUP(A169,'RE@CD'!A:D,3,FALSE)</f>
        <v>100000</v>
      </c>
      <c r="K169">
        <f>VLOOKUP(A169,'RE@CD'!A:D,4,FALSE)</f>
        <v>100000</v>
      </c>
      <c r="L169">
        <f>VLOOKUP(A169,DB!A:I,3,FALSE)</f>
        <v>0.57469999999999999</v>
      </c>
      <c r="M169">
        <f>VLOOKUP(A169,DB!A:I,4,FALSE)</f>
        <v>-0.13020000000000001</v>
      </c>
      <c r="N169">
        <f>VLOOKUP(A169,DB!A:I,5,FALSE)</f>
        <v>5.5900000000000004E-3</v>
      </c>
      <c r="O169">
        <f>VLOOKUP(A169,DB!A:I,6,FALSE)</f>
        <v>4.5500000000000002E-3</v>
      </c>
      <c r="P169">
        <f>VLOOKUP(A169,DB!A:I,7,FALSE)</f>
        <v>1.0300000000000001E-3</v>
      </c>
      <c r="Q169">
        <f>VLOOKUP(A169,DB!A:I,8,FALSE)</f>
        <v>0.49530000000000002</v>
      </c>
      <c r="R169">
        <f>VLOOKUP(A169,DB!A:I,9,FALSE)</f>
        <v>0.47620000000000001</v>
      </c>
      <c r="S169">
        <f>N169 *SQRT(H169)</f>
        <v>9.6821640143100236</v>
      </c>
      <c r="T169">
        <f>L169/N169</f>
        <v>102.80858676207512</v>
      </c>
    </row>
    <row r="170" spans="1:20" x14ac:dyDescent="0.25">
      <c r="A170" t="s">
        <v>867</v>
      </c>
      <c r="B170" t="s">
        <v>282</v>
      </c>
      <c r="C170" s="4">
        <v>9.9956000000000003E-2</v>
      </c>
      <c r="D170" s="4">
        <v>0.27900000000000003</v>
      </c>
      <c r="E170" s="4">
        <v>3.5074000000000001E-2</v>
      </c>
      <c r="F170" s="4">
        <v>0.56499999999999995</v>
      </c>
      <c r="G170">
        <v>1.4300000000000001E-3</v>
      </c>
      <c r="H170">
        <f>VLOOKUP(A170,DB!A:I,2,FALSE)</f>
        <v>1400000</v>
      </c>
      <c r="I170">
        <f>VLOOKUP(A170,'RE@CD'!A:D,2,FALSE)</f>
        <v>250000</v>
      </c>
      <c r="J170">
        <f>VLOOKUP(A170,'RE@CD'!A:D,3,FALSE)</f>
        <v>100000</v>
      </c>
      <c r="K170">
        <f>VLOOKUP(A170,'RE@CD'!A:D,4,FALSE)</f>
        <v>150000</v>
      </c>
      <c r="L170">
        <f>VLOOKUP(A170,DB!A:I,3,FALSE)</f>
        <v>0.51060000000000005</v>
      </c>
      <c r="M170">
        <f>VLOOKUP(A170,DB!A:I,4,FALSE)</f>
        <v>-0.1181</v>
      </c>
      <c r="N170">
        <f>VLOOKUP(A170,DB!A:I,5,FALSE)</f>
        <v>5.5900000000000004E-3</v>
      </c>
      <c r="O170">
        <f>VLOOKUP(A170,DB!A:I,6,FALSE)</f>
        <v>4.7999999999999996E-3</v>
      </c>
      <c r="P170">
        <f>VLOOKUP(A170,DB!A:I,7,FALSE)</f>
        <v>7.9000000000000001E-4</v>
      </c>
      <c r="Q170">
        <f>VLOOKUP(A170,DB!A:I,8,FALSE)</f>
        <v>0.60940000000000005</v>
      </c>
      <c r="R170">
        <f>VLOOKUP(A170,DB!A:I,9,FALSE)</f>
        <v>0.4607</v>
      </c>
      <c r="S170">
        <f>N170 *SQRT(H170)</f>
        <v>6.6141771975053709</v>
      </c>
      <c r="T170">
        <f>L170/N170</f>
        <v>91.341681574239715</v>
      </c>
    </row>
    <row r="171" spans="1:20" x14ac:dyDescent="0.25">
      <c r="A171" t="s">
        <v>887</v>
      </c>
      <c r="B171" t="s">
        <v>302</v>
      </c>
      <c r="C171" s="4">
        <v>0.18195600000000001</v>
      </c>
      <c r="D171" s="4">
        <v>0.33900000000000002</v>
      </c>
      <c r="E171" s="4">
        <v>3.7409999999999999E-2</v>
      </c>
      <c r="F171" s="4">
        <v>0.371</v>
      </c>
      <c r="G171">
        <v>4.3800000000000002E-3</v>
      </c>
      <c r="H171">
        <f>VLOOKUP(A171,DB!A:I,2,FALSE)</f>
        <v>3000000</v>
      </c>
      <c r="I171">
        <f>VLOOKUP(A171,'RE@CD'!A:D,2,FALSE)</f>
        <v>650000</v>
      </c>
      <c r="J171">
        <f>VLOOKUP(A171,'RE@CD'!A:D,3,FALSE)</f>
        <v>200000</v>
      </c>
      <c r="K171">
        <f>VLOOKUP(A171,'RE@CD'!A:D,4,FALSE)</f>
        <v>250000</v>
      </c>
      <c r="L171">
        <f>VLOOKUP(A171,DB!A:I,3,FALSE)</f>
        <v>0.46820000000000001</v>
      </c>
      <c r="M171">
        <f>VLOOKUP(A171,DB!A:I,4,FALSE)</f>
        <v>-9.4E-2</v>
      </c>
      <c r="N171">
        <f>VLOOKUP(A171,DB!A:I,5,FALSE)</f>
        <v>5.5700000000000003E-3</v>
      </c>
      <c r="O171">
        <f>VLOOKUP(A171,DB!A:I,6,FALSE)</f>
        <v>4.4000000000000003E-3</v>
      </c>
      <c r="P171">
        <f>VLOOKUP(A171,DB!A:I,7,FALSE)</f>
        <v>1.1800000000000001E-3</v>
      </c>
      <c r="Q171">
        <f>VLOOKUP(A171,DB!A:I,8,FALSE)</f>
        <v>0.4854</v>
      </c>
      <c r="R171">
        <f>VLOOKUP(A171,DB!A:I,9,FALSE)</f>
        <v>0.55779999999999996</v>
      </c>
      <c r="S171">
        <f>N171 *SQRT(H171)</f>
        <v>9.6475229981586459</v>
      </c>
      <c r="T171">
        <f>L171/N171</f>
        <v>84.05745062836624</v>
      </c>
    </row>
    <row r="172" spans="1:20" x14ac:dyDescent="0.25">
      <c r="A172" t="s">
        <v>999</v>
      </c>
      <c r="B172" t="s">
        <v>410</v>
      </c>
      <c r="C172" s="4">
        <v>0.180007</v>
      </c>
      <c r="D172" s="4">
        <v>0.35</v>
      </c>
      <c r="E172" s="4">
        <v>3.3659000000000001E-2</v>
      </c>
      <c r="F172" s="4">
        <v>0.5</v>
      </c>
      <c r="G172">
        <v>1.009E-2</v>
      </c>
      <c r="H172">
        <f>VLOOKUP(A172,DB!A:I,2,FALSE)</f>
        <v>2700000</v>
      </c>
      <c r="I172">
        <f>VLOOKUP(A172,'RE@CD'!A:D,2,FALSE)</f>
        <v>425000</v>
      </c>
      <c r="J172">
        <f>VLOOKUP(A172,'RE@CD'!A:D,3,FALSE)</f>
        <v>200000</v>
      </c>
      <c r="K172">
        <f>VLOOKUP(A172,'RE@CD'!A:D,4,FALSE)</f>
        <v>200000</v>
      </c>
      <c r="L172">
        <f>VLOOKUP(A172,DB!A:I,3,FALSE)</f>
        <v>0.4874</v>
      </c>
      <c r="M172">
        <f>VLOOKUP(A172,DB!A:I,4,FALSE)</f>
        <v>-0.10199999999999999</v>
      </c>
      <c r="N172">
        <f>VLOOKUP(A172,DB!A:I,5,FALSE)</f>
        <v>5.5599999999999998E-3</v>
      </c>
      <c r="O172">
        <f>VLOOKUP(A172,DB!A:I,6,FALSE)</f>
        <v>4.3499999999999997E-3</v>
      </c>
      <c r="P172">
        <f>VLOOKUP(A172,DB!A:I,7,FALSE)</f>
        <v>1.2099999999999999E-3</v>
      </c>
      <c r="Q172">
        <f>VLOOKUP(A172,DB!A:I,8,FALSE)</f>
        <v>0.54630000000000001</v>
      </c>
      <c r="R172">
        <f>VLOOKUP(A172,DB!A:I,9,FALSE)</f>
        <v>0.49170000000000003</v>
      </c>
      <c r="S172">
        <f>N172 *SQRT(H172)</f>
        <v>9.1360122591861703</v>
      </c>
      <c r="T172">
        <f>L172/N172</f>
        <v>87.661870503597129</v>
      </c>
    </row>
    <row r="173" spans="1:20" x14ac:dyDescent="0.25">
      <c r="A173" t="s">
        <v>1096</v>
      </c>
      <c r="B173" t="s">
        <v>507</v>
      </c>
      <c r="C173" s="4">
        <v>0.101116</v>
      </c>
      <c r="D173" s="4">
        <v>0.26</v>
      </c>
      <c r="E173" s="4">
        <v>3.9248999999999999E-2</v>
      </c>
      <c r="F173" s="4">
        <v>0.39500000000000002</v>
      </c>
      <c r="G173">
        <v>7.3499999999999998E-3</v>
      </c>
      <c r="H173">
        <f>VLOOKUP(A173,DB!A:I,2,FALSE)</f>
        <v>3000000</v>
      </c>
      <c r="I173">
        <f>VLOOKUP(A173,'RE@CD'!A:D,2,FALSE)</f>
        <v>200000</v>
      </c>
      <c r="J173">
        <f>VLOOKUP(A173,'RE@CD'!A:D,3,FALSE)</f>
        <v>80000</v>
      </c>
      <c r="K173">
        <f>VLOOKUP(A173,'RE@CD'!A:D,4,FALSE)</f>
        <v>100000</v>
      </c>
      <c r="L173">
        <f>VLOOKUP(A173,DB!A:I,3,FALSE)</f>
        <v>0.41570000000000001</v>
      </c>
      <c r="M173">
        <f>VLOOKUP(A173,DB!A:I,4,FALSE)</f>
        <v>-7.9600000000000004E-2</v>
      </c>
      <c r="N173">
        <f>VLOOKUP(A173,DB!A:I,5,FALSE)</f>
        <v>5.5599999999999998E-3</v>
      </c>
      <c r="O173">
        <f>VLOOKUP(A173,DB!A:I,6,FALSE)</f>
        <v>4.8999999999999998E-3</v>
      </c>
      <c r="P173">
        <f>VLOOKUP(A173,DB!A:I,7,FALSE)</f>
        <v>6.6E-4</v>
      </c>
      <c r="Q173">
        <f>VLOOKUP(A173,DB!A:I,8,FALSE)</f>
        <v>0.51280000000000003</v>
      </c>
      <c r="R173">
        <f>VLOOKUP(A173,DB!A:I,9,FALSE)</f>
        <v>0.2306</v>
      </c>
      <c r="S173">
        <f>N173 *SQRT(H173)</f>
        <v>9.6302024900829561</v>
      </c>
      <c r="T173">
        <f>L173/N173</f>
        <v>74.766187050359719</v>
      </c>
    </row>
    <row r="174" spans="1:20" x14ac:dyDescent="0.25">
      <c r="A174" t="s">
        <v>670</v>
      </c>
      <c r="B174" t="s">
        <v>85</v>
      </c>
      <c r="C174" s="4">
        <v>0.12442</v>
      </c>
      <c r="D174" s="4">
        <v>0.26700000000000002</v>
      </c>
      <c r="E174" s="4">
        <v>0</v>
      </c>
      <c r="F174" s="4">
        <v>1.0999999999999999E-2</v>
      </c>
      <c r="G174">
        <v>8.1399999999999997E-3</v>
      </c>
      <c r="H174">
        <f>VLOOKUP(A174,DB!A:I,2,FALSE)</f>
        <v>3000000</v>
      </c>
      <c r="I174">
        <f>VLOOKUP(A174,'RE@CD'!A:D,2,FALSE)</f>
        <v>225000</v>
      </c>
      <c r="J174">
        <f>VLOOKUP(A174,'RE@CD'!A:D,3,FALSE)</f>
        <v>60000</v>
      </c>
      <c r="K174">
        <f>VLOOKUP(A174,'RE@CD'!A:D,4,FALSE)</f>
        <v>80000</v>
      </c>
      <c r="L174">
        <f>VLOOKUP(A174,DB!A:I,3,FALSE)</f>
        <v>0</v>
      </c>
      <c r="M174">
        <f>VLOOKUP(A174,DB!A:I,4,FALSE)</f>
        <v>0</v>
      </c>
      <c r="N174">
        <f>VLOOKUP(A174,DB!A:I,5,FALSE)</f>
        <v>5.5399999999999998E-3</v>
      </c>
      <c r="O174">
        <f>VLOOKUP(A174,DB!A:I,6,FALSE)</f>
        <v>4.8900000000000002E-3</v>
      </c>
      <c r="P174">
        <f>VLOOKUP(A174,DB!A:I,7,FALSE)</f>
        <v>6.4999999999999997E-4</v>
      </c>
      <c r="Q174">
        <f>VLOOKUP(A174,DB!A:I,8,FALSE)</f>
        <v>0.41599999999999998</v>
      </c>
      <c r="R174">
        <f>VLOOKUP(A174,DB!A:I,9,FALSE)</f>
        <v>0.41570000000000001</v>
      </c>
      <c r="S174">
        <f>N174 *SQRT(H174)</f>
        <v>9.5955614739315784</v>
      </c>
      <c r="T174">
        <f>L174/N174</f>
        <v>0</v>
      </c>
    </row>
    <row r="175" spans="1:20" x14ac:dyDescent="0.25">
      <c r="A175" t="s">
        <v>927</v>
      </c>
      <c r="B175" t="s">
        <v>580</v>
      </c>
      <c r="C175" s="4">
        <v>0.12112100000000001</v>
      </c>
      <c r="D175" s="4">
        <v>0.33900000000000002</v>
      </c>
      <c r="E175" s="4">
        <v>7.5727000000000003E-2</v>
      </c>
      <c r="F175" s="4">
        <v>0.46700000000000003</v>
      </c>
      <c r="G175">
        <v>8.9599999999999992E-3</v>
      </c>
      <c r="H175">
        <f>VLOOKUP(A175,DB!A:I,2,FALSE)</f>
        <v>3000000</v>
      </c>
      <c r="I175">
        <f>VLOOKUP(A175,'RE@CD'!A:D,2,FALSE)</f>
        <v>550000</v>
      </c>
      <c r="J175">
        <f>VLOOKUP(A175,'RE@CD'!A:D,3,FALSE)</f>
        <v>550000</v>
      </c>
      <c r="K175">
        <f>VLOOKUP(A175,'RE@CD'!A:D,4,FALSE)</f>
        <v>550000</v>
      </c>
      <c r="L175">
        <f>VLOOKUP(A175,DB!A:I,3,FALSE)</f>
        <v>0.96879999999999999</v>
      </c>
      <c r="M175">
        <f>VLOOKUP(A175,DB!A:I,4,FALSE)</f>
        <v>-0.2165</v>
      </c>
      <c r="N175">
        <f>VLOOKUP(A175,DB!A:I,5,FALSE)</f>
        <v>5.5399999999999998E-3</v>
      </c>
      <c r="O175">
        <f>VLOOKUP(A175,DB!A:I,6,FALSE)</f>
        <v>4.5199999999999997E-3</v>
      </c>
      <c r="P175">
        <f>VLOOKUP(A175,DB!A:I,7,FALSE)</f>
        <v>1.0200000000000001E-3</v>
      </c>
      <c r="Q175">
        <f>VLOOKUP(A175,DB!A:I,8,FALSE)</f>
        <v>0.65759999999999996</v>
      </c>
      <c r="R175">
        <f>VLOOKUP(A175,DB!A:I,9,FALSE)</f>
        <v>0.11070000000000001</v>
      </c>
      <c r="S175">
        <f>N175 *SQRT(H175)</f>
        <v>9.5955614739315784</v>
      </c>
      <c r="T175">
        <f>L175/N175</f>
        <v>174.87364620938629</v>
      </c>
    </row>
    <row r="176" spans="1:20" x14ac:dyDescent="0.25">
      <c r="A176" t="s">
        <v>1145</v>
      </c>
      <c r="B176" t="s">
        <v>556</v>
      </c>
      <c r="C176" s="4">
        <v>0.10524799999999999</v>
      </c>
      <c r="D176" s="4">
        <v>0.28199999999999997</v>
      </c>
      <c r="E176" s="4">
        <v>3.9045999999999997E-2</v>
      </c>
      <c r="F176" s="4">
        <v>0.39400000000000002</v>
      </c>
      <c r="G176">
        <v>7.5799999999999999E-3</v>
      </c>
      <c r="H176">
        <f>VLOOKUP(A176,DB!A:I,2,FALSE)</f>
        <v>2900000</v>
      </c>
      <c r="I176">
        <f>VLOOKUP(A176,'RE@CD'!A:D,2,FALSE)</f>
        <v>200000</v>
      </c>
      <c r="J176">
        <f>VLOOKUP(A176,'RE@CD'!A:D,3,FALSE)</f>
        <v>90000</v>
      </c>
      <c r="K176">
        <f>VLOOKUP(A176,'RE@CD'!A:D,4,FALSE)</f>
        <v>100000</v>
      </c>
      <c r="L176">
        <f>VLOOKUP(A176,DB!A:I,3,FALSE)</f>
        <v>0.41289999999999999</v>
      </c>
      <c r="M176">
        <f>VLOOKUP(A176,DB!A:I,4,FALSE)</f>
        <v>-7.8700000000000006E-2</v>
      </c>
      <c r="N176">
        <f>VLOOKUP(A176,DB!A:I,5,FALSE)</f>
        <v>5.5399999999999998E-3</v>
      </c>
      <c r="O176">
        <f>VLOOKUP(A176,DB!A:I,6,FALSE)</f>
        <v>4.8500000000000001E-3</v>
      </c>
      <c r="P176">
        <f>VLOOKUP(A176,DB!A:I,7,FALSE)</f>
        <v>6.8999999999999997E-4</v>
      </c>
      <c r="Q176">
        <f>VLOOKUP(A176,DB!A:I,8,FALSE)</f>
        <v>0.51859999999999995</v>
      </c>
      <c r="R176">
        <f>VLOOKUP(A176,DB!A:I,9,FALSE)</f>
        <v>0.26</v>
      </c>
      <c r="S176">
        <f>N176 *SQRT(H176)</f>
        <v>9.4342800467232255</v>
      </c>
      <c r="T176">
        <f>L176/N176</f>
        <v>74.530685920577625</v>
      </c>
    </row>
    <row r="177" spans="1:20" x14ac:dyDescent="0.25">
      <c r="A177" t="s">
        <v>812</v>
      </c>
      <c r="B177" t="s">
        <v>227</v>
      </c>
      <c r="C177" s="4">
        <v>0.162076</v>
      </c>
      <c r="D177" s="4">
        <v>0.37</v>
      </c>
      <c r="E177" s="4">
        <v>4.8259999999999997E-2</v>
      </c>
      <c r="F177" s="4">
        <v>0.46</v>
      </c>
      <c r="G177">
        <v>3.2100000000000002E-3</v>
      </c>
      <c r="H177">
        <f>VLOOKUP(A177,DB!A:I,2,FALSE)</f>
        <v>3000000</v>
      </c>
      <c r="I177">
        <f>VLOOKUP(A177,'RE@CD'!A:D,2,FALSE)</f>
        <v>525000</v>
      </c>
      <c r="J177">
        <f>VLOOKUP(A177,'RE@CD'!A:D,3,FALSE)</f>
        <v>275000</v>
      </c>
      <c r="K177">
        <f>VLOOKUP(A177,'RE@CD'!A:D,4,FALSE)</f>
        <v>275000</v>
      </c>
      <c r="L177">
        <f>VLOOKUP(A177,DB!A:I,3,FALSE)</f>
        <v>0.61470000000000002</v>
      </c>
      <c r="M177">
        <f>VLOOKUP(A177,DB!A:I,4,FALSE)</f>
        <v>-0.127</v>
      </c>
      <c r="N177">
        <f>VLOOKUP(A177,DB!A:I,5,FALSE)</f>
        <v>5.5199999999999997E-3</v>
      </c>
      <c r="O177">
        <f>VLOOKUP(A177,DB!A:I,6,FALSE)</f>
        <v>4.4200000000000003E-3</v>
      </c>
      <c r="P177">
        <f>VLOOKUP(A177,DB!A:I,7,FALSE)</f>
        <v>1.1100000000000001E-3</v>
      </c>
      <c r="Q177">
        <f>VLOOKUP(A177,DB!A:I,8,FALSE)</f>
        <v>0.61470000000000002</v>
      </c>
      <c r="R177">
        <f>VLOOKUP(A177,DB!A:I,9,FALSE)</f>
        <v>0.34539999999999998</v>
      </c>
      <c r="S177">
        <f>N177 *SQRT(H177)</f>
        <v>9.5609204577802025</v>
      </c>
      <c r="T177">
        <f>L177/N177</f>
        <v>111.35869565217392</v>
      </c>
    </row>
    <row r="178" spans="1:20" x14ac:dyDescent="0.25">
      <c r="A178" t="s">
        <v>649</v>
      </c>
      <c r="B178" t="s">
        <v>64</v>
      </c>
      <c r="C178" s="4">
        <v>0.14573800000000001</v>
      </c>
      <c r="D178" s="4">
        <v>0.376</v>
      </c>
      <c r="E178" s="4">
        <v>5.6166000000000001E-2</v>
      </c>
      <c r="F178" s="4">
        <v>0.443</v>
      </c>
      <c r="G178">
        <v>1.2330000000000001E-2</v>
      </c>
      <c r="H178">
        <f>VLOOKUP(A178,DB!A:I,2,FALSE)</f>
        <v>3000000</v>
      </c>
      <c r="I178">
        <f>VLOOKUP(A178,'RE@CD'!A:D,2,FALSE)</f>
        <v>475000</v>
      </c>
      <c r="J178">
        <f>VLOOKUP(A178,'RE@CD'!A:D,3,FALSE)</f>
        <v>200000</v>
      </c>
      <c r="K178">
        <f>VLOOKUP(A178,'RE@CD'!A:D,4,FALSE)</f>
        <v>225000</v>
      </c>
      <c r="L178">
        <f>VLOOKUP(A178,DB!A:I,3,FALSE)</f>
        <v>0.68330000000000002</v>
      </c>
      <c r="M178">
        <f>VLOOKUP(A178,DB!A:I,4,FALSE)</f>
        <v>-0.1394</v>
      </c>
      <c r="N178">
        <f>VLOOKUP(A178,DB!A:I,5,FALSE)</f>
        <v>5.5100000000000001E-3</v>
      </c>
      <c r="O178">
        <f>VLOOKUP(A178,DB!A:I,6,FALSE)</f>
        <v>4.4099999999999999E-3</v>
      </c>
      <c r="P178">
        <f>VLOOKUP(A178,DB!A:I,7,FALSE)</f>
        <v>1.1100000000000001E-3</v>
      </c>
      <c r="Q178">
        <f>VLOOKUP(A178,DB!A:I,8,FALSE)</f>
        <v>0.59230000000000005</v>
      </c>
      <c r="R178">
        <f>VLOOKUP(A178,DB!A:I,9,FALSE)</f>
        <v>0.35339999999999999</v>
      </c>
      <c r="S178">
        <f>N178 *SQRT(H178)</f>
        <v>9.5435999497045128</v>
      </c>
      <c r="T178">
        <f>L178/N178</f>
        <v>124.01088929219601</v>
      </c>
    </row>
    <row r="179" spans="1:20" x14ac:dyDescent="0.25">
      <c r="A179" t="s">
        <v>787</v>
      </c>
      <c r="B179" t="s">
        <v>202</v>
      </c>
      <c r="C179" s="4">
        <v>0.16098899999999999</v>
      </c>
      <c r="D179" s="4">
        <v>0.35499999999999998</v>
      </c>
      <c r="E179" s="4">
        <v>4.0668000000000003E-2</v>
      </c>
      <c r="F179" s="4">
        <v>0.61199999999999999</v>
      </c>
      <c r="G179">
        <v>8.4600000000000005E-3</v>
      </c>
      <c r="H179">
        <f>VLOOKUP(A179,DB!A:I,2,FALSE)</f>
        <v>3000000</v>
      </c>
      <c r="I179">
        <f>VLOOKUP(A179,'RE@CD'!A:D,2,FALSE)</f>
        <v>450000</v>
      </c>
      <c r="J179">
        <f>VLOOKUP(A179,'RE@CD'!A:D,3,FALSE)</f>
        <v>175000</v>
      </c>
      <c r="K179">
        <f>VLOOKUP(A179,'RE@CD'!A:D,4,FALSE)</f>
        <v>175000</v>
      </c>
      <c r="L179">
        <f>VLOOKUP(A179,DB!A:I,3,FALSE)</f>
        <v>0.68479999999999996</v>
      </c>
      <c r="M179">
        <f>VLOOKUP(A179,DB!A:I,4,FALSE)</f>
        <v>-0.16109999999999999</v>
      </c>
      <c r="N179">
        <f>VLOOKUP(A179,DB!A:I,5,FALSE)</f>
        <v>5.5100000000000001E-3</v>
      </c>
      <c r="O179">
        <f>VLOOKUP(A179,DB!A:I,6,FALSE)</f>
        <v>4.2399999999999998E-3</v>
      </c>
      <c r="P179">
        <f>VLOOKUP(A179,DB!A:I,7,FALSE)</f>
        <v>1.2700000000000001E-3</v>
      </c>
      <c r="Q179">
        <f>VLOOKUP(A179,DB!A:I,8,FALSE)</f>
        <v>0.54300000000000004</v>
      </c>
      <c r="R179">
        <f>VLOOKUP(A179,DB!A:I,9,FALSE)</f>
        <v>0.53269999999999995</v>
      </c>
      <c r="S179">
        <f>N179 *SQRT(H179)</f>
        <v>9.5435999497045128</v>
      </c>
      <c r="T179">
        <f>L179/N179</f>
        <v>124.28312159709618</v>
      </c>
    </row>
    <row r="180" spans="1:20" x14ac:dyDescent="0.25">
      <c r="A180" t="s">
        <v>707</v>
      </c>
      <c r="B180" t="s">
        <v>122</v>
      </c>
      <c r="C180" s="4">
        <v>0.1104</v>
      </c>
      <c r="D180" s="4">
        <v>0.30599999999999999</v>
      </c>
      <c r="E180" s="4">
        <v>2.181E-2</v>
      </c>
      <c r="F180" s="4">
        <v>0.185</v>
      </c>
      <c r="G180">
        <v>1.47E-3</v>
      </c>
      <c r="H180">
        <f>VLOOKUP(A180,DB!A:I,2,FALSE)</f>
        <v>1150000</v>
      </c>
      <c r="I180">
        <f>VLOOKUP(A180,'RE@CD'!A:D,2,FALSE)</f>
        <v>525000</v>
      </c>
      <c r="J180">
        <f>VLOOKUP(A180,'RE@CD'!A:D,3,FALSE)</f>
        <v>80000</v>
      </c>
      <c r="K180">
        <f>VLOOKUP(A180,'RE@CD'!A:D,4,FALSE)</f>
        <v>125000</v>
      </c>
      <c r="L180">
        <f>VLOOKUP(A180,DB!A:I,3,FALSE)</f>
        <v>-5.9299999999999999E-2</v>
      </c>
      <c r="M180">
        <f>VLOOKUP(A180,DB!A:I,4,FALSE)</f>
        <v>5.1200000000000002E-2</v>
      </c>
      <c r="N180">
        <f>VLOOKUP(A180,DB!A:I,5,FALSE)</f>
        <v>5.4999999999999997E-3</v>
      </c>
      <c r="O180">
        <f>VLOOKUP(A180,DB!A:I,6,FALSE)</f>
        <v>4.4299999999999999E-3</v>
      </c>
      <c r="P180">
        <f>VLOOKUP(A180,DB!A:I,7,FALSE)</f>
        <v>1.08E-3</v>
      </c>
      <c r="Q180">
        <f>VLOOKUP(A180,DB!A:I,8,FALSE)</f>
        <v>0.4264</v>
      </c>
      <c r="R180">
        <f>VLOOKUP(A180,DB!A:I,9,FALSE)</f>
        <v>0.81820000000000004</v>
      </c>
      <c r="S180">
        <f>N180 *SQRT(H180)</f>
        <v>5.8980929121199841</v>
      </c>
      <c r="T180">
        <f>L180/N180</f>
        <v>-10.781818181818181</v>
      </c>
    </row>
    <row r="181" spans="1:20" x14ac:dyDescent="0.25">
      <c r="A181" t="s">
        <v>1064</v>
      </c>
      <c r="B181" t="s">
        <v>475</v>
      </c>
      <c r="C181" s="4">
        <v>0.159716</v>
      </c>
      <c r="D181" s="4">
        <v>0.32300000000000001</v>
      </c>
      <c r="E181" s="4">
        <v>2.4608999999999999E-2</v>
      </c>
      <c r="F181" s="4">
        <v>0.32300000000000001</v>
      </c>
      <c r="G181">
        <v>6.4200000000000004E-3</v>
      </c>
      <c r="H181">
        <f>VLOOKUP(A181,DB!A:I,2,FALSE)</f>
        <v>3000000</v>
      </c>
      <c r="I181">
        <f>VLOOKUP(A181,'RE@CD'!A:D,2,FALSE)</f>
        <v>600000</v>
      </c>
      <c r="J181">
        <f>VLOOKUP(A181,'RE@CD'!A:D,3,FALSE)</f>
        <v>150000</v>
      </c>
      <c r="K181">
        <f>VLOOKUP(A181,'RE@CD'!A:D,4,FALSE)</f>
        <v>225000</v>
      </c>
      <c r="L181">
        <f>VLOOKUP(A181,DB!A:I,3,FALSE)</f>
        <v>0.47539999999999999</v>
      </c>
      <c r="M181">
        <f>VLOOKUP(A181,DB!A:I,4,FALSE)</f>
        <v>-0.10580000000000001</v>
      </c>
      <c r="N181">
        <f>VLOOKUP(A181,DB!A:I,5,FALSE)</f>
        <v>5.4999999999999997E-3</v>
      </c>
      <c r="O181">
        <f>VLOOKUP(A181,DB!A:I,6,FALSE)</f>
        <v>4.3099999999999996E-3</v>
      </c>
      <c r="P181">
        <f>VLOOKUP(A181,DB!A:I,7,FALSE)</f>
        <v>1.1900000000000001E-3</v>
      </c>
      <c r="Q181">
        <f>VLOOKUP(A181,DB!A:I,8,FALSE)</f>
        <v>0.43719999999999998</v>
      </c>
      <c r="R181">
        <f>VLOOKUP(A181,DB!A:I,9,FALSE)</f>
        <v>0.62960000000000005</v>
      </c>
      <c r="S181">
        <f>N181 *SQRT(H181)</f>
        <v>9.5262794416288248</v>
      </c>
      <c r="T181">
        <f>L181/N181</f>
        <v>86.436363636363637</v>
      </c>
    </row>
    <row r="182" spans="1:20" x14ac:dyDescent="0.25">
      <c r="A182" t="s">
        <v>778</v>
      </c>
      <c r="B182" t="s">
        <v>193</v>
      </c>
      <c r="C182" s="4">
        <v>0.16037399999999999</v>
      </c>
      <c r="D182" s="4">
        <v>0.31900000000000001</v>
      </c>
      <c r="E182" s="4">
        <v>2.6062999999999999E-2</v>
      </c>
      <c r="F182" s="4">
        <v>0.64800000000000002</v>
      </c>
      <c r="G182">
        <v>4.5399999999999998E-3</v>
      </c>
      <c r="H182">
        <f>VLOOKUP(A182,DB!A:I,2,FALSE)</f>
        <v>3000000</v>
      </c>
      <c r="I182">
        <f>VLOOKUP(A182,'RE@CD'!A:D,2,FALSE)</f>
        <v>375000</v>
      </c>
      <c r="J182">
        <f>VLOOKUP(A182,'RE@CD'!A:D,3,FALSE)</f>
        <v>125000</v>
      </c>
      <c r="K182">
        <f>VLOOKUP(A182,'RE@CD'!A:D,4,FALSE)</f>
        <v>150000</v>
      </c>
      <c r="L182">
        <f>VLOOKUP(A182,DB!A:I,3,FALSE)</f>
        <v>0.45469999999999999</v>
      </c>
      <c r="M182">
        <f>VLOOKUP(A182,DB!A:I,4,FALSE)</f>
        <v>-0.11269999999999999</v>
      </c>
      <c r="N182">
        <f>VLOOKUP(A182,DB!A:I,5,FALSE)</f>
        <v>5.4900000000000001E-3</v>
      </c>
      <c r="O182">
        <f>VLOOKUP(A182,DB!A:I,6,FALSE)</f>
        <v>4.5300000000000002E-3</v>
      </c>
      <c r="P182">
        <f>VLOOKUP(A182,DB!A:I,7,FALSE)</f>
        <v>9.7000000000000005E-4</v>
      </c>
      <c r="Q182">
        <f>VLOOKUP(A182,DB!A:I,8,FALSE)</f>
        <v>0.52390000000000003</v>
      </c>
      <c r="R182">
        <f>VLOOKUP(A182,DB!A:I,9,FALSE)</f>
        <v>0.4451</v>
      </c>
      <c r="S182">
        <f>N182 *SQRT(H182)</f>
        <v>9.508958933553135</v>
      </c>
      <c r="T182">
        <f>L182/N182</f>
        <v>82.823315118397076</v>
      </c>
    </row>
    <row r="183" spans="1:20" x14ac:dyDescent="0.25">
      <c r="A183" t="s">
        <v>926</v>
      </c>
      <c r="B183" t="s">
        <v>340</v>
      </c>
      <c r="C183" s="4">
        <v>0.1207</v>
      </c>
      <c r="D183" s="4">
        <v>0.27900000000000003</v>
      </c>
      <c r="E183" s="4">
        <v>0</v>
      </c>
      <c r="F183" s="4">
        <v>5.1999999999999998E-2</v>
      </c>
      <c r="G183">
        <v>1.4500000000000001E-2</v>
      </c>
      <c r="H183">
        <f>VLOOKUP(A183,DB!A:I,2,FALSE)</f>
        <v>1500000</v>
      </c>
      <c r="I183">
        <f>VLOOKUP(A183,'RE@CD'!A:D,2,FALSE)</f>
        <v>200000</v>
      </c>
      <c r="J183">
        <f>VLOOKUP(A183,'RE@CD'!A:D,3,FALSE)</f>
        <v>70000</v>
      </c>
      <c r="K183">
        <f>VLOOKUP(A183,'RE@CD'!A:D,4,FALSE)</f>
        <v>125000</v>
      </c>
      <c r="L183">
        <f>VLOOKUP(A183,DB!A:I,3,FALSE)</f>
        <v>-1E-4</v>
      </c>
      <c r="M183">
        <f>VLOOKUP(A183,DB!A:I,4,FALSE)</f>
        <v>0</v>
      </c>
      <c r="N183">
        <f>VLOOKUP(A183,DB!A:I,5,FALSE)</f>
        <v>5.4799999999999996E-3</v>
      </c>
      <c r="O183">
        <f>VLOOKUP(A183,DB!A:I,6,FALSE)</f>
        <v>4.5500000000000002E-3</v>
      </c>
      <c r="P183">
        <f>VLOOKUP(A183,DB!A:I,7,FALSE)</f>
        <v>9.3000000000000005E-4</v>
      </c>
      <c r="Q183">
        <f>VLOOKUP(A183,DB!A:I,8,FALSE)</f>
        <v>0.57620000000000005</v>
      </c>
      <c r="R183">
        <f>VLOOKUP(A183,DB!A:I,9,FALSE)</f>
        <v>0.57750000000000001</v>
      </c>
      <c r="S183">
        <f>N183 *SQRT(H183)</f>
        <v>6.7116018952259067</v>
      </c>
      <c r="T183">
        <f>L183/N183</f>
        <v>-1.8248175182481754E-2</v>
      </c>
    </row>
    <row r="184" spans="1:20" x14ac:dyDescent="0.25">
      <c r="A184" t="s">
        <v>598</v>
      </c>
      <c r="B184" t="s">
        <v>13</v>
      </c>
      <c r="C184" s="4">
        <v>6.2364999999999997E-2</v>
      </c>
      <c r="D184" s="4">
        <v>0.219</v>
      </c>
      <c r="E184" s="4">
        <v>1.8488000000000001E-2</v>
      </c>
      <c r="F184" s="4">
        <v>0.42799999999999999</v>
      </c>
      <c r="G184">
        <v>3.63E-3</v>
      </c>
      <c r="H184">
        <f>VLOOKUP(A184,DB!A:I,2,FALSE)</f>
        <v>750000</v>
      </c>
      <c r="I184">
        <f>VLOOKUP(A184,'RE@CD'!A:D,2,FALSE)</f>
        <v>100000</v>
      </c>
      <c r="J184">
        <f>VLOOKUP(A184,'RE@CD'!A:D,3,FALSE)</f>
        <v>50000</v>
      </c>
      <c r="K184">
        <f>VLOOKUP(A184,'RE@CD'!A:D,4,FALSE)</f>
        <v>60000</v>
      </c>
      <c r="L184">
        <f>VLOOKUP(A184,DB!A:I,3,FALSE)</f>
        <v>0.21909999999999999</v>
      </c>
      <c r="M184">
        <f>VLOOKUP(A184,DB!A:I,4,FALSE)</f>
        <v>-4.58E-2</v>
      </c>
      <c r="N184">
        <f>VLOOKUP(A184,DB!A:I,5,FALSE)</f>
        <v>4.2199999999999998E-3</v>
      </c>
      <c r="O184">
        <f>VLOOKUP(A184,DB!A:I,6,FALSE)</f>
        <v>3.3800000000000002E-3</v>
      </c>
      <c r="P184">
        <f>VLOOKUP(A184,DB!A:I,7,FALSE)</f>
        <v>8.4000000000000003E-4</v>
      </c>
      <c r="Q184">
        <f>VLOOKUP(A184,DB!A:I,8,FALSE)</f>
        <v>0.75570000000000004</v>
      </c>
      <c r="R184">
        <f>VLOOKUP(A184,DB!A:I,9,FALSE)</f>
        <v>1</v>
      </c>
      <c r="S184">
        <f>N184 *SQRT(H184)</f>
        <v>3.6546272039703305</v>
      </c>
      <c r="T184">
        <f>L184/N184</f>
        <v>51.919431279620852</v>
      </c>
    </row>
    <row r="185" spans="1:20" x14ac:dyDescent="0.25">
      <c r="A185" t="s">
        <v>644</v>
      </c>
      <c r="B185" t="s">
        <v>59</v>
      </c>
      <c r="C185" s="4">
        <v>0.14483299999999999</v>
      </c>
      <c r="D185" s="4">
        <v>0.33900000000000002</v>
      </c>
      <c r="E185" s="4">
        <v>3.8969999999999998E-2</v>
      </c>
      <c r="F185" s="4">
        <v>0.371</v>
      </c>
      <c r="G185">
        <v>1.172E-2</v>
      </c>
      <c r="H185">
        <f>VLOOKUP(A185,DB!A:I,2,FALSE)</f>
        <v>3000000</v>
      </c>
      <c r="I185">
        <f>VLOOKUP(A185,'RE@CD'!A:D,2,FALSE)</f>
        <v>400000</v>
      </c>
      <c r="J185">
        <f>VLOOKUP(A185,'RE@CD'!A:D,3,FALSE)</f>
        <v>125000</v>
      </c>
      <c r="K185">
        <f>VLOOKUP(A185,'RE@CD'!A:D,4,FALSE)</f>
        <v>150000</v>
      </c>
      <c r="L185">
        <f>VLOOKUP(A185,DB!A:I,3,FALSE)</f>
        <v>0.47449999999999998</v>
      </c>
      <c r="M185">
        <f>VLOOKUP(A185,DB!A:I,4,FALSE)</f>
        <v>-9.6799999999999997E-2</v>
      </c>
      <c r="N185">
        <f>VLOOKUP(A185,DB!A:I,5,FALSE)</f>
        <v>5.4599999999999996E-3</v>
      </c>
      <c r="O185">
        <f>VLOOKUP(A185,DB!A:I,6,FALSE)</f>
        <v>4.45E-3</v>
      </c>
      <c r="P185">
        <f>VLOOKUP(A185,DB!A:I,7,FALSE)</f>
        <v>1E-3</v>
      </c>
      <c r="Q185">
        <f>VLOOKUP(A185,DB!A:I,8,FALSE)</f>
        <v>0.50019999999999998</v>
      </c>
      <c r="R185">
        <f>VLOOKUP(A185,DB!A:I,9,FALSE)</f>
        <v>0.51829999999999998</v>
      </c>
      <c r="S185">
        <f>N185 *SQRT(H185)</f>
        <v>9.4569974093260694</v>
      </c>
      <c r="T185">
        <f>L185/N185</f>
        <v>86.904761904761912</v>
      </c>
    </row>
    <row r="186" spans="1:20" x14ac:dyDescent="0.25">
      <c r="A186" t="s">
        <v>662</v>
      </c>
      <c r="B186" t="s">
        <v>77</v>
      </c>
      <c r="C186" s="4">
        <v>0.18961800000000001</v>
      </c>
      <c r="D186" s="4">
        <v>0.36899999999999999</v>
      </c>
      <c r="E186" s="4">
        <v>3.7277999999999999E-2</v>
      </c>
      <c r="F186" s="4">
        <v>0.54500000000000004</v>
      </c>
      <c r="G186">
        <v>2.8500000000000001E-3</v>
      </c>
      <c r="H186">
        <f>VLOOKUP(A186,DB!A:I,2,FALSE)</f>
        <v>3000000</v>
      </c>
      <c r="I186">
        <f>VLOOKUP(A186,'RE@CD'!A:D,2,FALSE)</f>
        <v>675000</v>
      </c>
      <c r="J186">
        <f>VLOOKUP(A186,'RE@CD'!A:D,3,FALSE)</f>
        <v>250000</v>
      </c>
      <c r="K186">
        <f>VLOOKUP(A186,'RE@CD'!A:D,4,FALSE)</f>
        <v>325000</v>
      </c>
      <c r="L186">
        <f>VLOOKUP(A186,DB!A:I,3,FALSE)</f>
        <v>0.53810000000000002</v>
      </c>
      <c r="M186">
        <f>VLOOKUP(A186,DB!A:I,4,FALSE)</f>
        <v>-0.1226</v>
      </c>
      <c r="N186">
        <f>VLOOKUP(A186,DB!A:I,5,FALSE)</f>
        <v>5.4400000000000004E-3</v>
      </c>
      <c r="O186">
        <f>VLOOKUP(A186,DB!A:I,6,FALSE)</f>
        <v>4.1200000000000004E-3</v>
      </c>
      <c r="P186">
        <f>VLOOKUP(A186,DB!A:I,7,FALSE)</f>
        <v>1.32E-3</v>
      </c>
      <c r="Q186">
        <f>VLOOKUP(A186,DB!A:I,8,FALSE)</f>
        <v>0.59430000000000005</v>
      </c>
      <c r="R186">
        <f>VLOOKUP(A186,DB!A:I,9,FALSE)</f>
        <v>0.52510000000000001</v>
      </c>
      <c r="S186">
        <f>N186 *SQRT(H186)</f>
        <v>9.4223563931746934</v>
      </c>
      <c r="T186">
        <f>L186/N186</f>
        <v>98.91544117647058</v>
      </c>
    </row>
    <row r="187" spans="1:20" x14ac:dyDescent="0.25">
      <c r="A187" t="s">
        <v>880</v>
      </c>
      <c r="B187" t="s">
        <v>295</v>
      </c>
      <c r="C187" s="4">
        <v>0.12014</v>
      </c>
      <c r="D187" s="4">
        <v>0.307</v>
      </c>
      <c r="E187" s="4">
        <v>5.0098999999999998E-2</v>
      </c>
      <c r="F187" s="4">
        <v>0.5</v>
      </c>
      <c r="G187">
        <v>4.8900000000000002E-3</v>
      </c>
      <c r="H187">
        <f>VLOOKUP(A187,DB!A:I,2,FALSE)</f>
        <v>3000000</v>
      </c>
      <c r="I187">
        <f>VLOOKUP(A187,'RE@CD'!A:D,2,FALSE)</f>
        <v>325000</v>
      </c>
      <c r="J187">
        <f>VLOOKUP(A187,'RE@CD'!A:D,3,FALSE)</f>
        <v>100000</v>
      </c>
      <c r="K187">
        <f>VLOOKUP(A187,'RE@CD'!A:D,4,FALSE)</f>
        <v>175000</v>
      </c>
      <c r="L187">
        <f>VLOOKUP(A187,DB!A:I,3,FALSE)</f>
        <v>0.8296</v>
      </c>
      <c r="M187">
        <f>VLOOKUP(A187,DB!A:I,4,FALSE)</f>
        <v>-0.18840000000000001</v>
      </c>
      <c r="N187">
        <f>VLOOKUP(A187,DB!A:I,5,FALSE)</f>
        <v>5.4299999999999999E-3</v>
      </c>
      <c r="O187">
        <f>VLOOKUP(A187,DB!A:I,6,FALSE)</f>
        <v>4.3800000000000002E-3</v>
      </c>
      <c r="P187">
        <f>VLOOKUP(A187,DB!A:I,7,FALSE)</f>
        <v>1.0499999999999999E-3</v>
      </c>
      <c r="Q187">
        <f>VLOOKUP(A187,DB!A:I,8,FALSE)</f>
        <v>0.56710000000000005</v>
      </c>
      <c r="R187">
        <f>VLOOKUP(A187,DB!A:I,9,FALSE)</f>
        <v>0.36620000000000003</v>
      </c>
      <c r="S187">
        <f>N187 *SQRT(H187)</f>
        <v>9.4050358850990037</v>
      </c>
      <c r="T187">
        <f>L187/N187</f>
        <v>152.78084714548802</v>
      </c>
    </row>
    <row r="188" spans="1:20" x14ac:dyDescent="0.25">
      <c r="A188" t="s">
        <v>1124</v>
      </c>
      <c r="B188" t="s">
        <v>535</v>
      </c>
      <c r="C188" s="4">
        <v>0.14004</v>
      </c>
      <c r="D188" s="4">
        <v>0.29099999999999998</v>
      </c>
      <c r="E188" s="4">
        <v>0</v>
      </c>
      <c r="F188" s="4">
        <v>7.2999999999999995E-2</v>
      </c>
      <c r="G188">
        <v>1.061E-2</v>
      </c>
      <c r="H188">
        <f>VLOOKUP(A188,DB!A:I,2,FALSE)</f>
        <v>3000000</v>
      </c>
      <c r="I188">
        <f>VLOOKUP(A188,'RE@CD'!A:D,2,FALSE)</f>
        <v>225000</v>
      </c>
      <c r="J188">
        <f>VLOOKUP(A188,'RE@CD'!A:D,3,FALSE)</f>
        <v>90000</v>
      </c>
      <c r="K188">
        <f>VLOOKUP(A188,'RE@CD'!A:D,4,FALSE)</f>
        <v>100000</v>
      </c>
      <c r="L188">
        <f>VLOOKUP(A188,DB!A:I,3,FALSE)</f>
        <v>0</v>
      </c>
      <c r="M188">
        <f>VLOOKUP(A188,DB!A:I,4,FALSE)</f>
        <v>0</v>
      </c>
      <c r="N188">
        <f>VLOOKUP(A188,DB!A:I,5,FALSE)</f>
        <v>5.4200000000000003E-3</v>
      </c>
      <c r="O188">
        <f>VLOOKUP(A188,DB!A:I,6,FALSE)</f>
        <v>4.6100000000000004E-3</v>
      </c>
      <c r="P188">
        <f>VLOOKUP(A188,DB!A:I,7,FALSE)</f>
        <v>8.0999999999999996E-4</v>
      </c>
      <c r="Q188">
        <f>VLOOKUP(A188,DB!A:I,8,FALSE)</f>
        <v>0.46960000000000002</v>
      </c>
      <c r="R188">
        <f>VLOOKUP(A188,DB!A:I,9,FALSE)</f>
        <v>0.46960000000000002</v>
      </c>
      <c r="S188">
        <f>N188 *SQRT(H188)</f>
        <v>9.3877153770233157</v>
      </c>
      <c r="T188">
        <f>L188/N188</f>
        <v>0</v>
      </c>
    </row>
    <row r="189" spans="1:20" x14ac:dyDescent="0.25">
      <c r="A189" t="s">
        <v>706</v>
      </c>
      <c r="B189" t="s">
        <v>121</v>
      </c>
      <c r="C189" s="4">
        <v>0.135467</v>
      </c>
      <c r="D189" s="4">
        <v>0.33300000000000002</v>
      </c>
      <c r="E189" s="4">
        <v>3.5302E-2</v>
      </c>
      <c r="F189" s="4">
        <v>0.25700000000000001</v>
      </c>
      <c r="G189">
        <v>8.4999999999999995E-4</v>
      </c>
      <c r="H189">
        <f>VLOOKUP(A189,DB!A:I,2,FALSE)</f>
        <v>2100000</v>
      </c>
      <c r="I189">
        <f>VLOOKUP(A189,'RE@CD'!A:D,2,FALSE)</f>
        <v>450000</v>
      </c>
      <c r="J189">
        <f>VLOOKUP(A189,'RE@CD'!A:D,3,FALSE)</f>
        <v>90000</v>
      </c>
      <c r="K189">
        <f>VLOOKUP(A189,'RE@CD'!A:D,4,FALSE)</f>
        <v>150000</v>
      </c>
      <c r="L189">
        <f>VLOOKUP(A189,DB!A:I,3,FALSE)</f>
        <v>0.27560000000000001</v>
      </c>
      <c r="M189">
        <f>VLOOKUP(A189,DB!A:I,4,FALSE)</f>
        <v>-3.09E-2</v>
      </c>
      <c r="N189">
        <f>VLOOKUP(A189,DB!A:I,5,FALSE)</f>
        <v>5.4099999999999999E-3</v>
      </c>
      <c r="O189">
        <f>VLOOKUP(A189,DB!A:I,6,FALSE)</f>
        <v>4.2700000000000004E-3</v>
      </c>
      <c r="P189">
        <f>VLOOKUP(A189,DB!A:I,7,FALSE)</f>
        <v>1.14E-3</v>
      </c>
      <c r="Q189">
        <f>VLOOKUP(A189,DB!A:I,8,FALSE)</f>
        <v>0.4118</v>
      </c>
      <c r="R189">
        <f>VLOOKUP(A189,DB!A:I,9,FALSE)</f>
        <v>0.76390000000000002</v>
      </c>
      <c r="S189">
        <f>N189 *SQRT(H189)</f>
        <v>7.8398348196884866</v>
      </c>
      <c r="T189">
        <f>L189/N189</f>
        <v>50.942698706099819</v>
      </c>
    </row>
    <row r="190" spans="1:20" x14ac:dyDescent="0.25">
      <c r="A190" t="s">
        <v>1000</v>
      </c>
      <c r="B190" t="s">
        <v>411</v>
      </c>
      <c r="C190" s="4">
        <v>7.9691999999999999E-2</v>
      </c>
      <c r="D190" s="4">
        <v>0.35</v>
      </c>
      <c r="E190" s="4">
        <v>3.4522999999999998E-2</v>
      </c>
      <c r="F190" s="4">
        <v>0.5</v>
      </c>
      <c r="G190">
        <v>1.5499999999999999E-3</v>
      </c>
      <c r="H190">
        <f>VLOOKUP(A190,DB!A:I,2,FALSE)</f>
        <v>3000000</v>
      </c>
      <c r="I190">
        <f>VLOOKUP(A190,'RE@CD'!A:D,2,FALSE)</f>
        <v>200000</v>
      </c>
      <c r="J190">
        <f>VLOOKUP(A190,'RE@CD'!A:D,3,FALSE)</f>
        <v>80000</v>
      </c>
      <c r="K190">
        <f>VLOOKUP(A190,'RE@CD'!A:D,4,FALSE)</f>
        <v>125000</v>
      </c>
      <c r="L190">
        <f>VLOOKUP(A190,DB!A:I,3,FALSE)</f>
        <v>0.4864</v>
      </c>
      <c r="M190">
        <f>VLOOKUP(A190,DB!A:I,4,FALSE)</f>
        <v>-0.1061</v>
      </c>
      <c r="N190">
        <f>VLOOKUP(A190,DB!A:I,5,FALSE)</f>
        <v>5.4099999999999999E-3</v>
      </c>
      <c r="O190">
        <f>VLOOKUP(A190,DB!A:I,6,FALSE)</f>
        <v>4.9699999999999996E-3</v>
      </c>
      <c r="P190">
        <f>VLOOKUP(A190,DB!A:I,7,FALSE)</f>
        <v>4.4000000000000002E-4</v>
      </c>
      <c r="Q190">
        <f>VLOOKUP(A190,DB!A:I,8,FALSE)</f>
        <v>0.65239999999999998</v>
      </c>
      <c r="R190">
        <f>VLOOKUP(A190,DB!A:I,9,FALSE)</f>
        <v>7.4999999999999997E-3</v>
      </c>
      <c r="S190">
        <f>N190 *SQRT(H190)</f>
        <v>9.370394868947626</v>
      </c>
      <c r="T190">
        <f>L190/N190</f>
        <v>89.907578558225509</v>
      </c>
    </row>
    <row r="191" spans="1:20" x14ac:dyDescent="0.25">
      <c r="A191" t="s">
        <v>930</v>
      </c>
      <c r="B191" t="s">
        <v>341</v>
      </c>
      <c r="C191" s="4">
        <v>8.0479999999999996E-2</v>
      </c>
      <c r="D191" s="4">
        <v>0.27900000000000003</v>
      </c>
      <c r="E191" s="4">
        <v>0</v>
      </c>
      <c r="F191" s="4">
        <v>0.01</v>
      </c>
      <c r="G191">
        <v>7.9900000000000006E-3</v>
      </c>
      <c r="H191">
        <f>VLOOKUP(A191,DB!A:I,2,FALSE)</f>
        <v>975000</v>
      </c>
      <c r="I191">
        <f>VLOOKUP(A191,'RE@CD'!A:D,2,FALSE)</f>
        <v>150000</v>
      </c>
      <c r="J191">
        <f>VLOOKUP(A191,'RE@CD'!A:D,3,FALSE)</f>
        <v>50000</v>
      </c>
      <c r="K191">
        <f>VLOOKUP(A191,'RE@CD'!A:D,4,FALSE)</f>
        <v>90000</v>
      </c>
      <c r="L191">
        <f>VLOOKUP(A191,DB!A:I,3,FALSE)</f>
        <v>0</v>
      </c>
      <c r="M191">
        <f>VLOOKUP(A191,DB!A:I,4,FALSE)</f>
        <v>0</v>
      </c>
      <c r="N191">
        <f>VLOOKUP(A191,DB!A:I,5,FALSE)</f>
        <v>4.15E-3</v>
      </c>
      <c r="O191">
        <f>VLOOKUP(A191,DB!A:I,6,FALSE)</f>
        <v>3.3E-3</v>
      </c>
      <c r="P191">
        <f>VLOOKUP(A191,DB!A:I,7,FALSE)</f>
        <v>8.5999999999999998E-4</v>
      </c>
      <c r="Q191">
        <f>VLOOKUP(A191,DB!A:I,8,FALSE)</f>
        <v>0.8125</v>
      </c>
      <c r="R191">
        <f>VLOOKUP(A191,DB!A:I,9,FALSE)</f>
        <v>0.81220000000000003</v>
      </c>
      <c r="S191">
        <f>N191 *SQRT(H191)</f>
        <v>4.0977966640622867</v>
      </c>
      <c r="T191">
        <f>L191/N191</f>
        <v>0</v>
      </c>
    </row>
    <row r="192" spans="1:20" x14ac:dyDescent="0.25">
      <c r="A192" t="s">
        <v>622</v>
      </c>
      <c r="B192" t="s">
        <v>37</v>
      </c>
      <c r="C192" s="4">
        <v>9.9435999999999997E-2</v>
      </c>
      <c r="D192" s="4">
        <v>0.309</v>
      </c>
      <c r="E192" s="4">
        <v>6.6669999999999993E-2</v>
      </c>
      <c r="F192" s="4">
        <v>0.5</v>
      </c>
      <c r="G192">
        <v>5.1200000000000004E-3</v>
      </c>
      <c r="H192">
        <f>VLOOKUP(A192,DB!A:I,2,FALSE)</f>
        <v>2900000</v>
      </c>
      <c r="I192">
        <f>VLOOKUP(A192,'RE@CD'!A:D,2,FALSE)</f>
        <v>550000</v>
      </c>
      <c r="J192">
        <f>VLOOKUP(A192,'RE@CD'!A:D,3,FALSE)</f>
        <v>550000</v>
      </c>
      <c r="K192">
        <f>VLOOKUP(A192,'RE@CD'!A:D,4,FALSE)</f>
        <v>550000</v>
      </c>
      <c r="L192">
        <f>VLOOKUP(A192,DB!A:I,3,FALSE)</f>
        <v>0.9042</v>
      </c>
      <c r="M192">
        <f>VLOOKUP(A192,DB!A:I,4,FALSE)</f>
        <v>-0.2152</v>
      </c>
      <c r="N192">
        <f>VLOOKUP(A192,DB!A:I,5,FALSE)</f>
        <v>5.4000000000000003E-3</v>
      </c>
      <c r="O192">
        <f>VLOOKUP(A192,DB!A:I,6,FALSE)</f>
        <v>4.4000000000000003E-3</v>
      </c>
      <c r="P192">
        <f>VLOOKUP(A192,DB!A:I,7,FALSE)</f>
        <v>1E-3</v>
      </c>
      <c r="Q192">
        <f>VLOOKUP(A192,DB!A:I,8,FALSE)</f>
        <v>0.67659999999999998</v>
      </c>
      <c r="R192">
        <f>VLOOKUP(A192,DB!A:I,9,FALSE)</f>
        <v>0.18890000000000001</v>
      </c>
      <c r="S192">
        <f>N192 *SQRT(H192)</f>
        <v>9.1958686376002561</v>
      </c>
      <c r="T192">
        <f>L192/N192</f>
        <v>167.44444444444443</v>
      </c>
    </row>
    <row r="193" spans="1:20" x14ac:dyDescent="0.25">
      <c r="A193" t="s">
        <v>772</v>
      </c>
      <c r="B193" t="s">
        <v>187</v>
      </c>
      <c r="C193" s="4">
        <v>0.18107899999999999</v>
      </c>
      <c r="D193" s="4">
        <v>0.38700000000000001</v>
      </c>
      <c r="E193" s="4">
        <v>2.0851000000000001E-2</v>
      </c>
      <c r="F193" s="4">
        <v>0.30399999999999999</v>
      </c>
      <c r="G193">
        <v>3.5999999999999999E-3</v>
      </c>
      <c r="H193">
        <f>VLOOKUP(A193,DB!A:I,2,FALSE)</f>
        <v>3000000</v>
      </c>
      <c r="I193">
        <f>VLOOKUP(A193,'RE@CD'!A:D,2,FALSE)</f>
        <v>500000</v>
      </c>
      <c r="J193">
        <f>VLOOKUP(A193,'RE@CD'!A:D,3,FALSE)</f>
        <v>175000</v>
      </c>
      <c r="K193">
        <f>VLOOKUP(A193,'RE@CD'!A:D,4,FALSE)</f>
        <v>225000</v>
      </c>
      <c r="L193">
        <f>VLOOKUP(A193,DB!A:I,3,FALSE)</f>
        <v>0.35310000000000002</v>
      </c>
      <c r="M193">
        <f>VLOOKUP(A193,DB!A:I,4,FALSE)</f>
        <v>-7.5600000000000001E-2</v>
      </c>
      <c r="N193">
        <f>VLOOKUP(A193,DB!A:I,5,FALSE)</f>
        <v>5.3899999999999998E-3</v>
      </c>
      <c r="O193">
        <f>VLOOKUP(A193,DB!A:I,6,FALSE)</f>
        <v>4.3200000000000001E-3</v>
      </c>
      <c r="P193">
        <f>VLOOKUP(A193,DB!A:I,7,FALSE)</f>
        <v>1.07E-3</v>
      </c>
      <c r="Q193">
        <f>VLOOKUP(A193,DB!A:I,8,FALSE)</f>
        <v>0.50900000000000001</v>
      </c>
      <c r="R193">
        <f>VLOOKUP(A193,DB!A:I,9,FALSE)</f>
        <v>0.56240000000000001</v>
      </c>
      <c r="S193">
        <f>N193 *SQRT(H193)</f>
        <v>9.3357538527962483</v>
      </c>
      <c r="T193">
        <f>L193/N193</f>
        <v>65.510204081632665</v>
      </c>
    </row>
    <row r="194" spans="1:20" x14ac:dyDescent="0.25">
      <c r="A194" t="s">
        <v>1017</v>
      </c>
      <c r="B194" t="s">
        <v>428</v>
      </c>
      <c r="C194" s="4">
        <v>0.110817</v>
      </c>
      <c r="D194" s="4">
        <v>0.29199999999999998</v>
      </c>
      <c r="E194" s="4">
        <v>5.5756E-2</v>
      </c>
      <c r="F194" s="4">
        <v>0.46</v>
      </c>
      <c r="G194">
        <v>3.0500000000000002E-3</v>
      </c>
      <c r="H194">
        <f>VLOOKUP(A194,DB!A:I,2,FALSE)</f>
        <v>3000000</v>
      </c>
      <c r="I194">
        <f>VLOOKUP(A194,'RE@CD'!A:D,2,FALSE)</f>
        <v>225000</v>
      </c>
      <c r="J194">
        <f>VLOOKUP(A194,'RE@CD'!A:D,3,FALSE)</f>
        <v>125000</v>
      </c>
      <c r="K194">
        <f>VLOOKUP(A194,'RE@CD'!A:D,4,FALSE)</f>
        <v>125000</v>
      </c>
      <c r="L194">
        <f>VLOOKUP(A194,DB!A:I,3,FALSE)</f>
        <v>0.75749999999999995</v>
      </c>
      <c r="M194">
        <f>VLOOKUP(A194,DB!A:I,4,FALSE)</f>
        <v>-0.1681</v>
      </c>
      <c r="N194">
        <f>VLOOKUP(A194,DB!A:I,5,FALSE)</f>
        <v>5.3899999999999998E-3</v>
      </c>
      <c r="O194">
        <f>VLOOKUP(A194,DB!A:I,6,FALSE)</f>
        <v>4.4600000000000004E-3</v>
      </c>
      <c r="P194">
        <f>VLOOKUP(A194,DB!A:I,7,FALSE)</f>
        <v>9.3999999999999997E-4</v>
      </c>
      <c r="Q194">
        <f>VLOOKUP(A194,DB!A:I,8,FALSE)</f>
        <v>0.57599999999999996</v>
      </c>
      <c r="R194">
        <f>VLOOKUP(A194,DB!A:I,9,FALSE)</f>
        <v>0.33639999999999998</v>
      </c>
      <c r="S194">
        <f>N194 *SQRT(H194)</f>
        <v>9.3357538527962483</v>
      </c>
      <c r="T194">
        <f>L194/N194</f>
        <v>140.53803339517626</v>
      </c>
    </row>
    <row r="195" spans="1:20" x14ac:dyDescent="0.25">
      <c r="A195" t="s">
        <v>953</v>
      </c>
      <c r="B195" t="s">
        <v>364</v>
      </c>
      <c r="C195" s="4">
        <v>0.17609</v>
      </c>
      <c r="D195" s="4">
        <v>0.371</v>
      </c>
      <c r="E195" s="4">
        <v>4.3688999999999999E-2</v>
      </c>
      <c r="F195" s="4">
        <v>0.435</v>
      </c>
      <c r="G195">
        <v>2.027E-2</v>
      </c>
      <c r="H195">
        <f>VLOOKUP(A195,DB!A:I,2,FALSE)</f>
        <v>3000000</v>
      </c>
      <c r="I195">
        <f>VLOOKUP(A195,'RE@CD'!A:D,2,FALSE)</f>
        <v>400000</v>
      </c>
      <c r="J195">
        <f>VLOOKUP(A195,'RE@CD'!A:D,3,FALSE)</f>
        <v>200000</v>
      </c>
      <c r="K195">
        <f>VLOOKUP(A195,'RE@CD'!A:D,4,FALSE)</f>
        <v>200000</v>
      </c>
      <c r="L195">
        <f>VLOOKUP(A195,DB!A:I,3,FALSE)</f>
        <v>0.50660000000000005</v>
      </c>
      <c r="M195">
        <f>VLOOKUP(A195,DB!A:I,4,FALSE)</f>
        <v>-0.10639999999999999</v>
      </c>
      <c r="N195">
        <f>VLOOKUP(A195,DB!A:I,5,FALSE)</f>
        <v>5.3800000000000002E-3</v>
      </c>
      <c r="O195">
        <f>VLOOKUP(A195,DB!A:I,6,FALSE)</f>
        <v>4.1900000000000001E-3</v>
      </c>
      <c r="P195">
        <f>VLOOKUP(A195,DB!A:I,7,FALSE)</f>
        <v>1.1900000000000001E-3</v>
      </c>
      <c r="Q195">
        <f>VLOOKUP(A195,DB!A:I,8,FALSE)</f>
        <v>0.56320000000000003</v>
      </c>
      <c r="R195">
        <f>VLOOKUP(A195,DB!A:I,9,FALSE)</f>
        <v>0.48320000000000002</v>
      </c>
      <c r="S195">
        <f>N195 *SQRT(H195)</f>
        <v>9.3184333447205603</v>
      </c>
      <c r="T195">
        <f>L195/N195</f>
        <v>94.163568773234203</v>
      </c>
    </row>
    <row r="196" spans="1:20" x14ac:dyDescent="0.25">
      <c r="A196" t="s">
        <v>1085</v>
      </c>
      <c r="B196" t="s">
        <v>496</v>
      </c>
      <c r="C196" s="4">
        <v>0.13969999999999999</v>
      </c>
      <c r="D196" s="4">
        <v>0.27</v>
      </c>
      <c r="E196" s="4">
        <v>0</v>
      </c>
      <c r="F196" s="4">
        <v>0.61499999999999999</v>
      </c>
      <c r="G196">
        <v>7.1399999999999996E-3</v>
      </c>
      <c r="H196">
        <f>VLOOKUP(A196,DB!A:I,2,FALSE)</f>
        <v>3000000</v>
      </c>
      <c r="I196">
        <f>VLOOKUP(A196,'RE@CD'!A:D,2,FALSE)</f>
        <v>250000</v>
      </c>
      <c r="J196">
        <f>VLOOKUP(A196,'RE@CD'!A:D,3,FALSE)</f>
        <v>80000</v>
      </c>
      <c r="K196">
        <f>VLOOKUP(A196,'RE@CD'!A:D,4,FALSE)</f>
        <v>100000</v>
      </c>
      <c r="L196">
        <f>VLOOKUP(A196,DB!A:I,3,FALSE)</f>
        <v>0</v>
      </c>
      <c r="M196">
        <f>VLOOKUP(A196,DB!A:I,4,FALSE)</f>
        <v>0</v>
      </c>
      <c r="N196">
        <f>VLOOKUP(A196,DB!A:I,5,FALSE)</f>
        <v>5.3600000000000002E-3</v>
      </c>
      <c r="O196">
        <f>VLOOKUP(A196,DB!A:I,6,FALSE)</f>
        <v>4.6600000000000001E-3</v>
      </c>
      <c r="P196">
        <f>VLOOKUP(A196,DB!A:I,7,FALSE)</f>
        <v>6.9999999999999999E-4</v>
      </c>
      <c r="Q196">
        <f>VLOOKUP(A196,DB!A:I,8,FALSE)</f>
        <v>0.46160000000000001</v>
      </c>
      <c r="R196">
        <f>VLOOKUP(A196,DB!A:I,9,FALSE)</f>
        <v>0.46160000000000001</v>
      </c>
      <c r="S196">
        <f>N196 *SQRT(H196)</f>
        <v>9.2837923285691826</v>
      </c>
      <c r="T196">
        <f>L196/N196</f>
        <v>0</v>
      </c>
    </row>
    <row r="197" spans="1:20" x14ac:dyDescent="0.25">
      <c r="A197" t="s">
        <v>729</v>
      </c>
      <c r="B197" t="s">
        <v>144</v>
      </c>
      <c r="C197" s="4">
        <v>8.4269999999999998E-2</v>
      </c>
      <c r="D197" s="4">
        <v>0.30499999999999999</v>
      </c>
      <c r="E197" s="4">
        <v>5.7173000000000002E-2</v>
      </c>
      <c r="F197" s="4">
        <v>0.42899999999999999</v>
      </c>
      <c r="G197">
        <v>3.6600000000000001E-3</v>
      </c>
      <c r="H197">
        <f>VLOOKUP(A197,DB!A:I,2,FALSE)</f>
        <v>3000000</v>
      </c>
      <c r="I197">
        <f>VLOOKUP(A197,'RE@CD'!A:D,2,FALSE)</f>
        <v>225000</v>
      </c>
      <c r="J197">
        <f>VLOOKUP(A197,'RE@CD'!A:D,3,FALSE)</f>
        <v>100000</v>
      </c>
      <c r="K197">
        <f>VLOOKUP(A197,'RE@CD'!A:D,4,FALSE)</f>
        <v>125000</v>
      </c>
      <c r="L197">
        <f>VLOOKUP(A197,DB!A:I,3,FALSE)</f>
        <v>0.7319</v>
      </c>
      <c r="M197">
        <f>VLOOKUP(A197,DB!A:I,4,FALSE)</f>
        <v>-0.16270000000000001</v>
      </c>
      <c r="N197">
        <f>VLOOKUP(A197,DB!A:I,5,FALSE)</f>
        <v>5.3499999999999997E-3</v>
      </c>
      <c r="O197">
        <f>VLOOKUP(A197,DB!A:I,6,FALSE)</f>
        <v>4.64E-3</v>
      </c>
      <c r="P197">
        <f>VLOOKUP(A197,DB!A:I,7,FALSE)</f>
        <v>7.1000000000000002E-4</v>
      </c>
      <c r="Q197">
        <f>VLOOKUP(A197,DB!A:I,8,FALSE)</f>
        <v>0.58030000000000004</v>
      </c>
      <c r="R197">
        <f>VLOOKUP(A197,DB!A:I,9,FALSE)</f>
        <v>0.2203</v>
      </c>
      <c r="S197">
        <f>N197 *SQRT(H197)</f>
        <v>9.2664718204934928</v>
      </c>
      <c r="T197">
        <f>L197/N197</f>
        <v>136.80373831775702</v>
      </c>
    </row>
    <row r="198" spans="1:20" x14ac:dyDescent="0.25">
      <c r="A198" t="s">
        <v>771</v>
      </c>
      <c r="B198" t="s">
        <v>186</v>
      </c>
      <c r="C198" s="4">
        <v>0.17422599999999999</v>
      </c>
      <c r="D198" s="4">
        <v>0.35399999999999998</v>
      </c>
      <c r="E198" s="4">
        <v>2.2324E-2</v>
      </c>
      <c r="F198" s="4">
        <v>0.26100000000000001</v>
      </c>
      <c r="G198">
        <v>3.15E-3</v>
      </c>
      <c r="H198">
        <f>VLOOKUP(A198,DB!A:I,2,FALSE)</f>
        <v>3000000</v>
      </c>
      <c r="I198">
        <f>VLOOKUP(A198,'RE@CD'!A:D,2,FALSE)</f>
        <v>625000</v>
      </c>
      <c r="J198">
        <f>VLOOKUP(A198,'RE@CD'!A:D,3,FALSE)</f>
        <v>225000</v>
      </c>
      <c r="K198">
        <f>VLOOKUP(A198,'RE@CD'!A:D,4,FALSE)</f>
        <v>300000</v>
      </c>
      <c r="L198">
        <f>VLOOKUP(A198,DB!A:I,3,FALSE)</f>
        <v>0.247</v>
      </c>
      <c r="M198">
        <f>VLOOKUP(A198,DB!A:I,4,FALSE)</f>
        <v>-3.85E-2</v>
      </c>
      <c r="N198">
        <f>VLOOKUP(A198,DB!A:I,5,FALSE)</f>
        <v>5.3499999999999997E-3</v>
      </c>
      <c r="O198">
        <f>VLOOKUP(A198,DB!A:I,6,FALSE)</f>
        <v>4.1999999999999997E-3</v>
      </c>
      <c r="P198">
        <f>VLOOKUP(A198,DB!A:I,7,FALSE)</f>
        <v>1.14E-3</v>
      </c>
      <c r="Q198">
        <f>VLOOKUP(A198,DB!A:I,8,FALSE)</f>
        <v>0.45190000000000002</v>
      </c>
      <c r="R198">
        <f>VLOOKUP(A198,DB!A:I,9,FALSE)</f>
        <v>0.66320000000000001</v>
      </c>
      <c r="S198">
        <f>N198 *SQRT(H198)</f>
        <v>9.2664718204934928</v>
      </c>
      <c r="T198">
        <f>L198/N198</f>
        <v>46.168224299065422</v>
      </c>
    </row>
    <row r="199" spans="1:20" x14ac:dyDescent="0.25">
      <c r="A199" t="s">
        <v>825</v>
      </c>
      <c r="B199" t="s">
        <v>240</v>
      </c>
      <c r="C199" s="4">
        <v>0.15048</v>
      </c>
      <c r="D199" s="4">
        <v>0.33100000000000002</v>
      </c>
      <c r="E199" s="4">
        <v>2.7733000000000001E-2</v>
      </c>
      <c r="F199" s="4">
        <v>0.439</v>
      </c>
      <c r="G199">
        <v>4.2599999999999999E-3</v>
      </c>
      <c r="H199">
        <f>VLOOKUP(A199,DB!A:I,2,FALSE)</f>
        <v>3000000</v>
      </c>
      <c r="I199">
        <f>VLOOKUP(A199,'RE@CD'!A:D,2,FALSE)</f>
        <v>525000</v>
      </c>
      <c r="J199">
        <f>VLOOKUP(A199,'RE@CD'!A:D,3,FALSE)</f>
        <v>150000</v>
      </c>
      <c r="K199">
        <f>VLOOKUP(A199,'RE@CD'!A:D,4,FALSE)</f>
        <v>225000</v>
      </c>
      <c r="L199">
        <f>VLOOKUP(A199,DB!A:I,3,FALSE)</f>
        <v>0.25</v>
      </c>
      <c r="M199">
        <f>VLOOKUP(A199,DB!A:I,4,FALSE)</f>
        <v>-4.2700000000000002E-2</v>
      </c>
      <c r="N199">
        <f>VLOOKUP(A199,DB!A:I,5,FALSE)</f>
        <v>5.3299999999999997E-3</v>
      </c>
      <c r="O199">
        <f>VLOOKUP(A199,DB!A:I,6,FALSE)</f>
        <v>4.5300000000000002E-3</v>
      </c>
      <c r="P199">
        <f>VLOOKUP(A199,DB!A:I,7,FALSE)</f>
        <v>8.0000000000000004E-4</v>
      </c>
      <c r="Q199">
        <f>VLOOKUP(A199,DB!A:I,8,FALSE)</f>
        <v>0.48830000000000001</v>
      </c>
      <c r="R199">
        <f>VLOOKUP(A199,DB!A:I,9,FALSE)</f>
        <v>0.45629999999999998</v>
      </c>
      <c r="S199">
        <f>N199 *SQRT(H199)</f>
        <v>9.2318308043421151</v>
      </c>
      <c r="T199">
        <f>L199/N199</f>
        <v>46.904315196998127</v>
      </c>
    </row>
    <row r="200" spans="1:20" x14ac:dyDescent="0.25">
      <c r="A200" t="s">
        <v>820</v>
      </c>
      <c r="B200" t="s">
        <v>235</v>
      </c>
      <c r="C200" s="4">
        <v>0.150813</v>
      </c>
      <c r="D200" s="4">
        <v>0.39800000000000002</v>
      </c>
      <c r="E200" s="4">
        <v>5.2082999999999997E-2</v>
      </c>
      <c r="F200" s="4">
        <v>0.50700000000000001</v>
      </c>
      <c r="G200">
        <v>7.0699999999999999E-3</v>
      </c>
      <c r="H200">
        <f>VLOOKUP(A200,DB!A:I,2,FALSE)</f>
        <v>3000000</v>
      </c>
      <c r="I200">
        <f>VLOOKUP(A200,'RE@CD'!A:D,2,FALSE)</f>
        <v>400000</v>
      </c>
      <c r="J200">
        <f>VLOOKUP(A200,'RE@CD'!A:D,3,FALSE)</f>
        <v>250000</v>
      </c>
      <c r="K200">
        <f>VLOOKUP(A200,'RE@CD'!A:D,4,FALSE)</f>
        <v>250000</v>
      </c>
      <c r="L200">
        <f>VLOOKUP(A200,DB!A:I,3,FALSE)</f>
        <v>0.76190000000000002</v>
      </c>
      <c r="M200">
        <f>VLOOKUP(A200,DB!A:I,4,FALSE)</f>
        <v>-0.18679999999999999</v>
      </c>
      <c r="N200">
        <f>VLOOKUP(A200,DB!A:I,5,FALSE)</f>
        <v>5.3E-3</v>
      </c>
      <c r="O200">
        <f>VLOOKUP(A200,DB!A:I,6,FALSE)</f>
        <v>3.6700000000000001E-3</v>
      </c>
      <c r="P200">
        <f>VLOOKUP(A200,DB!A:I,7,FALSE)</f>
        <v>1.6199999999999999E-3</v>
      </c>
      <c r="Q200">
        <f>VLOOKUP(A200,DB!A:I,8,FALSE)</f>
        <v>0.62680000000000002</v>
      </c>
      <c r="R200">
        <f>VLOOKUP(A200,DB!A:I,9,FALSE)</f>
        <v>0.64380000000000004</v>
      </c>
      <c r="S200">
        <f>N200 *SQRT(H200)</f>
        <v>9.1798692801150494</v>
      </c>
      <c r="T200">
        <f>L200/N200</f>
        <v>143.75471698113208</v>
      </c>
    </row>
    <row r="201" spans="1:20" x14ac:dyDescent="0.25">
      <c r="A201" t="s">
        <v>1014</v>
      </c>
      <c r="B201" t="s">
        <v>425</v>
      </c>
      <c r="C201" s="4">
        <v>0.101518</v>
      </c>
      <c r="D201" s="4">
        <v>0.22500000000000001</v>
      </c>
      <c r="E201" s="4">
        <v>0.17999200000000001</v>
      </c>
      <c r="F201" s="4">
        <v>0.114</v>
      </c>
      <c r="G201">
        <v>2.3600000000000001E-3</v>
      </c>
      <c r="H201">
        <f>VLOOKUP(A201,DB!A:I,2,FALSE)</f>
        <v>2100000</v>
      </c>
      <c r="I201">
        <f>VLOOKUP(A201,'RE@CD'!A:D,2,FALSE)</f>
        <v>175000</v>
      </c>
      <c r="J201">
        <f>VLOOKUP(A201,'RE@CD'!A:D,3,FALSE)</f>
        <v>50000</v>
      </c>
      <c r="K201">
        <f>VLOOKUP(A201,'RE@CD'!A:D,4,FALSE)</f>
        <v>70000</v>
      </c>
      <c r="L201">
        <f>VLOOKUP(A201,DB!A:I,3,FALSE)</f>
        <v>-5.8999999999999999E-3</v>
      </c>
      <c r="M201">
        <f>VLOOKUP(A201,DB!A:I,4,FALSE)</f>
        <v>2.3699999999999999E-2</v>
      </c>
      <c r="N201">
        <f>VLOOKUP(A201,DB!A:I,5,FALSE)</f>
        <v>5.3E-3</v>
      </c>
      <c r="O201">
        <f>VLOOKUP(A201,DB!A:I,6,FALSE)</f>
        <v>4.0800000000000003E-3</v>
      </c>
      <c r="P201">
        <f>VLOOKUP(A201,DB!A:I,7,FALSE)</f>
        <v>1.23E-3</v>
      </c>
      <c r="Q201">
        <f>VLOOKUP(A201,DB!A:I,8,FALSE)</f>
        <v>3.4504999999999999</v>
      </c>
      <c r="R201">
        <f>VLOOKUP(A201,DB!A:I,9,FALSE)</f>
        <v>5.5796000000000001</v>
      </c>
      <c r="S201">
        <f>N201 *SQRT(H201)</f>
        <v>7.6804296754804033</v>
      </c>
      <c r="T201">
        <f>L201/N201</f>
        <v>-1.1132075471698113</v>
      </c>
    </row>
    <row r="202" spans="1:20" x14ac:dyDescent="0.25">
      <c r="A202" t="s">
        <v>1052</v>
      </c>
      <c r="B202" t="s">
        <v>463</v>
      </c>
      <c r="C202" s="4">
        <v>0.149863</v>
      </c>
      <c r="D202" s="4">
        <v>0.27300000000000002</v>
      </c>
      <c r="E202" s="4">
        <v>1.6796999999999999E-2</v>
      </c>
      <c r="F202" s="4">
        <v>0.14899999999999999</v>
      </c>
      <c r="G202">
        <v>3.6800000000000001E-3</v>
      </c>
      <c r="H202">
        <f>VLOOKUP(A202,DB!A:I,2,FALSE)</f>
        <v>3000000</v>
      </c>
      <c r="I202">
        <f>VLOOKUP(A202,'RE@CD'!A:D,2,FALSE)</f>
        <v>300000</v>
      </c>
      <c r="J202">
        <f>VLOOKUP(A202,'RE@CD'!A:D,3,FALSE)</f>
        <v>100000</v>
      </c>
      <c r="K202">
        <f>VLOOKUP(A202,'RE@CD'!A:D,4,FALSE)</f>
        <v>150000</v>
      </c>
      <c r="L202">
        <f>VLOOKUP(A202,DB!A:I,3,FALSE)</f>
        <v>1.0800000000000001E-2</v>
      </c>
      <c r="M202">
        <f>VLOOKUP(A202,DB!A:I,4,FALSE)</f>
        <v>2.58E-2</v>
      </c>
      <c r="N202">
        <f>VLOOKUP(A202,DB!A:I,5,FALSE)</f>
        <v>5.3E-3</v>
      </c>
      <c r="O202">
        <f>VLOOKUP(A202,DB!A:I,6,FALSE)</f>
        <v>4.4000000000000003E-3</v>
      </c>
      <c r="P202">
        <f>VLOOKUP(A202,DB!A:I,7,FALSE)</f>
        <v>8.9999999999999998E-4</v>
      </c>
      <c r="Q202">
        <f>VLOOKUP(A202,DB!A:I,8,FALSE)</f>
        <v>0.35399999999999998</v>
      </c>
      <c r="R202">
        <f>VLOOKUP(A202,DB!A:I,9,FALSE)</f>
        <v>0.61780000000000002</v>
      </c>
      <c r="S202">
        <f>N202 *SQRT(H202)</f>
        <v>9.1798692801150494</v>
      </c>
      <c r="T202">
        <f>L202/N202</f>
        <v>2.0377358490566038</v>
      </c>
    </row>
    <row r="203" spans="1:20" x14ac:dyDescent="0.25">
      <c r="A203" t="s">
        <v>1083</v>
      </c>
      <c r="B203" t="s">
        <v>494</v>
      </c>
      <c r="C203" s="4">
        <v>0.151061</v>
      </c>
      <c r="D203" s="4">
        <v>0.33800000000000002</v>
      </c>
      <c r="E203" s="4">
        <v>5.0200000000000002E-2</v>
      </c>
      <c r="F203" s="4">
        <v>0.52300000000000002</v>
      </c>
      <c r="G203">
        <v>8.09E-3</v>
      </c>
      <c r="H203">
        <f>VLOOKUP(A203,DB!A:I,2,FALSE)</f>
        <v>3000000</v>
      </c>
      <c r="I203">
        <f>VLOOKUP(A203,'RE@CD'!A:D,2,FALSE)</f>
        <v>350000</v>
      </c>
      <c r="J203">
        <f>VLOOKUP(A203,'RE@CD'!A:D,3,FALSE)</f>
        <v>150000</v>
      </c>
      <c r="K203">
        <f>VLOOKUP(A203,'RE@CD'!A:D,4,FALSE)</f>
        <v>150000</v>
      </c>
      <c r="L203">
        <f>VLOOKUP(A203,DB!A:I,3,FALSE)</f>
        <v>0.70209999999999995</v>
      </c>
      <c r="M203">
        <f>VLOOKUP(A203,DB!A:I,4,FALSE)</f>
        <v>-0.16470000000000001</v>
      </c>
      <c r="N203">
        <f>VLOOKUP(A203,DB!A:I,5,FALSE)</f>
        <v>5.3E-3</v>
      </c>
      <c r="O203">
        <f>VLOOKUP(A203,DB!A:I,6,FALSE)</f>
        <v>4.1799999999999997E-3</v>
      </c>
      <c r="P203">
        <f>VLOOKUP(A203,DB!A:I,7,FALSE)</f>
        <v>1.1199999999999999E-3</v>
      </c>
      <c r="Q203">
        <f>VLOOKUP(A203,DB!A:I,8,FALSE)</f>
        <v>0.59709999999999996</v>
      </c>
      <c r="R203">
        <f>VLOOKUP(A203,DB!A:I,9,FALSE)</f>
        <v>0.47349999999999998</v>
      </c>
      <c r="S203">
        <f>N203 *SQRT(H203)</f>
        <v>9.1798692801150494</v>
      </c>
      <c r="T203">
        <f>L203/N203</f>
        <v>132.47169811320754</v>
      </c>
    </row>
    <row r="204" spans="1:20" x14ac:dyDescent="0.25">
      <c r="A204" t="s">
        <v>1053</v>
      </c>
      <c r="B204" t="s">
        <v>464</v>
      </c>
      <c r="C204" s="4">
        <v>0.154895</v>
      </c>
      <c r="D204" s="4">
        <v>0.27400000000000002</v>
      </c>
      <c r="E204" s="4">
        <v>1.6808E-2</v>
      </c>
      <c r="F204" s="4">
        <v>0.151</v>
      </c>
      <c r="G204">
        <v>2.9499999999999999E-3</v>
      </c>
      <c r="H204">
        <f>VLOOKUP(A204,DB!A:I,2,FALSE)</f>
        <v>2900000</v>
      </c>
      <c r="I204">
        <f>VLOOKUP(A204,'RE@CD'!A:D,2,FALSE)</f>
        <v>325000</v>
      </c>
      <c r="J204">
        <f>VLOOKUP(A204,'RE@CD'!A:D,3,FALSE)</f>
        <v>125000</v>
      </c>
      <c r="K204">
        <f>VLOOKUP(A204,'RE@CD'!A:D,4,FALSE)</f>
        <v>175000</v>
      </c>
      <c r="L204">
        <f>VLOOKUP(A204,DB!A:I,3,FALSE)</f>
        <v>-5.7999999999999996E-3</v>
      </c>
      <c r="M204">
        <f>VLOOKUP(A204,DB!A:I,4,FALSE)</f>
        <v>3.0800000000000001E-2</v>
      </c>
      <c r="N204">
        <f>VLOOKUP(A204,DB!A:I,5,FALSE)</f>
        <v>5.2900000000000004E-3</v>
      </c>
      <c r="O204">
        <f>VLOOKUP(A204,DB!A:I,6,FALSE)</f>
        <v>4.3600000000000002E-3</v>
      </c>
      <c r="P204">
        <f>VLOOKUP(A204,DB!A:I,7,FALSE)</f>
        <v>9.3000000000000005E-4</v>
      </c>
      <c r="Q204">
        <f>VLOOKUP(A204,DB!A:I,8,FALSE)</f>
        <v>0.35770000000000002</v>
      </c>
      <c r="R204">
        <f>VLOOKUP(A204,DB!A:I,9,FALSE)</f>
        <v>0.63480000000000003</v>
      </c>
      <c r="S204">
        <f>N204 *SQRT(H204)</f>
        <v>9.008545387575067</v>
      </c>
      <c r="T204">
        <f>L204/N204</f>
        <v>-1.0964083175803401</v>
      </c>
    </row>
    <row r="205" spans="1:20" x14ac:dyDescent="0.25">
      <c r="A205" t="s">
        <v>1005</v>
      </c>
      <c r="B205" t="s">
        <v>416</v>
      </c>
      <c r="C205" s="4">
        <v>5.0799999999999998E-2</v>
      </c>
      <c r="D205" s="4">
        <v>0.191</v>
      </c>
      <c r="E205" s="4">
        <v>1.0747E-2</v>
      </c>
      <c r="F205" s="4">
        <v>0.22700000000000001</v>
      </c>
      <c r="G205">
        <v>1.67E-3</v>
      </c>
      <c r="H205">
        <f>VLOOKUP(A205,DB!A:I,2,FALSE)</f>
        <v>625000</v>
      </c>
      <c r="I205">
        <f>VLOOKUP(A205,'RE@CD'!A:D,2,FALSE)</f>
        <v>90000</v>
      </c>
      <c r="J205">
        <f>VLOOKUP(A205,'RE@CD'!A:D,3,FALSE)</f>
        <v>50000</v>
      </c>
      <c r="K205">
        <f>VLOOKUP(A205,'RE@CD'!A:D,4,FALSE)</f>
        <v>60000</v>
      </c>
      <c r="L205">
        <f>VLOOKUP(A205,DB!A:I,3,FALSE)</f>
        <v>8.7599999999999997E-2</v>
      </c>
      <c r="M205">
        <f>VLOOKUP(A205,DB!A:I,4,FALSE)</f>
        <v>-1.0200000000000001E-2</v>
      </c>
      <c r="N205">
        <f>VLOOKUP(A205,DB!A:I,5,FALSE)</f>
        <v>4.1099999999999999E-3</v>
      </c>
      <c r="O205">
        <f>VLOOKUP(A205,DB!A:I,6,FALSE)</f>
        <v>3.13E-3</v>
      </c>
      <c r="P205">
        <f>VLOOKUP(A205,DB!A:I,7,FALSE)</f>
        <v>9.8999999999999999E-4</v>
      </c>
      <c r="Q205">
        <f>VLOOKUP(A205,DB!A:I,8,FALSE)</f>
        <v>0.84719999999999995</v>
      </c>
      <c r="R205">
        <f>VLOOKUP(A205,DB!A:I,9,FALSE)</f>
        <v>0.99990000000000001</v>
      </c>
      <c r="S205">
        <f>N205 *SQRT(H205)</f>
        <v>3.24924029582301</v>
      </c>
      <c r="T205">
        <f>L205/N205</f>
        <v>21.313868613138684</v>
      </c>
    </row>
    <row r="206" spans="1:20" x14ac:dyDescent="0.25">
      <c r="A206" t="s">
        <v>734</v>
      </c>
      <c r="B206" t="s">
        <v>149</v>
      </c>
      <c r="C206" s="4">
        <v>0.13062399999999999</v>
      </c>
      <c r="D206" s="4">
        <v>0.29499999999999998</v>
      </c>
      <c r="E206" s="4">
        <v>5.4487000000000001E-2</v>
      </c>
      <c r="F206" s="4">
        <v>0.51100000000000001</v>
      </c>
      <c r="G206">
        <v>2.82E-3</v>
      </c>
      <c r="H206">
        <f>VLOOKUP(A206,DB!A:I,2,FALSE)</f>
        <v>3000000</v>
      </c>
      <c r="I206">
        <f>VLOOKUP(A206,'RE@CD'!A:D,2,FALSE)</f>
        <v>350000</v>
      </c>
      <c r="J206">
        <f>VLOOKUP(A206,'RE@CD'!A:D,3,FALSE)</f>
        <v>150000</v>
      </c>
      <c r="K206">
        <f>VLOOKUP(A206,'RE@CD'!A:D,4,FALSE)</f>
        <v>200000</v>
      </c>
      <c r="L206">
        <f>VLOOKUP(A206,DB!A:I,3,FALSE)</f>
        <v>0.74250000000000005</v>
      </c>
      <c r="M206">
        <f>VLOOKUP(A206,DB!A:I,4,FALSE)</f>
        <v>-0.1734</v>
      </c>
      <c r="N206">
        <f>VLOOKUP(A206,DB!A:I,5,FALSE)</f>
        <v>5.28E-3</v>
      </c>
      <c r="O206">
        <f>VLOOKUP(A206,DB!A:I,6,FALSE)</f>
        <v>4.3600000000000002E-3</v>
      </c>
      <c r="P206">
        <f>VLOOKUP(A206,DB!A:I,7,FALSE)</f>
        <v>9.2000000000000003E-4</v>
      </c>
      <c r="Q206">
        <f>VLOOKUP(A206,DB!A:I,8,FALSE)</f>
        <v>0.61560000000000004</v>
      </c>
      <c r="R206">
        <f>VLOOKUP(A206,DB!A:I,9,FALSE)</f>
        <v>0.33329999999999999</v>
      </c>
      <c r="S206">
        <f>N206 *SQRT(H206)</f>
        <v>9.1452282639636717</v>
      </c>
      <c r="T206">
        <f>L206/N206</f>
        <v>140.625</v>
      </c>
    </row>
    <row r="207" spans="1:20" x14ac:dyDescent="0.25">
      <c r="A207" t="s">
        <v>1098</v>
      </c>
      <c r="B207" t="s">
        <v>509</v>
      </c>
      <c r="C207" s="4">
        <v>0.10319200000000001</v>
      </c>
      <c r="D207" s="4">
        <v>0.25</v>
      </c>
      <c r="E207" s="4">
        <v>2.7942000000000002E-2</v>
      </c>
      <c r="F207" s="4">
        <v>0.38400000000000001</v>
      </c>
      <c r="G207">
        <v>7.26E-3</v>
      </c>
      <c r="H207">
        <f>VLOOKUP(A207,DB!A:I,2,FALSE)</f>
        <v>2800000</v>
      </c>
      <c r="I207">
        <f>VLOOKUP(A207,'RE@CD'!A:D,2,FALSE)</f>
        <v>175000</v>
      </c>
      <c r="J207">
        <f>VLOOKUP(A207,'RE@CD'!A:D,3,FALSE)</f>
        <v>70000</v>
      </c>
      <c r="K207">
        <f>VLOOKUP(A207,'RE@CD'!A:D,4,FALSE)</f>
        <v>90000</v>
      </c>
      <c r="L207">
        <f>VLOOKUP(A207,DB!A:I,3,FALSE)</f>
        <v>0.29630000000000001</v>
      </c>
      <c r="M207">
        <f>VLOOKUP(A207,DB!A:I,4,FALSE)</f>
        <v>-5.3600000000000002E-2</v>
      </c>
      <c r="N207">
        <f>VLOOKUP(A207,DB!A:I,5,FALSE)</f>
        <v>5.28E-3</v>
      </c>
      <c r="O207">
        <f>VLOOKUP(A207,DB!A:I,6,FALSE)</f>
        <v>4.64E-3</v>
      </c>
      <c r="P207">
        <f>VLOOKUP(A207,DB!A:I,7,FALSE)</f>
        <v>6.4000000000000005E-4</v>
      </c>
      <c r="Q207">
        <f>VLOOKUP(A207,DB!A:I,8,FALSE)</f>
        <v>0.47899999999999998</v>
      </c>
      <c r="R207">
        <f>VLOOKUP(A207,DB!A:I,9,FALSE)</f>
        <v>0.41299999999999998</v>
      </c>
      <c r="S207">
        <f>N207 *SQRT(H207)</f>
        <v>8.8351298801998368</v>
      </c>
      <c r="T207">
        <f>L207/N207</f>
        <v>56.117424242424242</v>
      </c>
    </row>
    <row r="208" spans="1:20" x14ac:dyDescent="0.25">
      <c r="A208" t="s">
        <v>1160</v>
      </c>
      <c r="B208" t="s">
        <v>570</v>
      </c>
      <c r="C208" s="4">
        <v>0.12012</v>
      </c>
      <c r="D208" s="4">
        <v>0.35699999999999998</v>
      </c>
      <c r="E208" s="4">
        <v>3.2382000000000001E-2</v>
      </c>
      <c r="F208" s="4">
        <v>0.46300000000000002</v>
      </c>
      <c r="G208">
        <v>5.9500000000000004E-3</v>
      </c>
      <c r="H208">
        <f>VLOOKUP(A208,DB!A:I,2,FALSE)</f>
        <v>3000000</v>
      </c>
      <c r="I208">
        <f>VLOOKUP(A208,'RE@CD'!A:D,2,FALSE)</f>
        <v>275000</v>
      </c>
      <c r="J208">
        <f>VLOOKUP(A208,'RE@CD'!A:D,3,FALSE)</f>
        <v>100000</v>
      </c>
      <c r="K208">
        <f>VLOOKUP(A208,'RE@CD'!A:D,4,FALSE)</f>
        <v>150000</v>
      </c>
      <c r="L208">
        <f>VLOOKUP(A208,DB!A:I,3,FALSE)</f>
        <v>0.37380000000000002</v>
      </c>
      <c r="M208">
        <f>VLOOKUP(A208,DB!A:I,4,FALSE)</f>
        <v>-8.1799999999999998E-2</v>
      </c>
      <c r="N208">
        <f>VLOOKUP(A208,DB!A:I,5,FALSE)</f>
        <v>5.28E-3</v>
      </c>
      <c r="O208">
        <f>VLOOKUP(A208,DB!A:I,6,FALSE)</f>
        <v>4.1799999999999997E-3</v>
      </c>
      <c r="P208">
        <f>VLOOKUP(A208,DB!A:I,7,FALSE)</f>
        <v>1.1000000000000001E-3</v>
      </c>
      <c r="Q208">
        <f>VLOOKUP(A208,DB!A:I,8,FALSE)</f>
        <v>0.66549999999999998</v>
      </c>
      <c r="R208">
        <f>VLOOKUP(A208,DB!A:I,9,FALSE)</f>
        <v>0.42820000000000003</v>
      </c>
      <c r="S208">
        <f>N208 *SQRT(H208)</f>
        <v>9.1452282639636717</v>
      </c>
      <c r="T208">
        <f>L208/N208</f>
        <v>70.795454545454547</v>
      </c>
    </row>
    <row r="209" spans="1:20" x14ac:dyDescent="0.25">
      <c r="A209" t="s">
        <v>685</v>
      </c>
      <c r="B209" t="s">
        <v>100</v>
      </c>
      <c r="C209" s="4">
        <v>0.104798</v>
      </c>
      <c r="D209" s="4">
        <v>0.30099999999999999</v>
      </c>
      <c r="E209" s="4">
        <v>2.9798000000000002E-2</v>
      </c>
      <c r="F209" s="4">
        <v>0.35199999999999998</v>
      </c>
      <c r="G209">
        <v>5.4200000000000003E-3</v>
      </c>
      <c r="H209">
        <f>VLOOKUP(A209,DB!A:I,2,FALSE)</f>
        <v>1050000</v>
      </c>
      <c r="I209">
        <f>VLOOKUP(A209,'RE@CD'!A:D,2,FALSE)</f>
        <v>200000</v>
      </c>
      <c r="J209">
        <f>VLOOKUP(A209,'RE@CD'!A:D,3,FALSE)</f>
        <v>70000</v>
      </c>
      <c r="K209">
        <f>VLOOKUP(A209,'RE@CD'!A:D,4,FALSE)</f>
        <v>90000</v>
      </c>
      <c r="L209">
        <f>VLOOKUP(A209,DB!A:I,3,FALSE)</f>
        <v>0.25040000000000001</v>
      </c>
      <c r="M209">
        <f>VLOOKUP(A209,DB!A:I,4,FALSE)</f>
        <v>-4.2900000000000001E-2</v>
      </c>
      <c r="N209">
        <f>VLOOKUP(A209,DB!A:I,5,FALSE)</f>
        <v>5.2599999999999999E-3</v>
      </c>
      <c r="O209">
        <f>VLOOKUP(A209,DB!A:I,6,FALSE)</f>
        <v>4.1200000000000004E-3</v>
      </c>
      <c r="P209">
        <f>VLOOKUP(A209,DB!A:I,7,FALSE)</f>
        <v>1.15E-3</v>
      </c>
      <c r="Q209">
        <f>VLOOKUP(A209,DB!A:I,8,FALSE)</f>
        <v>0.5484</v>
      </c>
      <c r="R209">
        <f>VLOOKUP(A209,DB!A:I,9,FALSE)</f>
        <v>0.87250000000000005</v>
      </c>
      <c r="S209">
        <f>N209 *SQRT(H209)</f>
        <v>5.3898961028947481</v>
      </c>
      <c r="T209">
        <f>L209/N209</f>
        <v>47.604562737642588</v>
      </c>
    </row>
    <row r="210" spans="1:20" x14ac:dyDescent="0.25">
      <c r="A210" t="s">
        <v>1054</v>
      </c>
      <c r="B210" t="s">
        <v>465</v>
      </c>
      <c r="C210" s="4">
        <v>0.15989400000000001</v>
      </c>
      <c r="D210" s="4">
        <v>0.29799999999999999</v>
      </c>
      <c r="E210" s="4">
        <v>1.6671999999999999E-2</v>
      </c>
      <c r="F210" s="4">
        <v>0.152</v>
      </c>
      <c r="G210">
        <v>2E-3</v>
      </c>
      <c r="H210">
        <f>VLOOKUP(A210,DB!A:I,2,FALSE)</f>
        <v>3000000</v>
      </c>
      <c r="I210">
        <f>VLOOKUP(A210,'RE@CD'!A:D,2,FALSE)</f>
        <v>325000</v>
      </c>
      <c r="J210">
        <f>VLOOKUP(A210,'RE@CD'!A:D,3,FALSE)</f>
        <v>125000</v>
      </c>
      <c r="K210">
        <f>VLOOKUP(A210,'RE@CD'!A:D,4,FALSE)</f>
        <v>175000</v>
      </c>
      <c r="L210">
        <f>VLOOKUP(A210,DB!A:I,3,FALSE)</f>
        <v>-2.41E-2</v>
      </c>
      <c r="M210">
        <f>VLOOKUP(A210,DB!A:I,4,FALSE)</f>
        <v>3.61E-2</v>
      </c>
      <c r="N210">
        <f>VLOOKUP(A210,DB!A:I,5,FALSE)</f>
        <v>5.2599999999999999E-3</v>
      </c>
      <c r="O210">
        <f>VLOOKUP(A210,DB!A:I,6,FALSE)</f>
        <v>4.3099999999999996E-3</v>
      </c>
      <c r="P210">
        <f>VLOOKUP(A210,DB!A:I,7,FALSE)</f>
        <v>9.5E-4</v>
      </c>
      <c r="Q210">
        <f>VLOOKUP(A210,DB!A:I,8,FALSE)</f>
        <v>0.3579</v>
      </c>
      <c r="R210">
        <f>VLOOKUP(A210,DB!A:I,9,FALSE)</f>
        <v>0.64190000000000003</v>
      </c>
      <c r="S210">
        <f>N210 *SQRT(H210)</f>
        <v>9.110587247812294</v>
      </c>
      <c r="T210">
        <f>L210/N210</f>
        <v>-4.581749049429658</v>
      </c>
    </row>
    <row r="211" spans="1:20" x14ac:dyDescent="0.25">
      <c r="A211" t="s">
        <v>687</v>
      </c>
      <c r="B211" t="s">
        <v>102</v>
      </c>
      <c r="C211" s="4">
        <v>0.13692399999999999</v>
      </c>
      <c r="D211" s="4">
        <v>0.33800000000000002</v>
      </c>
      <c r="E211" s="4">
        <v>1.9896E-2</v>
      </c>
      <c r="F211" s="4">
        <v>0.432</v>
      </c>
      <c r="G211">
        <v>7.1300000000000001E-3</v>
      </c>
      <c r="H211">
        <f>VLOOKUP(A211,DB!A:I,2,FALSE)</f>
        <v>3000000</v>
      </c>
      <c r="I211">
        <f>VLOOKUP(A211,'RE@CD'!A:D,2,FALSE)</f>
        <v>275000</v>
      </c>
      <c r="J211">
        <f>VLOOKUP(A211,'RE@CD'!A:D,3,FALSE)</f>
        <v>80000</v>
      </c>
      <c r="K211">
        <f>VLOOKUP(A211,'RE@CD'!A:D,4,FALSE)</f>
        <v>125000</v>
      </c>
      <c r="L211">
        <f>VLOOKUP(A211,DB!A:I,3,FALSE)</f>
        <v>0.24909999999999999</v>
      </c>
      <c r="M211">
        <f>VLOOKUP(A211,DB!A:I,4,FALSE)</f>
        <v>-5.2499999999999998E-2</v>
      </c>
      <c r="N211">
        <f>VLOOKUP(A211,DB!A:I,5,FALSE)</f>
        <v>5.2500000000000003E-3</v>
      </c>
      <c r="O211">
        <f>VLOOKUP(A211,DB!A:I,6,FALSE)</f>
        <v>4.5199999999999997E-3</v>
      </c>
      <c r="P211">
        <f>VLOOKUP(A211,DB!A:I,7,FALSE)</f>
        <v>7.3999999999999999E-4</v>
      </c>
      <c r="Q211">
        <f>VLOOKUP(A211,DB!A:I,8,FALSE)</f>
        <v>0.49669999999999997</v>
      </c>
      <c r="R211">
        <f>VLOOKUP(A211,DB!A:I,9,FALSE)</f>
        <v>0.48149999999999998</v>
      </c>
      <c r="S211">
        <f>N211 *SQRT(H211)</f>
        <v>9.093266739736606</v>
      </c>
      <c r="T211">
        <f>L211/N211</f>
        <v>47.447619047619042</v>
      </c>
    </row>
    <row r="212" spans="1:20" x14ac:dyDescent="0.25">
      <c r="A212" t="s">
        <v>735</v>
      </c>
      <c r="B212" t="s">
        <v>150</v>
      </c>
      <c r="C212" s="4">
        <v>0.135161</v>
      </c>
      <c r="D212" s="4">
        <v>0.29599999999999999</v>
      </c>
      <c r="E212" s="4">
        <v>5.3164000000000003E-2</v>
      </c>
      <c r="F212" s="4">
        <v>0.52100000000000002</v>
      </c>
      <c r="G212">
        <v>1.83E-3</v>
      </c>
      <c r="H212">
        <f>VLOOKUP(A212,DB!A:I,2,FALSE)</f>
        <v>3000000</v>
      </c>
      <c r="I212">
        <f>VLOOKUP(A212,'RE@CD'!A:D,2,FALSE)</f>
        <v>375000</v>
      </c>
      <c r="J212">
        <f>VLOOKUP(A212,'RE@CD'!A:D,3,FALSE)</f>
        <v>150000</v>
      </c>
      <c r="K212">
        <f>VLOOKUP(A212,'RE@CD'!A:D,4,FALSE)</f>
        <v>200000</v>
      </c>
      <c r="L212">
        <f>VLOOKUP(A212,DB!A:I,3,FALSE)</f>
        <v>0.72899999999999998</v>
      </c>
      <c r="M212">
        <f>VLOOKUP(A212,DB!A:I,4,FALSE)</f>
        <v>-0.17299999999999999</v>
      </c>
      <c r="N212">
        <f>VLOOKUP(A212,DB!A:I,5,FALSE)</f>
        <v>5.2399999999999999E-3</v>
      </c>
      <c r="O212">
        <f>VLOOKUP(A212,DB!A:I,6,FALSE)</f>
        <v>4.3099999999999996E-3</v>
      </c>
      <c r="P212">
        <f>VLOOKUP(A212,DB!A:I,7,FALSE)</f>
        <v>9.3000000000000005E-4</v>
      </c>
      <c r="Q212">
        <f>VLOOKUP(A212,DB!A:I,8,FALSE)</f>
        <v>0.62450000000000006</v>
      </c>
      <c r="R212">
        <f>VLOOKUP(A212,DB!A:I,9,FALSE)</f>
        <v>0.34649999999999997</v>
      </c>
      <c r="S212">
        <f>N212 *SQRT(H212)</f>
        <v>9.0759462316609163</v>
      </c>
      <c r="T212">
        <f>L212/N212</f>
        <v>139.12213740458014</v>
      </c>
    </row>
    <row r="213" spans="1:20" x14ac:dyDescent="0.25">
      <c r="A213" t="s">
        <v>768</v>
      </c>
      <c r="B213" t="s">
        <v>183</v>
      </c>
      <c r="C213" s="4">
        <v>0.17454500000000001</v>
      </c>
      <c r="D213" s="4">
        <v>0.39300000000000002</v>
      </c>
      <c r="E213" s="4">
        <v>1.8138999999999999E-2</v>
      </c>
      <c r="F213" s="4">
        <v>0.30599999999999999</v>
      </c>
      <c r="G213">
        <v>2.7799999999999999E-3</v>
      </c>
      <c r="H213">
        <f>VLOOKUP(A213,DB!A:I,2,FALSE)</f>
        <v>2900000</v>
      </c>
      <c r="I213">
        <f>VLOOKUP(A213,'RE@CD'!A:D,2,FALSE)</f>
        <v>500000</v>
      </c>
      <c r="J213">
        <f>VLOOKUP(A213,'RE@CD'!A:D,3,FALSE)</f>
        <v>200000</v>
      </c>
      <c r="K213">
        <f>VLOOKUP(A213,'RE@CD'!A:D,4,FALSE)</f>
        <v>250000</v>
      </c>
      <c r="L213">
        <f>VLOOKUP(A213,DB!A:I,3,FALSE)</f>
        <v>0.33100000000000002</v>
      </c>
      <c r="M213">
        <f>VLOOKUP(A213,DB!A:I,4,FALSE)</f>
        <v>-7.2800000000000004E-2</v>
      </c>
      <c r="N213">
        <f>VLOOKUP(A213,DB!A:I,5,FALSE)</f>
        <v>5.2399999999999999E-3</v>
      </c>
      <c r="O213">
        <f>VLOOKUP(A213,DB!A:I,6,FALSE)</f>
        <v>4.1900000000000001E-3</v>
      </c>
      <c r="P213">
        <f>VLOOKUP(A213,DB!A:I,7,FALSE)</f>
        <v>1.0499999999999999E-3</v>
      </c>
      <c r="Q213">
        <f>VLOOKUP(A213,DB!A:I,8,FALSE)</f>
        <v>0.52790000000000004</v>
      </c>
      <c r="R213">
        <f>VLOOKUP(A213,DB!A:I,9,FALSE)</f>
        <v>0.60440000000000005</v>
      </c>
      <c r="S213">
        <f>N213 *SQRT(H213)</f>
        <v>8.9233984557454331</v>
      </c>
      <c r="T213">
        <f>L213/N213</f>
        <v>63.167938931297712</v>
      </c>
    </row>
    <row r="214" spans="1:20" x14ac:dyDescent="0.25">
      <c r="A214" t="s">
        <v>864</v>
      </c>
      <c r="B214" t="s">
        <v>279</v>
      </c>
      <c r="C214" s="4">
        <v>0.17605100000000001</v>
      </c>
      <c r="D214" s="4">
        <v>0.371</v>
      </c>
      <c r="E214" s="4">
        <v>5.5662000000000003E-2</v>
      </c>
      <c r="F214" s="4">
        <v>0.37</v>
      </c>
      <c r="G214">
        <v>4.3099999999999996E-3</v>
      </c>
      <c r="H214">
        <f>VLOOKUP(A214,DB!A:I,2,FALSE)</f>
        <v>3000000</v>
      </c>
      <c r="I214">
        <f>VLOOKUP(A214,'RE@CD'!A:D,2,FALSE)</f>
        <v>750000</v>
      </c>
      <c r="J214">
        <f>VLOOKUP(A214,'RE@CD'!A:D,3,FALSE)</f>
        <v>400000</v>
      </c>
      <c r="K214">
        <f>VLOOKUP(A214,'RE@CD'!A:D,4,FALSE)</f>
        <v>400000</v>
      </c>
      <c r="L214">
        <f>VLOOKUP(A214,DB!A:I,3,FALSE)</f>
        <v>0.56720000000000004</v>
      </c>
      <c r="M214">
        <f>VLOOKUP(A214,DB!A:I,4,FALSE)</f>
        <v>-9.5200000000000007E-2</v>
      </c>
      <c r="N214">
        <f>VLOOKUP(A214,DB!A:I,5,FALSE)</f>
        <v>5.2399999999999999E-3</v>
      </c>
      <c r="O214">
        <f>VLOOKUP(A214,DB!A:I,6,FALSE)</f>
        <v>3.9399999999999999E-3</v>
      </c>
      <c r="P214">
        <f>VLOOKUP(A214,DB!A:I,7,FALSE)</f>
        <v>1.31E-3</v>
      </c>
      <c r="Q214">
        <f>VLOOKUP(A214,DB!A:I,8,FALSE)</f>
        <v>0.51470000000000005</v>
      </c>
      <c r="R214">
        <f>VLOOKUP(A214,DB!A:I,9,FALSE)</f>
        <v>0.65949999999999998</v>
      </c>
      <c r="S214">
        <f>N214 *SQRT(H214)</f>
        <v>9.0759462316609163</v>
      </c>
      <c r="T214">
        <f>L214/N214</f>
        <v>108.24427480916032</v>
      </c>
    </row>
    <row r="215" spans="1:20" x14ac:dyDescent="0.25">
      <c r="A215" t="s">
        <v>1089</v>
      </c>
      <c r="B215" t="s">
        <v>500</v>
      </c>
      <c r="C215" s="4">
        <v>0.14502999999999999</v>
      </c>
      <c r="D215" s="4">
        <v>0.29399999999999998</v>
      </c>
      <c r="E215" s="4">
        <v>2.7401999999999999E-2</v>
      </c>
      <c r="F215" s="4">
        <v>0.38300000000000001</v>
      </c>
      <c r="G215" s="1">
        <v>9.0000000000000006E-5</v>
      </c>
      <c r="H215">
        <f>VLOOKUP(A215,DB!A:I,2,FALSE)</f>
        <v>3000000</v>
      </c>
      <c r="I215">
        <f>VLOOKUP(A215,'RE@CD'!A:D,2,FALSE)</f>
        <v>275000</v>
      </c>
      <c r="J215">
        <f>VLOOKUP(A215,'RE@CD'!A:D,3,FALSE)</f>
        <v>100000</v>
      </c>
      <c r="K215">
        <f>VLOOKUP(A215,'RE@CD'!A:D,4,FALSE)</f>
        <v>125000</v>
      </c>
      <c r="L215">
        <f>VLOOKUP(A215,DB!A:I,3,FALSE)</f>
        <v>0.30909999999999999</v>
      </c>
      <c r="M215">
        <f>VLOOKUP(A215,DB!A:I,4,FALSE)</f>
        <v>-5.7700000000000001E-2</v>
      </c>
      <c r="N215">
        <f>VLOOKUP(A215,DB!A:I,5,FALSE)</f>
        <v>5.2399999999999999E-3</v>
      </c>
      <c r="O215">
        <f>VLOOKUP(A215,DB!A:I,6,FALSE)</f>
        <v>4.4299999999999999E-3</v>
      </c>
      <c r="P215">
        <f>VLOOKUP(A215,DB!A:I,7,FALSE)</f>
        <v>8.0999999999999996E-4</v>
      </c>
      <c r="Q215">
        <f>VLOOKUP(A215,DB!A:I,8,FALSE)</f>
        <v>0.48670000000000002</v>
      </c>
      <c r="R215">
        <f>VLOOKUP(A215,DB!A:I,9,FALSE)</f>
        <v>0.50260000000000005</v>
      </c>
      <c r="S215">
        <f>N215 *SQRT(H215)</f>
        <v>9.0759462316609163</v>
      </c>
      <c r="T215">
        <f>L215/N215</f>
        <v>58.988549618320612</v>
      </c>
    </row>
    <row r="216" spans="1:20" x14ac:dyDescent="0.25">
      <c r="A216" t="s">
        <v>712</v>
      </c>
      <c r="B216" t="s">
        <v>127</v>
      </c>
      <c r="C216" s="4">
        <v>0.12593399999999999</v>
      </c>
      <c r="D216" s="4">
        <v>0.30499999999999999</v>
      </c>
      <c r="E216" s="4">
        <v>2.3820000000000001E-2</v>
      </c>
      <c r="F216" s="4">
        <v>0.19900000000000001</v>
      </c>
      <c r="G216">
        <v>6.4000000000000005E-4</v>
      </c>
      <c r="H216">
        <f>VLOOKUP(A216,DB!A:I,2,FALSE)</f>
        <v>1600000</v>
      </c>
      <c r="I216">
        <f>VLOOKUP(A216,'RE@CD'!A:D,2,FALSE)</f>
        <v>575000</v>
      </c>
      <c r="J216">
        <f>VLOOKUP(A216,'RE@CD'!A:D,3,FALSE)</f>
        <v>100000</v>
      </c>
      <c r="K216">
        <f>VLOOKUP(A216,'RE@CD'!A:D,4,FALSE)</f>
        <v>250000</v>
      </c>
      <c r="L216">
        <f>VLOOKUP(A216,DB!A:I,3,FALSE)</f>
        <v>-4.9399999999999999E-2</v>
      </c>
      <c r="M216">
        <f>VLOOKUP(A216,DB!A:I,4,FALSE)</f>
        <v>5.1700000000000003E-2</v>
      </c>
      <c r="N216">
        <f>VLOOKUP(A216,DB!A:I,5,FALSE)</f>
        <v>5.2300000000000003E-3</v>
      </c>
      <c r="O216">
        <f>VLOOKUP(A216,DB!A:I,6,FALSE)</f>
        <v>4.1799999999999997E-3</v>
      </c>
      <c r="P216">
        <f>VLOOKUP(A216,DB!A:I,7,FALSE)</f>
        <v>1.0499999999999999E-3</v>
      </c>
      <c r="Q216">
        <f>VLOOKUP(A216,DB!A:I,8,FALSE)</f>
        <v>0.39329999999999998</v>
      </c>
      <c r="R216">
        <f>VLOOKUP(A216,DB!A:I,9,FALSE)</f>
        <v>0.82640000000000002</v>
      </c>
      <c r="S216">
        <f>N216 *SQRT(H216)</f>
        <v>6.6154848650722506</v>
      </c>
      <c r="T216">
        <f>L216/N216</f>
        <v>-9.4455066921606115</v>
      </c>
    </row>
    <row r="217" spans="1:20" x14ac:dyDescent="0.25">
      <c r="A217" t="s">
        <v>708</v>
      </c>
      <c r="B217" t="s">
        <v>123</v>
      </c>
      <c r="C217" s="4">
        <v>0.112786</v>
      </c>
      <c r="D217" s="4">
        <v>0.313</v>
      </c>
      <c r="E217" s="4">
        <v>2.5964999999999998E-2</v>
      </c>
      <c r="F217" s="4">
        <v>0.22900000000000001</v>
      </c>
      <c r="G217">
        <v>2.7999999999999998E-4</v>
      </c>
      <c r="H217">
        <f>VLOOKUP(A217,DB!A:I,2,FALSE)</f>
        <v>1450000</v>
      </c>
      <c r="I217">
        <f>VLOOKUP(A217,'RE@CD'!A:D,2,FALSE)</f>
        <v>550000</v>
      </c>
      <c r="J217">
        <f>VLOOKUP(A217,'RE@CD'!A:D,3,FALSE)</f>
        <v>70000</v>
      </c>
      <c r="K217">
        <f>VLOOKUP(A217,'RE@CD'!A:D,4,FALSE)</f>
        <v>125000</v>
      </c>
      <c r="L217">
        <f>VLOOKUP(A217,DB!A:I,3,FALSE)</f>
        <v>2.7799999999999998E-2</v>
      </c>
      <c r="M217">
        <f>VLOOKUP(A217,DB!A:I,4,FALSE)</f>
        <v>3.0499999999999999E-2</v>
      </c>
      <c r="N217">
        <f>VLOOKUP(A217,DB!A:I,5,FALSE)</f>
        <v>5.2199999999999998E-3</v>
      </c>
      <c r="O217">
        <f>VLOOKUP(A217,DB!A:I,6,FALSE)</f>
        <v>4.1999999999999997E-3</v>
      </c>
      <c r="P217">
        <f>VLOOKUP(A217,DB!A:I,7,FALSE)</f>
        <v>1.0200000000000001E-3</v>
      </c>
      <c r="Q217">
        <f>VLOOKUP(A217,DB!A:I,8,FALSE)</f>
        <v>0.41749999999999998</v>
      </c>
      <c r="R217">
        <f>VLOOKUP(A217,DB!A:I,9,FALSE)</f>
        <v>0.82199999999999995</v>
      </c>
      <c r="S217">
        <f>N217 *SQRT(H217)</f>
        <v>6.2857123701295787</v>
      </c>
      <c r="T217">
        <f>L217/N217</f>
        <v>5.3256704980842908</v>
      </c>
    </row>
    <row r="218" spans="1:20" x14ac:dyDescent="0.25">
      <c r="A218" t="s">
        <v>713</v>
      </c>
      <c r="B218" t="s">
        <v>128</v>
      </c>
      <c r="C218" s="4">
        <v>0.128057</v>
      </c>
      <c r="D218" s="4">
        <v>0.30199999999999999</v>
      </c>
      <c r="E218" s="4">
        <v>2.7994999999999999E-2</v>
      </c>
      <c r="F218" s="4">
        <v>0.22900000000000001</v>
      </c>
      <c r="G218">
        <v>2.5799999999999998E-3</v>
      </c>
      <c r="H218">
        <f>VLOOKUP(A218,DB!A:I,2,FALSE)</f>
        <v>1950000</v>
      </c>
      <c r="I218">
        <f>VLOOKUP(A218,'RE@CD'!A:D,2,FALSE)</f>
        <v>650000</v>
      </c>
      <c r="J218">
        <f>VLOOKUP(A218,'RE@CD'!A:D,3,FALSE)</f>
        <v>90000</v>
      </c>
      <c r="K218">
        <f>VLOOKUP(A218,'RE@CD'!A:D,4,FALSE)</f>
        <v>175000</v>
      </c>
      <c r="L218">
        <f>VLOOKUP(A218,DB!A:I,3,FALSE)</f>
        <v>3.6600000000000001E-2</v>
      </c>
      <c r="M218">
        <f>VLOOKUP(A218,DB!A:I,4,FALSE)</f>
        <v>3.1099999999999999E-2</v>
      </c>
      <c r="N218">
        <f>VLOOKUP(A218,DB!A:I,5,FALSE)</f>
        <v>5.2199999999999998E-3</v>
      </c>
      <c r="O218">
        <f>VLOOKUP(A218,DB!A:I,6,FALSE)</f>
        <v>4.1799999999999997E-3</v>
      </c>
      <c r="P218">
        <f>VLOOKUP(A218,DB!A:I,7,FALSE)</f>
        <v>1.0399999999999999E-3</v>
      </c>
      <c r="Q218">
        <f>VLOOKUP(A218,DB!A:I,8,FALSE)</f>
        <v>0.35049999999999998</v>
      </c>
      <c r="R218">
        <f>VLOOKUP(A218,DB!A:I,9,FALSE)</f>
        <v>0.82730000000000004</v>
      </c>
      <c r="S218">
        <f>N218 *SQRT(H218)</f>
        <v>7.2893333028473872</v>
      </c>
      <c r="T218">
        <f>L218/N218</f>
        <v>7.0114942528735638</v>
      </c>
    </row>
    <row r="219" spans="1:20" x14ac:dyDescent="0.25">
      <c r="A219" t="s">
        <v>733</v>
      </c>
      <c r="B219" t="s">
        <v>148</v>
      </c>
      <c r="C219" s="4">
        <v>0.122918</v>
      </c>
      <c r="D219" s="4">
        <v>0.29499999999999998</v>
      </c>
      <c r="E219" s="4">
        <v>5.2574000000000003E-2</v>
      </c>
      <c r="F219" s="4">
        <v>0.51100000000000001</v>
      </c>
      <c r="G219">
        <v>2.1299999999999999E-3</v>
      </c>
      <c r="H219">
        <f>VLOOKUP(A219,DB!A:I,2,FALSE)</f>
        <v>2900000</v>
      </c>
      <c r="I219">
        <f>VLOOKUP(A219,'RE@CD'!A:D,2,FALSE)</f>
        <v>325000</v>
      </c>
      <c r="J219">
        <f>VLOOKUP(A219,'RE@CD'!A:D,3,FALSE)</f>
        <v>150000</v>
      </c>
      <c r="K219">
        <f>VLOOKUP(A219,'RE@CD'!A:D,4,FALSE)</f>
        <v>175000</v>
      </c>
      <c r="L219">
        <f>VLOOKUP(A219,DB!A:I,3,FALSE)</f>
        <v>0.73629999999999995</v>
      </c>
      <c r="M219">
        <f>VLOOKUP(A219,DB!A:I,4,FALSE)</f>
        <v>-0.17480000000000001</v>
      </c>
      <c r="N219">
        <f>VLOOKUP(A219,DB!A:I,5,FALSE)</f>
        <v>5.2199999999999998E-3</v>
      </c>
      <c r="O219">
        <f>VLOOKUP(A219,DB!A:I,6,FALSE)</f>
        <v>4.3400000000000001E-3</v>
      </c>
      <c r="P219">
        <f>VLOOKUP(A219,DB!A:I,7,FALSE)</f>
        <v>8.8000000000000003E-4</v>
      </c>
      <c r="Q219">
        <f>VLOOKUP(A219,DB!A:I,8,FALSE)</f>
        <v>0.62529999999999997</v>
      </c>
      <c r="R219">
        <f>VLOOKUP(A219,DB!A:I,9,FALSE)</f>
        <v>0.33700000000000002</v>
      </c>
      <c r="S219">
        <f>N219 *SQRT(H219)</f>
        <v>8.8893396830135814</v>
      </c>
      <c r="T219">
        <f>L219/N219</f>
        <v>141.05363984674329</v>
      </c>
    </row>
    <row r="220" spans="1:20" x14ac:dyDescent="0.25">
      <c r="A220" t="s">
        <v>876</v>
      </c>
      <c r="B220" t="s">
        <v>291</v>
      </c>
      <c r="C220" s="4">
        <v>0.16806199999999999</v>
      </c>
      <c r="D220" s="4">
        <v>0.37</v>
      </c>
      <c r="E220" s="4">
        <v>2.8908E-2</v>
      </c>
      <c r="F220" s="4">
        <v>0.371</v>
      </c>
      <c r="G220">
        <v>1.5499999999999999E-3</v>
      </c>
      <c r="H220">
        <f>VLOOKUP(A220,DB!A:I,2,FALSE)</f>
        <v>3000000</v>
      </c>
      <c r="I220">
        <f>VLOOKUP(A220,'RE@CD'!A:D,2,FALSE)</f>
        <v>575000</v>
      </c>
      <c r="J220">
        <f>VLOOKUP(A220,'RE@CD'!A:D,3,FALSE)</f>
        <v>175000</v>
      </c>
      <c r="K220">
        <f>VLOOKUP(A220,'RE@CD'!A:D,4,FALSE)</f>
        <v>250000</v>
      </c>
      <c r="L220">
        <f>VLOOKUP(A220,DB!A:I,3,FALSE)</f>
        <v>0.58330000000000004</v>
      </c>
      <c r="M220">
        <f>VLOOKUP(A220,DB!A:I,4,FALSE)</f>
        <v>-0.1285</v>
      </c>
      <c r="N220">
        <f>VLOOKUP(A220,DB!A:I,5,FALSE)</f>
        <v>5.2199999999999998E-3</v>
      </c>
      <c r="O220">
        <f>VLOOKUP(A220,DB!A:I,6,FALSE)</f>
        <v>4.0899999999999999E-3</v>
      </c>
      <c r="P220">
        <f>VLOOKUP(A220,DB!A:I,7,FALSE)</f>
        <v>1.1299999999999999E-3</v>
      </c>
      <c r="Q220">
        <f>VLOOKUP(A220,DB!A:I,8,FALSE)</f>
        <v>0.52510000000000001</v>
      </c>
      <c r="R220">
        <f>VLOOKUP(A220,DB!A:I,9,FALSE)</f>
        <v>0.61409999999999998</v>
      </c>
      <c r="S220">
        <f>N220 *SQRT(H220)</f>
        <v>9.0413052155095386</v>
      </c>
      <c r="T220">
        <f>L220/N220</f>
        <v>111.7432950191571</v>
      </c>
    </row>
    <row r="221" spans="1:20" x14ac:dyDescent="0.25">
      <c r="A221" t="s">
        <v>621</v>
      </c>
      <c r="B221" t="s">
        <v>36</v>
      </c>
      <c r="C221" s="4">
        <v>0.10037600000000001</v>
      </c>
      <c r="D221" s="4">
        <v>0.309</v>
      </c>
      <c r="E221" s="4">
        <v>6.3809000000000005E-2</v>
      </c>
      <c r="F221" s="4">
        <v>0.5</v>
      </c>
      <c r="G221">
        <v>4.1900000000000001E-3</v>
      </c>
      <c r="H221">
        <f>VLOOKUP(A221,DB!A:I,2,FALSE)</f>
        <v>3000000</v>
      </c>
      <c r="I221">
        <f>VLOOKUP(A221,'RE@CD'!A:D,2,FALSE)</f>
        <v>300000</v>
      </c>
      <c r="J221">
        <f>VLOOKUP(A221,'RE@CD'!A:D,3,FALSE)</f>
        <v>125000</v>
      </c>
      <c r="K221">
        <f>VLOOKUP(A221,'RE@CD'!A:D,4,FALSE)</f>
        <v>150000</v>
      </c>
      <c r="L221">
        <f>VLOOKUP(A221,DB!A:I,3,FALSE)</f>
        <v>0.92779999999999996</v>
      </c>
      <c r="M221">
        <f>VLOOKUP(A221,DB!A:I,4,FALSE)</f>
        <v>-0.217</v>
      </c>
      <c r="N221">
        <f>VLOOKUP(A221,DB!A:I,5,FALSE)</f>
        <v>5.2100000000000002E-3</v>
      </c>
      <c r="O221">
        <f>VLOOKUP(A221,DB!A:I,6,FALSE)</f>
        <v>4.2500000000000003E-3</v>
      </c>
      <c r="P221">
        <f>VLOOKUP(A221,DB!A:I,7,FALSE)</f>
        <v>9.7000000000000005E-4</v>
      </c>
      <c r="Q221">
        <f>VLOOKUP(A221,DB!A:I,8,FALSE)</f>
        <v>0.62480000000000002</v>
      </c>
      <c r="R221">
        <f>VLOOKUP(A221,DB!A:I,9,FALSE)</f>
        <v>0.32950000000000002</v>
      </c>
      <c r="S221">
        <f>N221 *SQRT(H221)</f>
        <v>9.0239847074338506</v>
      </c>
      <c r="T221">
        <f>L221/N221</f>
        <v>178.08061420345487</v>
      </c>
    </row>
    <row r="222" spans="1:20" x14ac:dyDescent="0.25">
      <c r="A222" t="s">
        <v>879</v>
      </c>
      <c r="B222" t="s">
        <v>294</v>
      </c>
      <c r="C222" s="4">
        <v>0.110028</v>
      </c>
      <c r="D222" s="4">
        <v>0.308</v>
      </c>
      <c r="E222" s="4">
        <v>4.1653999999999997E-2</v>
      </c>
      <c r="F222" s="4">
        <v>0.59699999999999998</v>
      </c>
      <c r="G222">
        <v>7.4900000000000001E-3</v>
      </c>
      <c r="H222">
        <f>VLOOKUP(A222,DB!A:I,2,FALSE)</f>
        <v>3000000</v>
      </c>
      <c r="I222">
        <f>VLOOKUP(A222,'RE@CD'!A:D,2,FALSE)</f>
        <v>275000</v>
      </c>
      <c r="J222">
        <f>VLOOKUP(A222,'RE@CD'!A:D,3,FALSE)</f>
        <v>90000</v>
      </c>
      <c r="K222">
        <f>VLOOKUP(A222,'RE@CD'!A:D,4,FALSE)</f>
        <v>125000</v>
      </c>
      <c r="L222">
        <f>VLOOKUP(A222,DB!A:I,3,FALSE)</f>
        <v>0.69230000000000003</v>
      </c>
      <c r="M222">
        <f>VLOOKUP(A222,DB!A:I,4,FALSE)</f>
        <v>-0.15840000000000001</v>
      </c>
      <c r="N222">
        <f>VLOOKUP(A222,DB!A:I,5,FALSE)</f>
        <v>5.1999999999999998E-3</v>
      </c>
      <c r="O222">
        <f>VLOOKUP(A222,DB!A:I,6,FALSE)</f>
        <v>4.3699999999999998E-3</v>
      </c>
      <c r="P222">
        <f>VLOOKUP(A222,DB!A:I,7,FALSE)</f>
        <v>8.3000000000000001E-4</v>
      </c>
      <c r="Q222">
        <f>VLOOKUP(A222,DB!A:I,8,FALSE)</f>
        <v>0.56469999999999998</v>
      </c>
      <c r="R222">
        <f>VLOOKUP(A222,DB!A:I,9,FALSE)</f>
        <v>0.38040000000000002</v>
      </c>
      <c r="S222">
        <f>N222 *SQRT(H222)</f>
        <v>9.0066641993581609</v>
      </c>
      <c r="T222">
        <f>L222/N222</f>
        <v>133.13461538461539</v>
      </c>
    </row>
    <row r="223" spans="1:20" x14ac:dyDescent="0.25">
      <c r="A223" t="s">
        <v>955</v>
      </c>
      <c r="B223" t="s">
        <v>366</v>
      </c>
      <c r="C223" s="4">
        <v>0.14199999999999999</v>
      </c>
      <c r="D223" s="4">
        <v>0.309</v>
      </c>
      <c r="E223" s="4">
        <v>0</v>
      </c>
      <c r="F223" s="4">
        <v>0.999</v>
      </c>
      <c r="G223">
        <v>7.5300000000000002E-3</v>
      </c>
      <c r="H223">
        <f>VLOOKUP(A223,DB!A:I,2,FALSE)</f>
        <v>3000000</v>
      </c>
      <c r="I223">
        <f>VLOOKUP(A223,'RE@CD'!A:D,2,FALSE)</f>
        <v>375000</v>
      </c>
      <c r="J223">
        <f>VLOOKUP(A223,'RE@CD'!A:D,3,FALSE)</f>
        <v>100000</v>
      </c>
      <c r="K223">
        <f>VLOOKUP(A223,'RE@CD'!A:D,4,FALSE)</f>
        <v>150000</v>
      </c>
      <c r="L223">
        <f>VLOOKUP(A223,DB!A:I,3,FALSE)</f>
        <v>0</v>
      </c>
      <c r="M223">
        <f>VLOOKUP(A223,DB!A:I,4,FALSE)</f>
        <v>0</v>
      </c>
      <c r="N223">
        <f>VLOOKUP(A223,DB!A:I,5,FALSE)</f>
        <v>5.1999999999999998E-3</v>
      </c>
      <c r="O223">
        <f>VLOOKUP(A223,DB!A:I,6,FALSE)</f>
        <v>4.5300000000000002E-3</v>
      </c>
      <c r="P223">
        <f>VLOOKUP(A223,DB!A:I,7,FALSE)</f>
        <v>6.7000000000000002E-4</v>
      </c>
      <c r="Q223">
        <f>VLOOKUP(A223,DB!A:I,8,FALSE)</f>
        <v>0.48020000000000002</v>
      </c>
      <c r="R223">
        <f>VLOOKUP(A223,DB!A:I,9,FALSE)</f>
        <v>0.47960000000000003</v>
      </c>
      <c r="S223">
        <f>N223 *SQRT(H223)</f>
        <v>9.0066641993581609</v>
      </c>
      <c r="T223">
        <f>L223/N223</f>
        <v>0</v>
      </c>
    </row>
    <row r="224" spans="1:20" x14ac:dyDescent="0.25">
      <c r="A224" t="s">
        <v>692</v>
      </c>
      <c r="B224" t="s">
        <v>107</v>
      </c>
      <c r="C224" s="4">
        <v>0.10437</v>
      </c>
      <c r="D224" s="4">
        <v>0.28599999999999998</v>
      </c>
      <c r="E224" s="4">
        <v>5.1611999999999998E-2</v>
      </c>
      <c r="F224" s="4">
        <v>0.55600000000000005</v>
      </c>
      <c r="G224">
        <v>5.9100000000000003E-3</v>
      </c>
      <c r="H224">
        <f>VLOOKUP(A224,DB!A:I,2,FALSE)</f>
        <v>3000000</v>
      </c>
      <c r="I224">
        <f>VLOOKUP(A224,'RE@CD'!A:D,2,FALSE)</f>
        <v>300000</v>
      </c>
      <c r="J224">
        <f>VLOOKUP(A224,'RE@CD'!A:D,3,FALSE)</f>
        <v>150000</v>
      </c>
      <c r="K224">
        <f>VLOOKUP(A224,'RE@CD'!A:D,4,FALSE)</f>
        <v>175000</v>
      </c>
      <c r="L224">
        <f>VLOOKUP(A224,DB!A:I,3,FALSE)</f>
        <v>0.83889999999999998</v>
      </c>
      <c r="M224">
        <f>VLOOKUP(A224,DB!A:I,4,FALSE)</f>
        <v>-0.2064</v>
      </c>
      <c r="N224">
        <f>VLOOKUP(A224,DB!A:I,5,FALSE)</f>
        <v>5.1700000000000001E-3</v>
      </c>
      <c r="O224">
        <f>VLOOKUP(A224,DB!A:I,6,FALSE)</f>
        <v>4.13E-3</v>
      </c>
      <c r="P224">
        <f>VLOOKUP(A224,DB!A:I,7,FALSE)</f>
        <v>1.0399999999999999E-3</v>
      </c>
      <c r="Q224">
        <f>VLOOKUP(A224,DB!A:I,8,FALSE)</f>
        <v>0.63060000000000005</v>
      </c>
      <c r="R224">
        <f>VLOOKUP(A224,DB!A:I,9,FALSE)</f>
        <v>0.39639999999999997</v>
      </c>
      <c r="S224">
        <f>N224 *SQRT(H224)</f>
        <v>8.9547026751310952</v>
      </c>
      <c r="T224">
        <f>L224/N224</f>
        <v>162.26305609284333</v>
      </c>
    </row>
    <row r="225" spans="1:20" x14ac:dyDescent="0.25">
      <c r="A225" t="s">
        <v>835</v>
      </c>
      <c r="B225" t="s">
        <v>250</v>
      </c>
      <c r="C225" s="4">
        <v>0.134103</v>
      </c>
      <c r="D225" s="4">
        <v>0.32300000000000001</v>
      </c>
      <c r="E225" s="4">
        <v>3.2917000000000002E-2</v>
      </c>
      <c r="F225" s="4">
        <v>0.52600000000000002</v>
      </c>
      <c r="G225">
        <v>2.7899999999999999E-3</v>
      </c>
      <c r="H225">
        <f>VLOOKUP(A225,DB!A:I,2,FALSE)</f>
        <v>3000000</v>
      </c>
      <c r="I225">
        <f>VLOOKUP(A225,'RE@CD'!A:D,2,FALSE)</f>
        <v>325000</v>
      </c>
      <c r="J225">
        <f>VLOOKUP(A225,'RE@CD'!A:D,3,FALSE)</f>
        <v>90000</v>
      </c>
      <c r="K225">
        <f>VLOOKUP(A225,'RE@CD'!A:D,4,FALSE)</f>
        <v>125000</v>
      </c>
      <c r="L225">
        <f>VLOOKUP(A225,DB!A:I,3,FALSE)</f>
        <v>0.50660000000000005</v>
      </c>
      <c r="M225">
        <f>VLOOKUP(A225,DB!A:I,4,FALSE)</f>
        <v>-0.1212</v>
      </c>
      <c r="N225">
        <f>VLOOKUP(A225,DB!A:I,5,FALSE)</f>
        <v>5.1700000000000001E-3</v>
      </c>
      <c r="O225">
        <f>VLOOKUP(A225,DB!A:I,6,FALSE)</f>
        <v>4.3400000000000001E-3</v>
      </c>
      <c r="P225">
        <f>VLOOKUP(A225,DB!A:I,7,FALSE)</f>
        <v>8.3000000000000001E-4</v>
      </c>
      <c r="Q225">
        <f>VLOOKUP(A225,DB!A:I,8,FALSE)</f>
        <v>0.55079999999999996</v>
      </c>
      <c r="R225">
        <f>VLOOKUP(A225,DB!A:I,9,FALSE)</f>
        <v>0.49099999999999999</v>
      </c>
      <c r="S225">
        <f>N225 *SQRT(H225)</f>
        <v>8.9547026751310952</v>
      </c>
      <c r="T225">
        <f>L225/N225</f>
        <v>97.988394584139272</v>
      </c>
    </row>
    <row r="226" spans="1:20" x14ac:dyDescent="0.25">
      <c r="A226" t="s">
        <v>868</v>
      </c>
      <c r="B226" t="s">
        <v>283</v>
      </c>
      <c r="C226" s="4">
        <v>0.101206</v>
      </c>
      <c r="D226" s="4">
        <v>0.308</v>
      </c>
      <c r="E226" s="4">
        <v>3.5180000000000003E-2</v>
      </c>
      <c r="F226" s="4">
        <v>0.59699999999999998</v>
      </c>
      <c r="G226">
        <v>4.1999999999999997E-3</v>
      </c>
      <c r="H226">
        <f>VLOOKUP(A226,DB!A:I,2,FALSE)</f>
        <v>2600000</v>
      </c>
      <c r="I226">
        <f>VLOOKUP(A226,'RE@CD'!A:D,2,FALSE)</f>
        <v>250000</v>
      </c>
      <c r="J226">
        <f>VLOOKUP(A226,'RE@CD'!A:D,3,FALSE)</f>
        <v>100000</v>
      </c>
      <c r="K226">
        <f>VLOOKUP(A226,'RE@CD'!A:D,4,FALSE)</f>
        <v>125000</v>
      </c>
      <c r="L226">
        <f>VLOOKUP(A226,DB!A:I,3,FALSE)</f>
        <v>0.51</v>
      </c>
      <c r="M226">
        <f>VLOOKUP(A226,DB!A:I,4,FALSE)</f>
        <v>-0.1201</v>
      </c>
      <c r="N226">
        <f>VLOOKUP(A226,DB!A:I,5,FALSE)</f>
        <v>5.1700000000000001E-3</v>
      </c>
      <c r="O226">
        <f>VLOOKUP(A226,DB!A:I,6,FALSE)</f>
        <v>4.5599999999999998E-3</v>
      </c>
      <c r="P226">
        <f>VLOOKUP(A226,DB!A:I,7,FALSE)</f>
        <v>6.0999999999999997E-4</v>
      </c>
      <c r="Q226">
        <f>VLOOKUP(A226,DB!A:I,8,FALSE)</f>
        <v>0.54690000000000005</v>
      </c>
      <c r="R226">
        <f>VLOOKUP(A226,DB!A:I,9,FALSE)</f>
        <v>0.40920000000000001</v>
      </c>
      <c r="S226">
        <f>N226 *SQRT(H226)</f>
        <v>8.3363745117407007</v>
      </c>
      <c r="T226">
        <f>L226/N226</f>
        <v>98.646034816247578</v>
      </c>
    </row>
    <row r="227" spans="1:20" x14ac:dyDescent="0.25">
      <c r="A227" t="s">
        <v>1045</v>
      </c>
      <c r="B227" t="s">
        <v>456</v>
      </c>
      <c r="C227" s="4">
        <v>0.11076999999999999</v>
      </c>
      <c r="D227" s="4">
        <v>0.29299999999999998</v>
      </c>
      <c r="E227" s="4">
        <v>3.0846999999999999E-2</v>
      </c>
      <c r="F227" s="4">
        <v>0.38500000000000001</v>
      </c>
      <c r="G227">
        <v>3.2599999999999999E-3</v>
      </c>
      <c r="H227">
        <f>VLOOKUP(A227,DB!A:I,2,FALSE)</f>
        <v>2800000</v>
      </c>
      <c r="I227">
        <f>VLOOKUP(A227,'RE@CD'!A:D,2,FALSE)</f>
        <v>200000</v>
      </c>
      <c r="J227">
        <f>VLOOKUP(A227,'RE@CD'!A:D,3,FALSE)</f>
        <v>80000</v>
      </c>
      <c r="K227">
        <f>VLOOKUP(A227,'RE@CD'!A:D,4,FALSE)</f>
        <v>100000</v>
      </c>
      <c r="L227">
        <f>VLOOKUP(A227,DB!A:I,3,FALSE)</f>
        <v>0.30859999999999999</v>
      </c>
      <c r="M227">
        <f>VLOOKUP(A227,DB!A:I,4,FALSE)</f>
        <v>-5.1799999999999999E-2</v>
      </c>
      <c r="N227">
        <f>VLOOKUP(A227,DB!A:I,5,FALSE)</f>
        <v>5.1599999999999997E-3</v>
      </c>
      <c r="O227">
        <f>VLOOKUP(A227,DB!A:I,6,FALSE)</f>
        <v>4.4799999999999996E-3</v>
      </c>
      <c r="P227">
        <f>VLOOKUP(A227,DB!A:I,7,FALSE)</f>
        <v>6.8000000000000005E-4</v>
      </c>
      <c r="Q227">
        <f>VLOOKUP(A227,DB!A:I,8,FALSE)</f>
        <v>0.50539999999999996</v>
      </c>
      <c r="R227">
        <f>VLOOKUP(A227,DB!A:I,9,FALSE)</f>
        <v>0.44579999999999997</v>
      </c>
      <c r="S227">
        <f>N227 *SQRT(H227)</f>
        <v>8.6343314738316597</v>
      </c>
      <c r="T227">
        <f>L227/N227</f>
        <v>59.806201550387598</v>
      </c>
    </row>
    <row r="228" spans="1:20" x14ac:dyDescent="0.25">
      <c r="A228" t="s">
        <v>1123</v>
      </c>
      <c r="B228" t="s">
        <v>534</v>
      </c>
      <c r="C228" s="4">
        <v>7.9823000000000005E-2</v>
      </c>
      <c r="D228" s="4">
        <v>0.22800000000000001</v>
      </c>
      <c r="E228" s="4">
        <v>4.8679999999999999E-3</v>
      </c>
      <c r="F228" s="4">
        <v>0.16900000000000001</v>
      </c>
      <c r="G228">
        <v>3.8700000000000002E-3</v>
      </c>
      <c r="H228">
        <f>VLOOKUP(A228,DB!A:I,2,FALSE)</f>
        <v>2900000</v>
      </c>
      <c r="I228">
        <f>VLOOKUP(A228,'RE@CD'!A:D,2,FALSE)</f>
        <v>100000</v>
      </c>
      <c r="J228">
        <f>VLOOKUP(A228,'RE@CD'!A:D,3,FALSE)</f>
        <v>50000</v>
      </c>
      <c r="K228">
        <f>VLOOKUP(A228,'RE@CD'!A:D,4,FALSE)</f>
        <v>50000</v>
      </c>
      <c r="L228">
        <f>VLOOKUP(A228,DB!A:I,3,FALSE)</f>
        <v>2.5100000000000001E-2</v>
      </c>
      <c r="M228">
        <f>VLOOKUP(A228,DB!A:I,4,FALSE)</f>
        <v>2.9999999999999997E-4</v>
      </c>
      <c r="N228">
        <f>VLOOKUP(A228,DB!A:I,5,FALSE)</f>
        <v>5.1599999999999997E-3</v>
      </c>
      <c r="O228">
        <f>VLOOKUP(A228,DB!A:I,6,FALSE)</f>
        <v>4.7400000000000003E-3</v>
      </c>
      <c r="P228">
        <f>VLOOKUP(A228,DB!A:I,7,FALSE)</f>
        <v>4.2000000000000002E-4</v>
      </c>
      <c r="Q228">
        <f>VLOOKUP(A228,DB!A:I,8,FALSE)</f>
        <v>0.3836</v>
      </c>
      <c r="R228">
        <f>VLOOKUP(A228,DB!A:I,9,FALSE)</f>
        <v>0.47839999999999999</v>
      </c>
      <c r="S228">
        <f>N228 *SQRT(H228)</f>
        <v>8.7871633648180225</v>
      </c>
      <c r="T228">
        <f>L228/N228</f>
        <v>4.8643410852713185</v>
      </c>
    </row>
    <row r="229" spans="1:20" x14ac:dyDescent="0.25">
      <c r="A229" t="s">
        <v>793</v>
      </c>
      <c r="B229" t="s">
        <v>208</v>
      </c>
      <c r="C229" s="4">
        <v>5.6008000000000002E-2</v>
      </c>
      <c r="D229" s="4">
        <v>0.25</v>
      </c>
      <c r="E229" s="4">
        <v>5.1367000000000003E-2</v>
      </c>
      <c r="F229" s="4">
        <v>0.6</v>
      </c>
      <c r="G229">
        <v>3.2000000000000002E-3</v>
      </c>
      <c r="H229">
        <f>VLOOKUP(A229,DB!A:I,2,FALSE)</f>
        <v>1050000</v>
      </c>
      <c r="I229">
        <f>VLOOKUP(A229,'RE@CD'!A:D,2,FALSE)</f>
        <v>3000000</v>
      </c>
      <c r="J229">
        <f>VLOOKUP(A229,'RE@CD'!A:D,3,FALSE)</f>
        <v>175000</v>
      </c>
      <c r="K229">
        <f>VLOOKUP(A229,'RE@CD'!A:D,4,FALSE)</f>
        <v>250000</v>
      </c>
      <c r="L229">
        <f>VLOOKUP(A229,DB!A:I,3,FALSE)</f>
        <v>0.80279999999999996</v>
      </c>
      <c r="M229">
        <f>VLOOKUP(A229,DB!A:I,4,FALSE)</f>
        <v>-0.1986</v>
      </c>
      <c r="N229">
        <f>VLOOKUP(A229,DB!A:I,5,FALSE)</f>
        <v>5.1500000000000001E-3</v>
      </c>
      <c r="O229">
        <f>VLOOKUP(A229,DB!A:I,6,FALSE)</f>
        <v>4.2700000000000004E-3</v>
      </c>
      <c r="P229">
        <f>VLOOKUP(A229,DB!A:I,7,FALSE)</f>
        <v>8.8000000000000003E-4</v>
      </c>
      <c r="Q229">
        <f>VLOOKUP(A229,DB!A:I,8,FALSE)</f>
        <v>0.84709999999999996</v>
      </c>
      <c r="R229">
        <f>VLOOKUP(A229,DB!A:I,9,FALSE)</f>
        <v>0.33700000000000002</v>
      </c>
      <c r="S229">
        <f>N229 *SQRT(H229)</f>
        <v>5.277179644469193</v>
      </c>
      <c r="T229">
        <f>L229/N229</f>
        <v>155.88349514563106</v>
      </c>
    </row>
    <row r="230" spans="1:20" x14ac:dyDescent="0.25">
      <c r="A230" t="s">
        <v>998</v>
      </c>
      <c r="B230" t="s">
        <v>409</v>
      </c>
      <c r="C230" s="4">
        <v>0.14000499999999999</v>
      </c>
      <c r="D230" s="4">
        <v>0.35</v>
      </c>
      <c r="E230" s="4">
        <v>3.3758000000000003E-2</v>
      </c>
      <c r="F230" s="4">
        <v>0.5</v>
      </c>
      <c r="G230">
        <v>5.4799999999999996E-3</v>
      </c>
      <c r="H230">
        <f>VLOOKUP(A230,DB!A:I,2,FALSE)</f>
        <v>2800000</v>
      </c>
      <c r="I230">
        <f>VLOOKUP(A230,'RE@CD'!A:D,2,FALSE)</f>
        <v>325000</v>
      </c>
      <c r="J230">
        <f>VLOOKUP(A230,'RE@CD'!A:D,3,FALSE)</f>
        <v>150000</v>
      </c>
      <c r="K230">
        <f>VLOOKUP(A230,'RE@CD'!A:D,4,FALSE)</f>
        <v>175000</v>
      </c>
      <c r="L230">
        <f>VLOOKUP(A230,DB!A:I,3,FALSE)</f>
        <v>0.4904</v>
      </c>
      <c r="M230">
        <f>VLOOKUP(A230,DB!A:I,4,FALSE)</f>
        <v>-0.1046</v>
      </c>
      <c r="N230">
        <f>VLOOKUP(A230,DB!A:I,5,FALSE)</f>
        <v>5.1500000000000001E-3</v>
      </c>
      <c r="O230">
        <f>VLOOKUP(A230,DB!A:I,6,FALSE)</f>
        <v>4.2599999999999999E-3</v>
      </c>
      <c r="P230">
        <f>VLOOKUP(A230,DB!A:I,7,FALSE)</f>
        <v>8.8999999999999995E-4</v>
      </c>
      <c r="Q230">
        <f>VLOOKUP(A230,DB!A:I,8,FALSE)</f>
        <v>0.55869999999999997</v>
      </c>
      <c r="R230">
        <f>VLOOKUP(A230,DB!A:I,9,FALSE)</f>
        <v>0.4955</v>
      </c>
      <c r="S230">
        <f>N230 *SQRT(H230)</f>
        <v>8.6175982733009775</v>
      </c>
      <c r="T230">
        <f>L230/N230</f>
        <v>95.22330097087378</v>
      </c>
    </row>
    <row r="231" spans="1:20" x14ac:dyDescent="0.25">
      <c r="A231" t="s">
        <v>874</v>
      </c>
      <c r="B231" t="s">
        <v>289</v>
      </c>
      <c r="C231" s="4">
        <v>0.177227</v>
      </c>
      <c r="D231" s="4">
        <v>0.371</v>
      </c>
      <c r="E231" s="4">
        <v>2.6550000000000001E-2</v>
      </c>
      <c r="F231" s="4">
        <v>0.77800000000000002</v>
      </c>
      <c r="G231">
        <v>5.0000000000000001E-4</v>
      </c>
      <c r="H231">
        <f>VLOOKUP(A231,DB!A:I,2,FALSE)</f>
        <v>2100000</v>
      </c>
      <c r="I231">
        <f>VLOOKUP(A231,'RE@CD'!A:D,2,FALSE)</f>
        <v>400000</v>
      </c>
      <c r="J231">
        <f>VLOOKUP(A231,'RE@CD'!A:D,3,FALSE)</f>
        <v>250000</v>
      </c>
      <c r="K231">
        <f>VLOOKUP(A231,'RE@CD'!A:D,4,FALSE)</f>
        <v>250000</v>
      </c>
      <c r="L231">
        <f>VLOOKUP(A231,DB!A:I,3,FALSE)</f>
        <v>0.55210000000000004</v>
      </c>
      <c r="M231">
        <f>VLOOKUP(A231,DB!A:I,4,FALSE)</f>
        <v>-0.13070000000000001</v>
      </c>
      <c r="N231">
        <f>VLOOKUP(A231,DB!A:I,5,FALSE)</f>
        <v>5.1399999999999996E-3</v>
      </c>
      <c r="O231">
        <f>VLOOKUP(A231,DB!A:I,6,FALSE)</f>
        <v>3.8500000000000001E-3</v>
      </c>
      <c r="P231">
        <f>VLOOKUP(A231,DB!A:I,7,FALSE)</f>
        <v>1.2899999999999999E-3</v>
      </c>
      <c r="Q231">
        <f>VLOOKUP(A231,DB!A:I,8,FALSE)</f>
        <v>0.6633</v>
      </c>
      <c r="R231">
        <f>VLOOKUP(A231,DB!A:I,9,FALSE)</f>
        <v>0.61229999999999996</v>
      </c>
      <c r="S231">
        <f>N231 *SQRT(H231)</f>
        <v>7.4485676475413714</v>
      </c>
      <c r="T231">
        <f>L231/N231</f>
        <v>107.41245136186772</v>
      </c>
    </row>
    <row r="232" spans="1:20" x14ac:dyDescent="0.25">
      <c r="A232" t="s">
        <v>1013</v>
      </c>
      <c r="B232" t="s">
        <v>424</v>
      </c>
      <c r="C232" s="4">
        <v>0.100118</v>
      </c>
      <c r="D232" s="4">
        <v>0.23899999999999999</v>
      </c>
      <c r="E232" s="4">
        <v>1.1396999999999999E-2</v>
      </c>
      <c r="F232" s="4">
        <v>0.158</v>
      </c>
      <c r="G232">
        <v>2.3600000000000001E-3</v>
      </c>
      <c r="H232">
        <f>VLOOKUP(A232,DB!A:I,2,FALSE)</f>
        <v>1750000</v>
      </c>
      <c r="I232">
        <f>VLOOKUP(A232,'RE@CD'!A:D,2,FALSE)</f>
        <v>250000</v>
      </c>
      <c r="J232">
        <f>VLOOKUP(A232,'RE@CD'!A:D,3,FALSE)</f>
        <v>50000</v>
      </c>
      <c r="K232">
        <f>VLOOKUP(A232,'RE@CD'!A:D,4,FALSE)</f>
        <v>80000</v>
      </c>
      <c r="L232">
        <f>VLOOKUP(A232,DB!A:I,3,FALSE)</f>
        <v>-7.2099999999999997E-2</v>
      </c>
      <c r="M232">
        <f>VLOOKUP(A232,DB!A:I,4,FALSE)</f>
        <v>3.7600000000000001E-2</v>
      </c>
      <c r="N232">
        <f>VLOOKUP(A232,DB!A:I,5,FALSE)</f>
        <v>5.1399999999999996E-3</v>
      </c>
      <c r="O232">
        <f>VLOOKUP(A232,DB!A:I,6,FALSE)</f>
        <v>4.47E-3</v>
      </c>
      <c r="P232">
        <f>VLOOKUP(A232,DB!A:I,7,FALSE)</f>
        <v>6.7000000000000002E-4</v>
      </c>
      <c r="Q232">
        <f>VLOOKUP(A232,DB!A:I,8,FALSE)</f>
        <v>0.34870000000000001</v>
      </c>
      <c r="R232">
        <f>VLOOKUP(A232,DB!A:I,9,FALSE)</f>
        <v>0.75409999999999999</v>
      </c>
      <c r="S232">
        <f>N232 *SQRT(H232)</f>
        <v>6.7995808694359967</v>
      </c>
      <c r="T232">
        <f>L232/N232</f>
        <v>-14.027237354085603</v>
      </c>
    </row>
    <row r="233" spans="1:20" x14ac:dyDescent="0.25">
      <c r="A233" t="s">
        <v>593</v>
      </c>
      <c r="B233" t="s">
        <v>8</v>
      </c>
      <c r="C233" s="4">
        <v>6.4235E-2</v>
      </c>
      <c r="D233" s="4">
        <v>0.22500000000000001</v>
      </c>
      <c r="E233" s="4">
        <v>1.7523E-2</v>
      </c>
      <c r="F233" s="4">
        <v>0.39400000000000002</v>
      </c>
      <c r="G233">
        <v>3.6700000000000001E-3</v>
      </c>
      <c r="H233">
        <f>VLOOKUP(A233,DB!A:I,2,FALSE)</f>
        <v>925000</v>
      </c>
      <c r="I233">
        <f>VLOOKUP(A233,'RE@CD'!A:D,2,FALSE)</f>
        <v>125000</v>
      </c>
      <c r="J233">
        <f>VLOOKUP(A233,'RE@CD'!A:D,3,FALSE)</f>
        <v>50000</v>
      </c>
      <c r="K233">
        <f>VLOOKUP(A233,'RE@CD'!A:D,4,FALSE)</f>
        <v>70000</v>
      </c>
      <c r="L233">
        <f>VLOOKUP(A233,DB!A:I,3,FALSE)</f>
        <v>0.18129999999999999</v>
      </c>
      <c r="M233">
        <f>VLOOKUP(A233,DB!A:I,4,FALSE)</f>
        <v>-3.4700000000000002E-2</v>
      </c>
      <c r="N233">
        <f>VLOOKUP(A233,DB!A:I,5,FALSE)</f>
        <v>4.0899999999999999E-3</v>
      </c>
      <c r="O233">
        <f>VLOOKUP(A233,DB!A:I,6,FALSE)</f>
        <v>3.31E-3</v>
      </c>
      <c r="P233">
        <f>VLOOKUP(A233,DB!A:I,7,FALSE)</f>
        <v>7.7999999999999999E-4</v>
      </c>
      <c r="Q233">
        <f>VLOOKUP(A233,DB!A:I,8,FALSE)</f>
        <v>0.72</v>
      </c>
      <c r="R233">
        <f>VLOOKUP(A233,DB!A:I,9,FALSE)</f>
        <v>0.98219999999999996</v>
      </c>
      <c r="S233">
        <f>N233 *SQRT(H233)</f>
        <v>3.9336360406117898</v>
      </c>
      <c r="T233">
        <f>L233/N233</f>
        <v>44.327628361858189</v>
      </c>
    </row>
    <row r="234" spans="1:20" x14ac:dyDescent="0.25">
      <c r="A234" t="s">
        <v>1060</v>
      </c>
      <c r="B234" t="s">
        <v>471</v>
      </c>
      <c r="C234" s="4">
        <v>0.14979200000000001</v>
      </c>
      <c r="D234" s="4">
        <v>0.377</v>
      </c>
      <c r="E234" s="4">
        <v>3.9352999999999999E-2</v>
      </c>
      <c r="F234" s="4">
        <v>0.41599999999999998</v>
      </c>
      <c r="G234">
        <v>8.6400000000000001E-3</v>
      </c>
      <c r="H234">
        <f>VLOOKUP(A234,DB!A:I,2,FALSE)</f>
        <v>3000000</v>
      </c>
      <c r="I234">
        <f>VLOOKUP(A234,'RE@CD'!A:D,2,FALSE)</f>
        <v>700000</v>
      </c>
      <c r="J234">
        <f>VLOOKUP(A234,'RE@CD'!A:D,3,FALSE)</f>
        <v>175000</v>
      </c>
      <c r="K234">
        <f>VLOOKUP(A234,'RE@CD'!A:D,4,FALSE)</f>
        <v>300000</v>
      </c>
      <c r="L234">
        <f>VLOOKUP(A234,DB!A:I,3,FALSE)</f>
        <v>0.66690000000000005</v>
      </c>
      <c r="M234">
        <f>VLOOKUP(A234,DB!A:I,4,FALSE)</f>
        <v>-0.15210000000000001</v>
      </c>
      <c r="N234">
        <f>VLOOKUP(A234,DB!A:I,5,FALSE)</f>
        <v>5.13E-3</v>
      </c>
      <c r="O234">
        <f>VLOOKUP(A234,DB!A:I,6,FALSE)</f>
        <v>3.79E-3</v>
      </c>
      <c r="P234">
        <f>VLOOKUP(A234,DB!A:I,7,FALSE)</f>
        <v>1.33E-3</v>
      </c>
      <c r="Q234">
        <f>VLOOKUP(A234,DB!A:I,8,FALSE)</f>
        <v>0.57030000000000003</v>
      </c>
      <c r="R234">
        <f>VLOOKUP(A234,DB!A:I,9,FALSE)</f>
        <v>0.67820000000000003</v>
      </c>
      <c r="S234">
        <f>N234 *SQRT(H234)</f>
        <v>8.8854206428283398</v>
      </c>
      <c r="T234">
        <f>L234/N234</f>
        <v>130</v>
      </c>
    </row>
    <row r="235" spans="1:20" x14ac:dyDescent="0.25">
      <c r="A235" t="s">
        <v>951</v>
      </c>
      <c r="B235" t="s">
        <v>362</v>
      </c>
      <c r="C235" s="4">
        <v>0.14082</v>
      </c>
      <c r="D235" s="4">
        <v>0.371</v>
      </c>
      <c r="E235" s="4">
        <v>4.2043999999999998E-2</v>
      </c>
      <c r="F235" s="4">
        <v>0.40200000000000002</v>
      </c>
      <c r="G235">
        <v>1.2070000000000001E-2</v>
      </c>
      <c r="H235">
        <f>VLOOKUP(A235,DB!A:I,2,FALSE)</f>
        <v>3000000</v>
      </c>
      <c r="I235">
        <f>VLOOKUP(A235,'RE@CD'!A:D,2,FALSE)</f>
        <v>300000</v>
      </c>
      <c r="J235">
        <f>VLOOKUP(A235,'RE@CD'!A:D,3,FALSE)</f>
        <v>150000</v>
      </c>
      <c r="K235">
        <f>VLOOKUP(A235,'RE@CD'!A:D,4,FALSE)</f>
        <v>200000</v>
      </c>
      <c r="L235">
        <f>VLOOKUP(A235,DB!A:I,3,FALSE)</f>
        <v>0.4718</v>
      </c>
      <c r="M235">
        <f>VLOOKUP(A235,DB!A:I,4,FALSE)</f>
        <v>-9.8000000000000004E-2</v>
      </c>
      <c r="N235">
        <f>VLOOKUP(A235,DB!A:I,5,FALSE)</f>
        <v>5.1200000000000004E-3</v>
      </c>
      <c r="O235">
        <f>VLOOKUP(A235,DB!A:I,6,FALSE)</f>
        <v>4.2500000000000003E-3</v>
      </c>
      <c r="P235">
        <f>VLOOKUP(A235,DB!A:I,7,FALSE)</f>
        <v>8.8000000000000003E-4</v>
      </c>
      <c r="Q235">
        <f>VLOOKUP(A235,DB!A:I,8,FALSE)</f>
        <v>0.57640000000000002</v>
      </c>
      <c r="R235">
        <f>VLOOKUP(A235,DB!A:I,9,FALSE)</f>
        <v>0.44109999999999999</v>
      </c>
      <c r="S235">
        <f>N235 *SQRT(H235)</f>
        <v>8.8681001347526518</v>
      </c>
      <c r="T235">
        <f>L235/N235</f>
        <v>92.148437499999986</v>
      </c>
    </row>
    <row r="236" spans="1:20" x14ac:dyDescent="0.25">
      <c r="A236" t="s">
        <v>595</v>
      </c>
      <c r="B236" t="s">
        <v>10</v>
      </c>
      <c r="C236" s="4">
        <v>4.8633999999999997E-2</v>
      </c>
      <c r="D236" s="4">
        <v>0.17399999999999999</v>
      </c>
      <c r="E236" s="4">
        <v>1.8585999999999998E-2</v>
      </c>
      <c r="F236" s="4">
        <v>0.32800000000000001</v>
      </c>
      <c r="G236">
        <v>5.0200000000000002E-3</v>
      </c>
      <c r="H236">
        <f>VLOOKUP(A236,DB!A:I,2,FALSE)</f>
        <v>700000</v>
      </c>
      <c r="I236">
        <f>VLOOKUP(A236,'RE@CD'!A:D,2,FALSE)</f>
        <v>100000</v>
      </c>
      <c r="J236">
        <f>VLOOKUP(A236,'RE@CD'!A:D,3,FALSE)</f>
        <v>50000</v>
      </c>
      <c r="K236">
        <f>VLOOKUP(A236,'RE@CD'!A:D,4,FALSE)</f>
        <v>70000</v>
      </c>
      <c r="L236">
        <f>VLOOKUP(A236,DB!A:I,3,FALSE)</f>
        <v>0.18</v>
      </c>
      <c r="M236">
        <f>VLOOKUP(A236,DB!A:I,4,FALSE)</f>
        <v>-3.3099999999999997E-2</v>
      </c>
      <c r="N236">
        <f>VLOOKUP(A236,DB!A:I,5,FALSE)</f>
        <v>4.0000000000000001E-3</v>
      </c>
      <c r="O236">
        <f>VLOOKUP(A236,DB!A:I,6,FALSE)</f>
        <v>3.0599999999999998E-3</v>
      </c>
      <c r="P236">
        <f>VLOOKUP(A236,DB!A:I,7,FALSE)</f>
        <v>9.3999999999999997E-4</v>
      </c>
      <c r="Q236">
        <f>VLOOKUP(A236,DB!A:I,8,FALSE)</f>
        <v>0.85109999999999997</v>
      </c>
      <c r="R236">
        <f>VLOOKUP(A236,DB!A:I,9,FALSE)</f>
        <v>1</v>
      </c>
      <c r="S236">
        <f>N236 *SQRT(H236)</f>
        <v>3.3466401061363023</v>
      </c>
      <c r="T236">
        <f>L236/N236</f>
        <v>45</v>
      </c>
    </row>
    <row r="237" spans="1:20" x14ac:dyDescent="0.25">
      <c r="A237" t="s">
        <v>684</v>
      </c>
      <c r="B237" t="s">
        <v>99</v>
      </c>
      <c r="C237" s="4">
        <v>0.13649</v>
      </c>
      <c r="D237" s="4">
        <v>0.33400000000000002</v>
      </c>
      <c r="E237" s="4">
        <v>2.6553E-2</v>
      </c>
      <c r="F237" s="4">
        <v>0.49299999999999999</v>
      </c>
      <c r="G237">
        <v>7.4200000000000004E-3</v>
      </c>
      <c r="H237">
        <f>VLOOKUP(A237,DB!A:I,2,FALSE)</f>
        <v>3000000</v>
      </c>
      <c r="I237">
        <f>VLOOKUP(A237,'RE@CD'!A:D,2,FALSE)</f>
        <v>300000</v>
      </c>
      <c r="J237">
        <f>VLOOKUP(A237,'RE@CD'!A:D,3,FALSE)</f>
        <v>100000</v>
      </c>
      <c r="K237">
        <f>VLOOKUP(A237,'RE@CD'!A:D,4,FALSE)</f>
        <v>125000</v>
      </c>
      <c r="L237">
        <f>VLOOKUP(A237,DB!A:I,3,FALSE)</f>
        <v>0.36180000000000001</v>
      </c>
      <c r="M237">
        <f>VLOOKUP(A237,DB!A:I,4,FALSE)</f>
        <v>-8.4199999999999997E-2</v>
      </c>
      <c r="N237">
        <f>VLOOKUP(A237,DB!A:I,5,FALSE)</f>
        <v>5.11E-3</v>
      </c>
      <c r="O237">
        <f>VLOOKUP(A237,DB!A:I,6,FALSE)</f>
        <v>4.3800000000000002E-3</v>
      </c>
      <c r="P237">
        <f>VLOOKUP(A237,DB!A:I,7,FALSE)</f>
        <v>7.3999999999999999E-4</v>
      </c>
      <c r="Q237">
        <f>VLOOKUP(A237,DB!A:I,8,FALSE)</f>
        <v>0.55179999999999996</v>
      </c>
      <c r="R237">
        <f>VLOOKUP(A237,DB!A:I,9,FALSE)</f>
        <v>0.46029999999999999</v>
      </c>
      <c r="S237">
        <f>N237 *SQRT(H237)</f>
        <v>8.8507796266769621</v>
      </c>
      <c r="T237">
        <f>L237/N237</f>
        <v>70.802348336594918</v>
      </c>
    </row>
    <row r="238" spans="1:20" x14ac:dyDescent="0.25">
      <c r="A238" t="s">
        <v>863</v>
      </c>
      <c r="B238" t="s">
        <v>278</v>
      </c>
      <c r="C238" s="4">
        <v>0.11800099999999999</v>
      </c>
      <c r="D238" s="4">
        <v>0.25</v>
      </c>
      <c r="E238" s="4">
        <v>4.1540000000000001E-2</v>
      </c>
      <c r="F238" s="4">
        <v>0.629</v>
      </c>
      <c r="G238">
        <v>8.77E-3</v>
      </c>
      <c r="H238">
        <f>VLOOKUP(A238,DB!A:I,2,FALSE)</f>
        <v>2300000</v>
      </c>
      <c r="I238">
        <f>VLOOKUP(A238,'RE@CD'!A:D,2,FALSE)</f>
        <v>450000</v>
      </c>
      <c r="J238">
        <f>VLOOKUP(A238,'RE@CD'!A:D,3,FALSE)</f>
        <v>225000</v>
      </c>
      <c r="K238">
        <f>VLOOKUP(A238,'RE@CD'!A:D,4,FALSE)</f>
        <v>300000</v>
      </c>
      <c r="L238">
        <f>VLOOKUP(A238,DB!A:I,3,FALSE)</f>
        <v>0.68100000000000005</v>
      </c>
      <c r="M238">
        <f>VLOOKUP(A238,DB!A:I,4,FALSE)</f>
        <v>-0.1948</v>
      </c>
      <c r="N238">
        <f>VLOOKUP(A238,DB!A:I,5,FALSE)</f>
        <v>5.11E-3</v>
      </c>
      <c r="O238">
        <f>VLOOKUP(A238,DB!A:I,6,FALSE)</f>
        <v>4.13E-3</v>
      </c>
      <c r="P238">
        <f>VLOOKUP(A238,DB!A:I,7,FALSE)</f>
        <v>9.7999999999999997E-4</v>
      </c>
      <c r="Q238">
        <f>VLOOKUP(A238,DB!A:I,8,FALSE)</f>
        <v>0.7389</v>
      </c>
      <c r="R238">
        <f>VLOOKUP(A238,DB!A:I,9,FALSE)</f>
        <v>0.3196</v>
      </c>
      <c r="S238">
        <f>N238 *SQRT(H238)</f>
        <v>7.7496987038206839</v>
      </c>
      <c r="T238">
        <f>L238/N238</f>
        <v>133.26810176125247</v>
      </c>
    </row>
    <row r="239" spans="1:20" x14ac:dyDescent="0.25">
      <c r="A239" t="s">
        <v>730</v>
      </c>
      <c r="B239" t="s">
        <v>145</v>
      </c>
      <c r="C239" s="4">
        <v>9.0705999999999995E-2</v>
      </c>
      <c r="D239" s="4">
        <v>0.311</v>
      </c>
      <c r="E239" s="4">
        <v>3.7836000000000002E-2</v>
      </c>
      <c r="F239" s="4">
        <v>0.40100000000000002</v>
      </c>
      <c r="G239">
        <v>4.0699999999999998E-3</v>
      </c>
      <c r="H239">
        <f>VLOOKUP(A239,DB!A:I,2,FALSE)</f>
        <v>3000000</v>
      </c>
      <c r="I239">
        <f>VLOOKUP(A239,'RE@CD'!A:D,2,FALSE)</f>
        <v>200000</v>
      </c>
      <c r="J239">
        <f>VLOOKUP(A239,'RE@CD'!A:D,3,FALSE)</f>
        <v>80000</v>
      </c>
      <c r="K239">
        <f>VLOOKUP(A239,'RE@CD'!A:D,4,FALSE)</f>
        <v>100000</v>
      </c>
      <c r="L239">
        <f>VLOOKUP(A239,DB!A:I,3,FALSE)</f>
        <v>0.4</v>
      </c>
      <c r="M239">
        <f>VLOOKUP(A239,DB!A:I,4,FALSE)</f>
        <v>-8.0399999999999999E-2</v>
      </c>
      <c r="N239">
        <f>VLOOKUP(A239,DB!A:I,5,FALSE)</f>
        <v>5.1000000000000004E-3</v>
      </c>
      <c r="O239">
        <f>VLOOKUP(A239,DB!A:I,6,FALSE)</f>
        <v>4.5700000000000003E-3</v>
      </c>
      <c r="P239">
        <f>VLOOKUP(A239,DB!A:I,7,FALSE)</f>
        <v>5.2999999999999998E-4</v>
      </c>
      <c r="Q239">
        <f>VLOOKUP(A239,DB!A:I,8,FALSE)</f>
        <v>0.54779999999999995</v>
      </c>
      <c r="R239">
        <f>VLOOKUP(A239,DB!A:I,9,FALSE)</f>
        <v>0.34379999999999999</v>
      </c>
      <c r="S239">
        <f>N239 *SQRT(H239)</f>
        <v>8.8334591186012741</v>
      </c>
      <c r="T239">
        <f>L239/N239</f>
        <v>78.431372549019613</v>
      </c>
    </row>
    <row r="240" spans="1:20" x14ac:dyDescent="0.25">
      <c r="A240" t="s">
        <v>952</v>
      </c>
      <c r="B240" t="s">
        <v>363</v>
      </c>
      <c r="C240" s="4">
        <v>0.149895</v>
      </c>
      <c r="D240" s="4">
        <v>0.37</v>
      </c>
      <c r="E240" s="4">
        <v>4.2028999999999997E-2</v>
      </c>
      <c r="F240" s="4">
        <v>0.40300000000000002</v>
      </c>
      <c r="G240">
        <v>1.372E-2</v>
      </c>
      <c r="H240">
        <f>VLOOKUP(A240,DB!A:I,2,FALSE)</f>
        <v>2900000</v>
      </c>
      <c r="I240">
        <f>VLOOKUP(A240,'RE@CD'!A:D,2,FALSE)</f>
        <v>325000</v>
      </c>
      <c r="J240">
        <f>VLOOKUP(A240,'RE@CD'!A:D,3,FALSE)</f>
        <v>200000</v>
      </c>
      <c r="K240">
        <f>VLOOKUP(A240,'RE@CD'!A:D,4,FALSE)</f>
        <v>200000</v>
      </c>
      <c r="L240">
        <f>VLOOKUP(A240,DB!A:I,3,FALSE)</f>
        <v>0.48120000000000002</v>
      </c>
      <c r="M240">
        <f>VLOOKUP(A240,DB!A:I,4,FALSE)</f>
        <v>-9.8000000000000004E-2</v>
      </c>
      <c r="N240">
        <f>VLOOKUP(A240,DB!A:I,5,FALSE)</f>
        <v>5.1000000000000004E-3</v>
      </c>
      <c r="O240">
        <f>VLOOKUP(A240,DB!A:I,6,FALSE)</f>
        <v>4.1399999999999996E-3</v>
      </c>
      <c r="P240">
        <f>VLOOKUP(A240,DB!A:I,7,FALSE)</f>
        <v>9.6000000000000002E-4</v>
      </c>
      <c r="Q240">
        <f>VLOOKUP(A240,DB!A:I,8,FALSE)</f>
        <v>0.57069999999999999</v>
      </c>
      <c r="R240">
        <f>VLOOKUP(A240,DB!A:I,9,FALSE)</f>
        <v>0.50219999999999998</v>
      </c>
      <c r="S240">
        <f>N240 *SQRT(H240)</f>
        <v>8.6849870466224655</v>
      </c>
      <c r="T240">
        <f>L240/N240</f>
        <v>94.35294117647058</v>
      </c>
    </row>
    <row r="241" spans="1:20" x14ac:dyDescent="0.25">
      <c r="A241" t="s">
        <v>959</v>
      </c>
      <c r="B241" t="s">
        <v>370</v>
      </c>
      <c r="C241" s="4">
        <v>0.18212500000000001</v>
      </c>
      <c r="D241" s="4">
        <v>0.40300000000000002</v>
      </c>
      <c r="E241" s="4">
        <v>2.8126000000000002E-2</v>
      </c>
      <c r="F241" s="4">
        <v>0.56499999999999995</v>
      </c>
      <c r="G241">
        <v>1.5499999999999999E-3</v>
      </c>
      <c r="H241">
        <f>VLOOKUP(A241,DB!A:I,2,FALSE)</f>
        <v>3000000</v>
      </c>
      <c r="I241">
        <f>VLOOKUP(A241,'RE@CD'!A:D,2,FALSE)</f>
        <v>575000</v>
      </c>
      <c r="J241">
        <f>VLOOKUP(A241,'RE@CD'!A:D,3,FALSE)</f>
        <v>225000</v>
      </c>
      <c r="K241">
        <f>VLOOKUP(A241,'RE@CD'!A:D,4,FALSE)</f>
        <v>300000</v>
      </c>
      <c r="L241">
        <f>VLOOKUP(A241,DB!A:I,3,FALSE)</f>
        <v>0.49659999999999999</v>
      </c>
      <c r="M241">
        <f>VLOOKUP(A241,DB!A:I,4,FALSE)</f>
        <v>-0.1166</v>
      </c>
      <c r="N241">
        <f>VLOOKUP(A241,DB!A:I,5,FALSE)</f>
        <v>5.1000000000000004E-3</v>
      </c>
      <c r="O241">
        <f>VLOOKUP(A241,DB!A:I,6,FALSE)</f>
        <v>4.0400000000000002E-3</v>
      </c>
      <c r="P241">
        <f>VLOOKUP(A241,DB!A:I,7,FALSE)</f>
        <v>1.0499999999999999E-3</v>
      </c>
      <c r="Q241">
        <f>VLOOKUP(A241,DB!A:I,8,FALSE)</f>
        <v>0.5877</v>
      </c>
      <c r="R241">
        <f>VLOOKUP(A241,DB!A:I,9,FALSE)</f>
        <v>0.5766</v>
      </c>
      <c r="S241">
        <f>N241 *SQRT(H241)</f>
        <v>8.8334591186012741</v>
      </c>
      <c r="T241">
        <f>L241/N241</f>
        <v>97.372549019607831</v>
      </c>
    </row>
    <row r="242" spans="1:20" x14ac:dyDescent="0.25">
      <c r="A242" t="s">
        <v>1132</v>
      </c>
      <c r="B242" t="s">
        <v>543</v>
      </c>
      <c r="C242" s="4">
        <v>0.09</v>
      </c>
      <c r="D242" s="4">
        <v>0.25</v>
      </c>
      <c r="E242" s="4">
        <v>0</v>
      </c>
      <c r="F242" s="4">
        <v>0.01</v>
      </c>
      <c r="G242">
        <v>5.64E-3</v>
      </c>
      <c r="H242">
        <f>VLOOKUP(A242,DB!A:I,2,FALSE)</f>
        <v>1300000</v>
      </c>
      <c r="I242">
        <f>VLOOKUP(A242,'RE@CD'!A:D,2,FALSE)</f>
        <v>150000</v>
      </c>
      <c r="J242">
        <f>VLOOKUP(A242,'RE@CD'!A:D,3,FALSE)</f>
        <v>50000</v>
      </c>
      <c r="K242">
        <f>VLOOKUP(A242,'RE@CD'!A:D,4,FALSE)</f>
        <v>50000</v>
      </c>
      <c r="L242">
        <f>VLOOKUP(A242,DB!A:I,3,FALSE)</f>
        <v>0</v>
      </c>
      <c r="M242">
        <f>VLOOKUP(A242,DB!A:I,4,FALSE)</f>
        <v>0</v>
      </c>
      <c r="N242">
        <f>VLOOKUP(A242,DB!A:I,5,FALSE)</f>
        <v>5.1000000000000004E-3</v>
      </c>
      <c r="O242">
        <f>VLOOKUP(A242,DB!A:I,6,FALSE)</f>
        <v>4.3899999999999998E-3</v>
      </c>
      <c r="P242">
        <f>VLOOKUP(A242,DB!A:I,7,FALSE)</f>
        <v>7.1000000000000002E-4</v>
      </c>
      <c r="Q242">
        <f>VLOOKUP(A242,DB!A:I,8,FALSE)</f>
        <v>0.61140000000000005</v>
      </c>
      <c r="R242">
        <f>VLOOKUP(A242,DB!A:I,9,FALSE)</f>
        <v>0.61180000000000001</v>
      </c>
      <c r="S242">
        <f>N242 *SQRT(H242)</f>
        <v>5.8148946680056044</v>
      </c>
      <c r="T242">
        <f>L242/N242</f>
        <v>0</v>
      </c>
    </row>
    <row r="243" spans="1:20" x14ac:dyDescent="0.25">
      <c r="A243" t="s">
        <v>1144</v>
      </c>
      <c r="B243" t="s">
        <v>555</v>
      </c>
      <c r="C243" s="4">
        <v>9.9693000000000004E-2</v>
      </c>
      <c r="D243" s="4">
        <v>0.28199999999999997</v>
      </c>
      <c r="E243" s="4">
        <v>3.6735999999999998E-2</v>
      </c>
      <c r="F243" s="4">
        <v>0.40200000000000002</v>
      </c>
      <c r="G243">
        <v>5.11E-3</v>
      </c>
      <c r="H243">
        <f>VLOOKUP(A243,DB!A:I,2,FALSE)</f>
        <v>2500000</v>
      </c>
      <c r="I243">
        <f>VLOOKUP(A243,'RE@CD'!A:D,2,FALSE)</f>
        <v>175000</v>
      </c>
      <c r="J243">
        <f>VLOOKUP(A243,'RE@CD'!A:D,3,FALSE)</f>
        <v>90000</v>
      </c>
      <c r="K243">
        <f>VLOOKUP(A243,'RE@CD'!A:D,4,FALSE)</f>
        <v>125000</v>
      </c>
      <c r="L243">
        <f>VLOOKUP(A243,DB!A:I,3,FALSE)</f>
        <v>0.45700000000000002</v>
      </c>
      <c r="M243">
        <f>VLOOKUP(A243,DB!A:I,4,FALSE)</f>
        <v>-9.4600000000000004E-2</v>
      </c>
      <c r="N243">
        <f>VLOOKUP(A243,DB!A:I,5,FALSE)</f>
        <v>5.1000000000000004E-3</v>
      </c>
      <c r="O243">
        <f>VLOOKUP(A243,DB!A:I,6,FALSE)</f>
        <v>4.3699999999999998E-3</v>
      </c>
      <c r="P243">
        <f>VLOOKUP(A243,DB!A:I,7,FALSE)</f>
        <v>7.2999999999999996E-4</v>
      </c>
      <c r="Q243">
        <f>VLOOKUP(A243,DB!A:I,8,FALSE)</f>
        <v>0.53900000000000003</v>
      </c>
      <c r="R243">
        <f>VLOOKUP(A243,DB!A:I,9,FALSE)</f>
        <v>0.48359999999999997</v>
      </c>
      <c r="S243">
        <f>N243 *SQRT(H243)</f>
        <v>8.0638080334293676</v>
      </c>
      <c r="T243">
        <f>L243/N243</f>
        <v>89.607843137254903</v>
      </c>
    </row>
    <row r="244" spans="1:20" x14ac:dyDescent="0.25">
      <c r="A244" t="s">
        <v>770</v>
      </c>
      <c r="B244" t="s">
        <v>185</v>
      </c>
      <c r="C244" s="4">
        <v>0.17405699999999999</v>
      </c>
      <c r="D244" s="4">
        <v>0.38700000000000001</v>
      </c>
      <c r="E244" s="4">
        <v>2.0732E-2</v>
      </c>
      <c r="F244" s="4">
        <v>0.29799999999999999</v>
      </c>
      <c r="G244">
        <v>3.8800000000000002E-3</v>
      </c>
      <c r="H244">
        <f>VLOOKUP(A244,DB!A:I,2,FALSE)</f>
        <v>3000000</v>
      </c>
      <c r="I244">
        <f>VLOOKUP(A244,'RE@CD'!A:D,2,FALSE)</f>
        <v>550000</v>
      </c>
      <c r="J244">
        <f>VLOOKUP(A244,'RE@CD'!A:D,3,FALSE)</f>
        <v>200000</v>
      </c>
      <c r="K244">
        <f>VLOOKUP(A244,'RE@CD'!A:D,4,FALSE)</f>
        <v>300000</v>
      </c>
      <c r="L244">
        <f>VLOOKUP(A244,DB!A:I,3,FALSE)</f>
        <v>0.2661</v>
      </c>
      <c r="M244">
        <f>VLOOKUP(A244,DB!A:I,4,FALSE)</f>
        <v>-4.8599999999999997E-2</v>
      </c>
      <c r="N244">
        <f>VLOOKUP(A244,DB!A:I,5,FALSE)</f>
        <v>5.0899999999999999E-3</v>
      </c>
      <c r="O244">
        <f>VLOOKUP(A244,DB!A:I,6,FALSE)</f>
        <v>4.0099999999999997E-3</v>
      </c>
      <c r="P244">
        <f>VLOOKUP(A244,DB!A:I,7,FALSE)</f>
        <v>1.08E-3</v>
      </c>
      <c r="Q244">
        <f>VLOOKUP(A244,DB!A:I,8,FALSE)</f>
        <v>0.51419999999999999</v>
      </c>
      <c r="R244">
        <f>VLOOKUP(A244,DB!A:I,9,FALSE)</f>
        <v>0.66379999999999995</v>
      </c>
      <c r="S244">
        <f>N244 *SQRT(H244)</f>
        <v>8.8161386105255843</v>
      </c>
      <c r="T244">
        <f>L244/N244</f>
        <v>52.278978388998034</v>
      </c>
    </row>
    <row r="245" spans="1:20" x14ac:dyDescent="0.25">
      <c r="A245" t="s">
        <v>878</v>
      </c>
      <c r="B245" t="s">
        <v>293</v>
      </c>
      <c r="C245" s="4">
        <v>9.9322999999999995E-2</v>
      </c>
      <c r="D245" s="4">
        <v>0.308</v>
      </c>
      <c r="E245" s="4">
        <v>4.1782E-2</v>
      </c>
      <c r="F245" s="4">
        <v>0.5</v>
      </c>
      <c r="G245">
        <v>6.0200000000000002E-3</v>
      </c>
      <c r="H245">
        <f>VLOOKUP(A245,DB!A:I,2,FALSE)</f>
        <v>2900000</v>
      </c>
      <c r="I245">
        <f>VLOOKUP(A245,'RE@CD'!A:D,2,FALSE)</f>
        <v>250000</v>
      </c>
      <c r="J245">
        <f>VLOOKUP(A245,'RE@CD'!A:D,3,FALSE)</f>
        <v>100000</v>
      </c>
      <c r="K245">
        <f>VLOOKUP(A245,'RE@CD'!A:D,4,FALSE)</f>
        <v>125000</v>
      </c>
      <c r="L245">
        <f>VLOOKUP(A245,DB!A:I,3,FALSE)</f>
        <v>0.69099999999999995</v>
      </c>
      <c r="M245">
        <f>VLOOKUP(A245,DB!A:I,4,FALSE)</f>
        <v>-0.159</v>
      </c>
      <c r="N245">
        <f>VLOOKUP(A245,DB!A:I,5,FALSE)</f>
        <v>5.0899999999999999E-3</v>
      </c>
      <c r="O245">
        <f>VLOOKUP(A245,DB!A:I,6,FALSE)</f>
        <v>4.3299999999999996E-3</v>
      </c>
      <c r="P245">
        <f>VLOOKUP(A245,DB!A:I,7,FALSE)</f>
        <v>7.6000000000000004E-4</v>
      </c>
      <c r="Q245">
        <f>VLOOKUP(A245,DB!A:I,8,FALSE)</f>
        <v>0.58530000000000004</v>
      </c>
      <c r="R245">
        <f>VLOOKUP(A245,DB!A:I,9,FALSE)</f>
        <v>0.374</v>
      </c>
      <c r="S245">
        <f>N245 *SQRT(H245)</f>
        <v>8.6679576602565369</v>
      </c>
      <c r="T245">
        <f>L245/N245</f>
        <v>135.75638506876228</v>
      </c>
    </row>
    <row r="246" spans="1:20" x14ac:dyDescent="0.25">
      <c r="A246" t="s">
        <v>1106</v>
      </c>
      <c r="B246" t="s">
        <v>517</v>
      </c>
      <c r="C246" s="4">
        <v>9.6294000000000005E-2</v>
      </c>
      <c r="D246" s="4">
        <v>0.28299999999999997</v>
      </c>
      <c r="E246" s="4">
        <v>3.9038000000000003E-2</v>
      </c>
      <c r="F246" s="4">
        <v>0.442</v>
      </c>
      <c r="G246">
        <v>5.5999999999999999E-3</v>
      </c>
      <c r="H246">
        <f>VLOOKUP(A246,DB!A:I,2,FALSE)</f>
        <v>3000000</v>
      </c>
      <c r="I246">
        <f>VLOOKUP(A246,'RE@CD'!A:D,2,FALSE)</f>
        <v>200000</v>
      </c>
      <c r="J246">
        <f>VLOOKUP(A246,'RE@CD'!A:D,3,FALSE)</f>
        <v>90000</v>
      </c>
      <c r="K246">
        <f>VLOOKUP(A246,'RE@CD'!A:D,4,FALSE)</f>
        <v>125000</v>
      </c>
      <c r="L246">
        <f>VLOOKUP(A246,DB!A:I,3,FALSE)</f>
        <v>0.41499999999999998</v>
      </c>
      <c r="M246">
        <f>VLOOKUP(A246,DB!A:I,4,FALSE)</f>
        <v>-8.4199999999999997E-2</v>
      </c>
      <c r="N246">
        <f>VLOOKUP(A246,DB!A:I,5,FALSE)</f>
        <v>5.0899999999999999E-3</v>
      </c>
      <c r="O246">
        <f>VLOOKUP(A246,DB!A:I,6,FALSE)</f>
        <v>4.5500000000000002E-3</v>
      </c>
      <c r="P246">
        <f>VLOOKUP(A246,DB!A:I,7,FALSE)</f>
        <v>5.4000000000000001E-4</v>
      </c>
      <c r="Q246">
        <f>VLOOKUP(A246,DB!A:I,8,FALSE)</f>
        <v>0.57669999999999999</v>
      </c>
      <c r="R246">
        <f>VLOOKUP(A246,DB!A:I,9,FALSE)</f>
        <v>0.29139999999999999</v>
      </c>
      <c r="S246">
        <f>N246 *SQRT(H246)</f>
        <v>8.8161386105255843</v>
      </c>
      <c r="T246">
        <f>L246/N246</f>
        <v>81.532416502946958</v>
      </c>
    </row>
    <row r="247" spans="1:20" x14ac:dyDescent="0.25">
      <c r="A247" t="s">
        <v>680</v>
      </c>
      <c r="B247" t="s">
        <v>95</v>
      </c>
      <c r="C247" s="4">
        <v>0.10226200000000001</v>
      </c>
      <c r="D247" s="4">
        <v>0.31</v>
      </c>
      <c r="E247" s="4">
        <v>3.5425999999999999E-2</v>
      </c>
      <c r="F247" s="4">
        <v>0.4</v>
      </c>
      <c r="G247">
        <v>5.2199999999999998E-3</v>
      </c>
      <c r="H247">
        <f>VLOOKUP(A247,DB!A:I,2,FALSE)</f>
        <v>3000000</v>
      </c>
      <c r="I247">
        <f>VLOOKUP(A247,'RE@CD'!A:D,2,FALSE)</f>
        <v>200000</v>
      </c>
      <c r="J247">
        <f>VLOOKUP(A247,'RE@CD'!A:D,3,FALSE)</f>
        <v>90000</v>
      </c>
      <c r="K247">
        <f>VLOOKUP(A247,'RE@CD'!A:D,4,FALSE)</f>
        <v>100000</v>
      </c>
      <c r="L247">
        <f>VLOOKUP(A247,DB!A:I,3,FALSE)</f>
        <v>0.38059999999999999</v>
      </c>
      <c r="M247">
        <f>VLOOKUP(A247,DB!A:I,4,FALSE)</f>
        <v>-7.7600000000000002E-2</v>
      </c>
      <c r="N247">
        <f>VLOOKUP(A247,DB!A:I,5,FALSE)</f>
        <v>5.0800000000000003E-3</v>
      </c>
      <c r="O247">
        <f>VLOOKUP(A247,DB!A:I,6,FALSE)</f>
        <v>4.4799999999999996E-3</v>
      </c>
      <c r="P247">
        <f>VLOOKUP(A247,DB!A:I,7,FALSE)</f>
        <v>5.9999999999999995E-4</v>
      </c>
      <c r="Q247">
        <f>VLOOKUP(A247,DB!A:I,8,FALSE)</f>
        <v>0.55289999999999995</v>
      </c>
      <c r="R247">
        <f>VLOOKUP(A247,DB!A:I,9,FALSE)</f>
        <v>0.39429999999999998</v>
      </c>
      <c r="S247">
        <f>N247 *SQRT(H247)</f>
        <v>8.7988181024498964</v>
      </c>
      <c r="T247">
        <f>L247/N247</f>
        <v>74.921259842519675</v>
      </c>
    </row>
    <row r="248" spans="1:20" x14ac:dyDescent="0.25">
      <c r="A248" t="s">
        <v>686</v>
      </c>
      <c r="B248" t="s">
        <v>101</v>
      </c>
      <c r="C248" s="4">
        <v>0.120281</v>
      </c>
      <c r="D248" s="4">
        <v>0.3</v>
      </c>
      <c r="E248" s="4">
        <v>2.4884E-2</v>
      </c>
      <c r="F248" s="4">
        <v>0.38600000000000001</v>
      </c>
      <c r="G248">
        <v>6.5799999999999999E-3</v>
      </c>
      <c r="H248">
        <f>VLOOKUP(A248,DB!A:I,2,FALSE)</f>
        <v>3000000</v>
      </c>
      <c r="I248">
        <f>VLOOKUP(A248,'RE@CD'!A:D,2,FALSE)</f>
        <v>225000</v>
      </c>
      <c r="J248">
        <f>VLOOKUP(A248,'RE@CD'!A:D,3,FALSE)</f>
        <v>70000</v>
      </c>
      <c r="K248">
        <f>VLOOKUP(A248,'RE@CD'!A:D,4,FALSE)</f>
        <v>100000</v>
      </c>
      <c r="L248">
        <f>VLOOKUP(A248,DB!A:I,3,FALSE)</f>
        <v>0.25940000000000002</v>
      </c>
      <c r="M248">
        <f>VLOOKUP(A248,DB!A:I,4,FALSE)</f>
        <v>-4.9299999999999997E-2</v>
      </c>
      <c r="N248">
        <f>VLOOKUP(A248,DB!A:I,5,FALSE)</f>
        <v>5.0800000000000003E-3</v>
      </c>
      <c r="O248">
        <f>VLOOKUP(A248,DB!A:I,6,FALSE)</f>
        <v>4.4099999999999999E-3</v>
      </c>
      <c r="P248">
        <f>VLOOKUP(A248,DB!A:I,7,FALSE)</f>
        <v>6.6E-4</v>
      </c>
      <c r="Q248">
        <f>VLOOKUP(A248,DB!A:I,8,FALSE)</f>
        <v>0.49740000000000001</v>
      </c>
      <c r="R248">
        <f>VLOOKUP(A248,DB!A:I,9,FALSE)</f>
        <v>0.50349999999999995</v>
      </c>
      <c r="S248">
        <f>N248 *SQRT(H248)</f>
        <v>8.7988181024498964</v>
      </c>
      <c r="T248">
        <f>L248/N248</f>
        <v>51.062992125984252</v>
      </c>
    </row>
    <row r="249" spans="1:20" x14ac:dyDescent="0.25">
      <c r="A249" t="s">
        <v>890</v>
      </c>
      <c r="B249" t="s">
        <v>305</v>
      </c>
      <c r="C249" s="4">
        <v>6.0170000000000001E-2</v>
      </c>
      <c r="D249" s="4">
        <v>0.222</v>
      </c>
      <c r="E249" s="4">
        <v>1.6729999999999998E-2</v>
      </c>
      <c r="F249" s="4">
        <v>0.17</v>
      </c>
      <c r="G249">
        <v>2.49E-3</v>
      </c>
      <c r="H249">
        <f>VLOOKUP(A249,DB!A:I,2,FALSE)</f>
        <v>1250000</v>
      </c>
      <c r="I249">
        <f>VLOOKUP(A249,'RE@CD'!A:D,2,FALSE)</f>
        <v>150000</v>
      </c>
      <c r="J249">
        <f>VLOOKUP(A249,'RE@CD'!A:D,3,FALSE)</f>
        <v>50000</v>
      </c>
      <c r="K249">
        <f>VLOOKUP(A249,'RE@CD'!A:D,4,FALSE)</f>
        <v>50000</v>
      </c>
      <c r="L249">
        <f>VLOOKUP(A249,DB!A:I,3,FALSE)</f>
        <v>-5.5999999999999999E-3</v>
      </c>
      <c r="M249">
        <f>VLOOKUP(A249,DB!A:I,4,FALSE)</f>
        <v>2.4899999999999999E-2</v>
      </c>
      <c r="N249">
        <f>VLOOKUP(A249,DB!A:I,5,FALSE)</f>
        <v>5.0800000000000003E-3</v>
      </c>
      <c r="O249">
        <f>VLOOKUP(A249,DB!A:I,6,FALSE)</f>
        <v>4.4099999999999999E-3</v>
      </c>
      <c r="P249">
        <f>VLOOKUP(A249,DB!A:I,7,FALSE)</f>
        <v>6.7000000000000002E-4</v>
      </c>
      <c r="Q249">
        <f>VLOOKUP(A249,DB!A:I,8,FALSE)</f>
        <v>0.37480000000000002</v>
      </c>
      <c r="R249">
        <f>VLOOKUP(A249,DB!A:I,9,FALSE)</f>
        <v>0.82879999999999998</v>
      </c>
      <c r="S249">
        <f>N249 *SQRT(H249)</f>
        <v>5.6796126628494665</v>
      </c>
      <c r="T249">
        <f>L249/N249</f>
        <v>-1.1023622047244093</v>
      </c>
    </row>
    <row r="250" spans="1:20" x14ac:dyDescent="0.25">
      <c r="A250" t="s">
        <v>1140</v>
      </c>
      <c r="B250" t="s">
        <v>551</v>
      </c>
      <c r="C250" s="4">
        <v>9.4591999999999996E-2</v>
      </c>
      <c r="D250" s="4">
        <v>0.249</v>
      </c>
      <c r="E250" s="4">
        <v>2.2977000000000001E-2</v>
      </c>
      <c r="F250" s="4">
        <v>0.435</v>
      </c>
      <c r="G250">
        <v>6.7799999999999996E-3</v>
      </c>
      <c r="H250">
        <f>VLOOKUP(A250,DB!A:I,2,FALSE)</f>
        <v>3000000</v>
      </c>
      <c r="I250">
        <f>VLOOKUP(A250,'RE@CD'!A:D,2,FALSE)</f>
        <v>175000</v>
      </c>
      <c r="J250">
        <f>VLOOKUP(A250,'RE@CD'!A:D,3,FALSE)</f>
        <v>50000</v>
      </c>
      <c r="K250">
        <f>VLOOKUP(A250,'RE@CD'!A:D,4,FALSE)</f>
        <v>100000</v>
      </c>
      <c r="L250">
        <f>VLOOKUP(A250,DB!A:I,3,FALSE)</f>
        <v>0.24779999999999999</v>
      </c>
      <c r="M250">
        <f>VLOOKUP(A250,DB!A:I,4,FALSE)</f>
        <v>-4.99E-2</v>
      </c>
      <c r="N250">
        <f>VLOOKUP(A250,DB!A:I,5,FALSE)</f>
        <v>5.0800000000000003E-3</v>
      </c>
      <c r="O250">
        <f>VLOOKUP(A250,DB!A:I,6,FALSE)</f>
        <v>4.5799999999999999E-3</v>
      </c>
      <c r="P250">
        <f>VLOOKUP(A250,DB!A:I,7,FALSE)</f>
        <v>5.0000000000000001E-4</v>
      </c>
      <c r="Q250">
        <f>VLOOKUP(A250,DB!A:I,8,FALSE)</f>
        <v>0.53920000000000001</v>
      </c>
      <c r="R250">
        <f>VLOOKUP(A250,DB!A:I,9,FALSE)</f>
        <v>0.34439999999999998</v>
      </c>
      <c r="S250">
        <f>N250 *SQRT(H250)</f>
        <v>8.7988181024498964</v>
      </c>
      <c r="T250">
        <f>L250/N250</f>
        <v>48.779527559055111</v>
      </c>
    </row>
    <row r="251" spans="1:20" x14ac:dyDescent="0.25">
      <c r="A251" t="s">
        <v>641</v>
      </c>
      <c r="B251" t="s">
        <v>56</v>
      </c>
      <c r="C251" s="4">
        <v>0.13053400000000001</v>
      </c>
      <c r="D251" s="4">
        <v>0.42499999999999999</v>
      </c>
      <c r="E251" s="4">
        <v>3.5819999999999998E-2</v>
      </c>
      <c r="F251" s="4">
        <v>0.40600000000000003</v>
      </c>
      <c r="G251">
        <v>6.7000000000000002E-4</v>
      </c>
      <c r="H251">
        <f>VLOOKUP(A251,DB!A:I,2,FALSE)</f>
        <v>1250000</v>
      </c>
      <c r="I251">
        <f>VLOOKUP(A251,'RE@CD'!A:D,2,FALSE)</f>
        <v>525000</v>
      </c>
      <c r="J251">
        <f>VLOOKUP(A251,'RE@CD'!A:D,3,FALSE)</f>
        <v>250000</v>
      </c>
      <c r="K251">
        <f>VLOOKUP(A251,'RE@CD'!A:D,4,FALSE)</f>
        <v>375000</v>
      </c>
      <c r="L251">
        <f>VLOOKUP(A251,DB!A:I,3,FALSE)</f>
        <v>0.18079999999999999</v>
      </c>
      <c r="M251">
        <f>VLOOKUP(A251,DB!A:I,4,FALSE)</f>
        <v>-1.9900000000000001E-2</v>
      </c>
      <c r="N251">
        <f>VLOOKUP(A251,DB!A:I,5,FALSE)</f>
        <v>5.0600000000000003E-3</v>
      </c>
      <c r="O251">
        <f>VLOOKUP(A251,DB!A:I,6,FALSE)</f>
        <v>3.2799999999999999E-3</v>
      </c>
      <c r="P251">
        <f>VLOOKUP(A251,DB!A:I,7,FALSE)</f>
        <v>1.7899999999999999E-3</v>
      </c>
      <c r="Q251">
        <f>VLOOKUP(A251,DB!A:I,8,FALSE)</f>
        <v>0.7339</v>
      </c>
      <c r="R251">
        <f>VLOOKUP(A251,DB!A:I,9,FALSE)</f>
        <v>0.84379999999999999</v>
      </c>
      <c r="S251">
        <f>N251 *SQRT(H251)</f>
        <v>5.6572519830744685</v>
      </c>
      <c r="T251">
        <f>L251/N251</f>
        <v>35.73122529644268</v>
      </c>
    </row>
    <row r="252" spans="1:20" x14ac:dyDescent="0.25">
      <c r="A252" t="s">
        <v>673</v>
      </c>
      <c r="B252" t="s">
        <v>88</v>
      </c>
      <c r="C252" s="4">
        <v>8.9230000000000004E-2</v>
      </c>
      <c r="D252" s="4">
        <v>0.312</v>
      </c>
      <c r="E252" s="4">
        <v>3.8272E-2</v>
      </c>
      <c r="F252" s="4">
        <v>0.40200000000000002</v>
      </c>
      <c r="G252">
        <v>4.0099999999999997E-3</v>
      </c>
      <c r="H252">
        <f>VLOOKUP(A252,DB!A:I,2,FALSE)</f>
        <v>3000000</v>
      </c>
      <c r="I252">
        <f>VLOOKUP(A252,'RE@CD'!A:D,2,FALSE)</f>
        <v>200000</v>
      </c>
      <c r="J252">
        <f>VLOOKUP(A252,'RE@CD'!A:D,3,FALSE)</f>
        <v>80000</v>
      </c>
      <c r="K252">
        <f>VLOOKUP(A252,'RE@CD'!A:D,4,FALSE)</f>
        <v>100000</v>
      </c>
      <c r="L252">
        <f>VLOOKUP(A252,DB!A:I,3,FALSE)</f>
        <v>0.40720000000000001</v>
      </c>
      <c r="M252">
        <f>VLOOKUP(A252,DB!A:I,4,FALSE)</f>
        <v>-8.2299999999999998E-2</v>
      </c>
      <c r="N252">
        <f>VLOOKUP(A252,DB!A:I,5,FALSE)</f>
        <v>5.0600000000000003E-3</v>
      </c>
      <c r="O252">
        <f>VLOOKUP(A252,DB!A:I,6,FALSE)</f>
        <v>4.5399999999999998E-3</v>
      </c>
      <c r="P252">
        <f>VLOOKUP(A252,DB!A:I,7,FALSE)</f>
        <v>5.1999999999999995E-4</v>
      </c>
      <c r="Q252">
        <f>VLOOKUP(A252,DB!A:I,8,FALSE)</f>
        <v>0.55269999999999997</v>
      </c>
      <c r="R252">
        <f>VLOOKUP(A252,DB!A:I,9,FALSE)</f>
        <v>0.34279999999999999</v>
      </c>
      <c r="S252">
        <f>N252 *SQRT(H252)</f>
        <v>8.7641770862985187</v>
      </c>
      <c r="T252">
        <f>L252/N252</f>
        <v>80.474308300395251</v>
      </c>
    </row>
    <row r="253" spans="1:20" x14ac:dyDescent="0.25">
      <c r="A253" t="s">
        <v>1158</v>
      </c>
      <c r="B253" t="s">
        <v>568</v>
      </c>
      <c r="C253" s="4">
        <v>0.10015</v>
      </c>
      <c r="D253" s="4">
        <v>0.32300000000000001</v>
      </c>
      <c r="E253" s="4">
        <v>5.5468999999999997E-2</v>
      </c>
      <c r="F253" s="4">
        <v>0.497</v>
      </c>
      <c r="G253">
        <v>6.7799999999999996E-3</v>
      </c>
      <c r="H253">
        <f>VLOOKUP(A253,DB!A:I,2,FALSE)</f>
        <v>3000000</v>
      </c>
      <c r="I253">
        <f>VLOOKUP(A253,'RE@CD'!A:D,2,FALSE)</f>
        <v>850000</v>
      </c>
      <c r="J253">
        <f>VLOOKUP(A253,'RE@CD'!A:D,3,FALSE)</f>
        <v>125000</v>
      </c>
      <c r="K253">
        <f>VLOOKUP(A253,'RE@CD'!A:D,4,FALSE)</f>
        <v>125000</v>
      </c>
      <c r="L253">
        <f>VLOOKUP(A253,DB!A:I,3,FALSE)</f>
        <v>0.78480000000000005</v>
      </c>
      <c r="M253">
        <f>VLOOKUP(A253,DB!A:I,4,FALSE)</f>
        <v>-0.18160000000000001</v>
      </c>
      <c r="N253">
        <f>VLOOKUP(A253,DB!A:I,5,FALSE)</f>
        <v>5.0600000000000003E-3</v>
      </c>
      <c r="O253">
        <f>VLOOKUP(A253,DB!A:I,6,FALSE)</f>
        <v>4.2300000000000003E-3</v>
      </c>
      <c r="P253">
        <f>VLOOKUP(A253,DB!A:I,7,FALSE)</f>
        <v>8.3000000000000001E-4</v>
      </c>
      <c r="Q253">
        <f>VLOOKUP(A253,DB!A:I,8,FALSE)</f>
        <v>0.67049999999999998</v>
      </c>
      <c r="R253">
        <f>VLOOKUP(A253,DB!A:I,9,FALSE)</f>
        <v>0.25180000000000002</v>
      </c>
      <c r="S253">
        <f>N253 *SQRT(H253)</f>
        <v>8.7641770862985187</v>
      </c>
      <c r="T253">
        <f>L253/N253</f>
        <v>155.098814229249</v>
      </c>
    </row>
    <row r="254" spans="1:20" x14ac:dyDescent="0.25">
      <c r="A254" t="s">
        <v>1143</v>
      </c>
      <c r="B254" t="s">
        <v>554</v>
      </c>
      <c r="C254" s="4">
        <v>8.5111000000000006E-2</v>
      </c>
      <c r="D254" s="4">
        <v>0.24399999999999999</v>
      </c>
      <c r="E254" s="4">
        <v>1.4793000000000001E-2</v>
      </c>
      <c r="F254" s="4">
        <v>0.35399999999999998</v>
      </c>
      <c r="G254">
        <v>6.13E-3</v>
      </c>
      <c r="H254">
        <f>VLOOKUP(A254,DB!A:I,2,FALSE)</f>
        <v>1400000</v>
      </c>
      <c r="I254">
        <f>VLOOKUP(A254,'RE@CD'!A:D,2,FALSE)</f>
        <v>125000</v>
      </c>
      <c r="J254">
        <f>VLOOKUP(A254,'RE@CD'!A:D,3,FALSE)</f>
        <v>50000</v>
      </c>
      <c r="K254">
        <f>VLOOKUP(A254,'RE@CD'!A:D,4,FALSE)</f>
        <v>60000</v>
      </c>
      <c r="L254">
        <f>VLOOKUP(A254,DB!A:I,3,FALSE)</f>
        <v>0.188</v>
      </c>
      <c r="M254">
        <f>VLOOKUP(A254,DB!A:I,4,FALSE)</f>
        <v>-3.8100000000000002E-2</v>
      </c>
      <c r="N254">
        <f>VLOOKUP(A254,DB!A:I,5,FALSE)</f>
        <v>5.0499999999999998E-3</v>
      </c>
      <c r="O254">
        <f>VLOOKUP(A254,DB!A:I,6,FALSE)</f>
        <v>4.3600000000000002E-3</v>
      </c>
      <c r="P254">
        <f>VLOOKUP(A254,DB!A:I,7,FALSE)</f>
        <v>6.8999999999999997E-4</v>
      </c>
      <c r="Q254">
        <f>VLOOKUP(A254,DB!A:I,8,FALSE)</f>
        <v>0.55549999999999999</v>
      </c>
      <c r="R254">
        <f>VLOOKUP(A254,DB!A:I,9,FALSE)</f>
        <v>0.65510000000000002</v>
      </c>
      <c r="S254">
        <f>N254 *SQRT(H254)</f>
        <v>5.9752405809306115</v>
      </c>
      <c r="T254">
        <f>L254/N254</f>
        <v>37.227722772277232</v>
      </c>
    </row>
    <row r="255" spans="1:20" x14ac:dyDescent="0.25">
      <c r="A255" t="s">
        <v>797</v>
      </c>
      <c r="B255" t="s">
        <v>212</v>
      </c>
      <c r="C255" s="4">
        <v>0.189917</v>
      </c>
      <c r="D255" s="4">
        <v>0.4</v>
      </c>
      <c r="E255" s="4">
        <v>3.3174000000000002E-2</v>
      </c>
      <c r="F255" s="4">
        <v>0.38400000000000001</v>
      </c>
      <c r="G255">
        <v>9.8799999999999999E-3</v>
      </c>
      <c r="H255">
        <f>VLOOKUP(A255,DB!A:I,2,FALSE)</f>
        <v>3000000</v>
      </c>
      <c r="I255">
        <f>VLOOKUP(A255,'RE@CD'!A:D,2,FALSE)</f>
        <v>750000</v>
      </c>
      <c r="J255">
        <f>VLOOKUP(A255,'RE@CD'!A:D,3,FALSE)</f>
        <v>300000</v>
      </c>
      <c r="K255">
        <f>VLOOKUP(A255,'RE@CD'!A:D,4,FALSE)</f>
        <v>425000</v>
      </c>
      <c r="L255">
        <f>VLOOKUP(A255,DB!A:I,3,FALSE)</f>
        <v>0.4667</v>
      </c>
      <c r="M255">
        <f>VLOOKUP(A255,DB!A:I,4,FALSE)</f>
        <v>-9.5399999999999999E-2</v>
      </c>
      <c r="N255">
        <f>VLOOKUP(A255,DB!A:I,5,FALSE)</f>
        <v>5.0400000000000002E-3</v>
      </c>
      <c r="O255">
        <f>VLOOKUP(A255,DB!A:I,6,FALSE)</f>
        <v>3.7100000000000002E-3</v>
      </c>
      <c r="P255">
        <f>VLOOKUP(A255,DB!A:I,7,FALSE)</f>
        <v>1.33E-3</v>
      </c>
      <c r="Q255">
        <f>VLOOKUP(A255,DB!A:I,8,FALSE)</f>
        <v>0.56259999999999999</v>
      </c>
      <c r="R255">
        <f>VLOOKUP(A255,DB!A:I,9,FALSE)</f>
        <v>0.68959999999999999</v>
      </c>
      <c r="S255">
        <f>N255 *SQRT(H255)</f>
        <v>8.7295360701471409</v>
      </c>
      <c r="T255">
        <f>L255/N255</f>
        <v>92.599206349206341</v>
      </c>
    </row>
    <row r="256" spans="1:20" x14ac:dyDescent="0.25">
      <c r="A256" t="s">
        <v>950</v>
      </c>
      <c r="B256" t="s">
        <v>361</v>
      </c>
      <c r="C256" s="4">
        <v>0.12753999999999999</v>
      </c>
      <c r="D256" s="4">
        <v>0.33900000000000002</v>
      </c>
      <c r="E256" s="4">
        <v>3.7387999999999998E-2</v>
      </c>
      <c r="F256" s="4">
        <v>0.40200000000000002</v>
      </c>
      <c r="G256">
        <v>1.074E-2</v>
      </c>
      <c r="H256">
        <f>VLOOKUP(A256,DB!A:I,2,FALSE)</f>
        <v>2000000</v>
      </c>
      <c r="I256">
        <f>VLOOKUP(A256,'RE@CD'!A:D,2,FALSE)</f>
        <v>275000</v>
      </c>
      <c r="J256">
        <f>VLOOKUP(A256,'RE@CD'!A:D,3,FALSE)</f>
        <v>125000</v>
      </c>
      <c r="K256">
        <f>VLOOKUP(A256,'RE@CD'!A:D,4,FALSE)</f>
        <v>150000</v>
      </c>
      <c r="L256">
        <f>VLOOKUP(A256,DB!A:I,3,FALSE)</f>
        <v>0.39850000000000002</v>
      </c>
      <c r="M256">
        <f>VLOOKUP(A256,DB!A:I,4,FALSE)</f>
        <v>-8.1500000000000003E-2</v>
      </c>
      <c r="N256">
        <f>VLOOKUP(A256,DB!A:I,5,FALSE)</f>
        <v>5.0400000000000002E-3</v>
      </c>
      <c r="O256">
        <f>VLOOKUP(A256,DB!A:I,6,FALSE)</f>
        <v>4.1599999999999996E-3</v>
      </c>
      <c r="P256">
        <f>VLOOKUP(A256,DB!A:I,7,FALSE)</f>
        <v>8.8000000000000003E-4</v>
      </c>
      <c r="Q256">
        <f>VLOOKUP(A256,DB!A:I,8,FALSE)</f>
        <v>0.59379999999999999</v>
      </c>
      <c r="R256">
        <f>VLOOKUP(A256,DB!A:I,9,FALSE)</f>
        <v>0.58589999999999998</v>
      </c>
      <c r="S256">
        <f>N256 *SQRT(H256)</f>
        <v>7.1276363543603996</v>
      </c>
      <c r="T256">
        <f>L256/N256</f>
        <v>79.067460317460316</v>
      </c>
    </row>
    <row r="257" spans="1:20" x14ac:dyDescent="0.25">
      <c r="A257" t="s">
        <v>682</v>
      </c>
      <c r="B257" t="s">
        <v>97</v>
      </c>
      <c r="C257" s="4">
        <v>0.13487399999999999</v>
      </c>
      <c r="D257" s="4">
        <v>0.34200000000000003</v>
      </c>
      <c r="E257" s="4">
        <v>2.7882000000000001E-2</v>
      </c>
      <c r="F257" s="4">
        <v>0.44400000000000001</v>
      </c>
      <c r="G257">
        <v>7.2300000000000003E-3</v>
      </c>
      <c r="H257">
        <f>VLOOKUP(A257,DB!A:I,2,FALSE)</f>
        <v>3000000</v>
      </c>
      <c r="I257">
        <f>VLOOKUP(A257,'RE@CD'!A:D,2,FALSE)</f>
        <v>275000</v>
      </c>
      <c r="J257">
        <f>VLOOKUP(A257,'RE@CD'!A:D,3,FALSE)</f>
        <v>90000</v>
      </c>
      <c r="K257">
        <f>VLOOKUP(A257,'RE@CD'!A:D,4,FALSE)</f>
        <v>150000</v>
      </c>
      <c r="L257">
        <f>VLOOKUP(A257,DB!A:I,3,FALSE)</f>
        <v>0.3054</v>
      </c>
      <c r="M257">
        <f>VLOOKUP(A257,DB!A:I,4,FALSE)</f>
        <v>-6.3E-2</v>
      </c>
      <c r="N257">
        <f>VLOOKUP(A257,DB!A:I,5,FALSE)</f>
        <v>5.0299999999999997E-3</v>
      </c>
      <c r="O257">
        <f>VLOOKUP(A257,DB!A:I,6,FALSE)</f>
        <v>4.3200000000000001E-3</v>
      </c>
      <c r="P257">
        <f>VLOOKUP(A257,DB!A:I,7,FALSE)</f>
        <v>7.1000000000000002E-4</v>
      </c>
      <c r="Q257">
        <f>VLOOKUP(A257,DB!A:I,8,FALSE)</f>
        <v>0.54669999999999996</v>
      </c>
      <c r="R257">
        <f>VLOOKUP(A257,DB!A:I,9,FALSE)</f>
        <v>0.48399999999999999</v>
      </c>
      <c r="S257">
        <f>N257 *SQRT(H257)</f>
        <v>8.7122155620714512</v>
      </c>
      <c r="T257">
        <f>L257/N257</f>
        <v>60.715705765407556</v>
      </c>
    </row>
    <row r="258" spans="1:20" x14ac:dyDescent="0.25">
      <c r="A258" t="s">
        <v>877</v>
      </c>
      <c r="B258" t="s">
        <v>292</v>
      </c>
      <c r="C258" s="4">
        <v>0.18373600000000001</v>
      </c>
      <c r="D258" s="4">
        <v>0.37</v>
      </c>
      <c r="E258" s="4">
        <v>3.005E-2</v>
      </c>
      <c r="F258" s="4">
        <v>0.63</v>
      </c>
      <c r="G258">
        <v>1.5E-3</v>
      </c>
      <c r="H258">
        <f>VLOOKUP(A258,DB!A:I,2,FALSE)</f>
        <v>3000000</v>
      </c>
      <c r="I258">
        <f>VLOOKUP(A258,'RE@CD'!A:D,2,FALSE)</f>
        <v>575000</v>
      </c>
      <c r="J258">
        <f>VLOOKUP(A258,'RE@CD'!A:D,3,FALSE)</f>
        <v>225000</v>
      </c>
      <c r="K258">
        <f>VLOOKUP(A258,'RE@CD'!A:D,4,FALSE)</f>
        <v>325000</v>
      </c>
      <c r="L258">
        <f>VLOOKUP(A258,DB!A:I,3,FALSE)</f>
        <v>0.57279999999999998</v>
      </c>
      <c r="M258">
        <f>VLOOKUP(A258,DB!A:I,4,FALSE)</f>
        <v>-0.1295</v>
      </c>
      <c r="N258">
        <f>VLOOKUP(A258,DB!A:I,5,FALSE)</f>
        <v>5.0299999999999997E-3</v>
      </c>
      <c r="O258">
        <f>VLOOKUP(A258,DB!A:I,6,FALSE)</f>
        <v>3.9500000000000004E-3</v>
      </c>
      <c r="P258">
        <f>VLOOKUP(A258,DB!A:I,7,FALSE)</f>
        <v>1.08E-3</v>
      </c>
      <c r="Q258">
        <f>VLOOKUP(A258,DB!A:I,8,FALSE)</f>
        <v>0.58389999999999997</v>
      </c>
      <c r="R258">
        <f>VLOOKUP(A258,DB!A:I,9,FALSE)</f>
        <v>0.56610000000000005</v>
      </c>
      <c r="S258">
        <f>N258 *SQRT(H258)</f>
        <v>8.7122155620714512</v>
      </c>
      <c r="T258">
        <f>L258/N258</f>
        <v>113.87673956262425</v>
      </c>
    </row>
    <row r="259" spans="1:20" x14ac:dyDescent="0.25">
      <c r="A259" t="s">
        <v>1058</v>
      </c>
      <c r="B259" t="s">
        <v>469</v>
      </c>
      <c r="C259" s="4">
        <v>0.15588199999999999</v>
      </c>
      <c r="D259" s="4">
        <v>0.38200000000000001</v>
      </c>
      <c r="E259" s="4">
        <v>2.9399999999999999E-2</v>
      </c>
      <c r="F259" s="4">
        <v>0.46700000000000003</v>
      </c>
      <c r="G259">
        <v>8.1600000000000006E-3</v>
      </c>
      <c r="H259">
        <f>VLOOKUP(A259,DB!A:I,2,FALSE)</f>
        <v>3000000</v>
      </c>
      <c r="I259">
        <f>VLOOKUP(A259,'RE@CD'!A:D,2,FALSE)</f>
        <v>275000</v>
      </c>
      <c r="J259">
        <f>VLOOKUP(A259,'RE@CD'!A:D,3,FALSE)</f>
        <v>125000</v>
      </c>
      <c r="K259">
        <f>VLOOKUP(A259,'RE@CD'!A:D,4,FALSE)</f>
        <v>200000</v>
      </c>
      <c r="L259">
        <f>VLOOKUP(A259,DB!A:I,3,FALSE)</f>
        <v>0.39529999999999998</v>
      </c>
      <c r="M259">
        <f>VLOOKUP(A259,DB!A:I,4,FALSE)</f>
        <v>-8.0299999999999996E-2</v>
      </c>
      <c r="N259">
        <f>VLOOKUP(A259,DB!A:I,5,FALSE)</f>
        <v>5.0299999999999997E-3</v>
      </c>
      <c r="O259">
        <f>VLOOKUP(A259,DB!A:I,6,FALSE)</f>
        <v>4.0299999999999997E-3</v>
      </c>
      <c r="P259">
        <f>VLOOKUP(A259,DB!A:I,7,FALSE)</f>
        <v>1.01E-3</v>
      </c>
      <c r="Q259">
        <f>VLOOKUP(A259,DB!A:I,8,FALSE)</f>
        <v>0.61050000000000004</v>
      </c>
      <c r="R259">
        <f>VLOOKUP(A259,DB!A:I,9,FALSE)</f>
        <v>0.54620000000000002</v>
      </c>
      <c r="S259">
        <f>N259 *SQRT(H259)</f>
        <v>8.7122155620714512</v>
      </c>
      <c r="T259">
        <f>L259/N259</f>
        <v>78.588469184890656</v>
      </c>
    </row>
    <row r="260" spans="1:20" x14ac:dyDescent="0.25">
      <c r="A260" t="s">
        <v>1142</v>
      </c>
      <c r="B260" t="s">
        <v>553</v>
      </c>
      <c r="C260" s="4">
        <v>9.1878000000000001E-2</v>
      </c>
      <c r="D260" s="4">
        <v>0.309</v>
      </c>
      <c r="E260" s="4">
        <v>3.7352999999999997E-2</v>
      </c>
      <c r="F260" s="4">
        <v>0.4</v>
      </c>
      <c r="G260">
        <v>4.6499999999999996E-3</v>
      </c>
      <c r="H260">
        <f>VLOOKUP(A260,DB!A:I,2,FALSE)</f>
        <v>3000000</v>
      </c>
      <c r="I260">
        <f>VLOOKUP(A260,'RE@CD'!A:D,2,FALSE)</f>
        <v>200000</v>
      </c>
      <c r="J260">
        <f>VLOOKUP(A260,'RE@CD'!A:D,3,FALSE)</f>
        <v>90000</v>
      </c>
      <c r="K260">
        <f>VLOOKUP(A260,'RE@CD'!A:D,4,FALSE)</f>
        <v>125000</v>
      </c>
      <c r="L260">
        <f>VLOOKUP(A260,DB!A:I,3,FALSE)</f>
        <v>0.39660000000000001</v>
      </c>
      <c r="M260">
        <f>VLOOKUP(A260,DB!A:I,4,FALSE)</f>
        <v>-7.8600000000000003E-2</v>
      </c>
      <c r="N260">
        <f>VLOOKUP(A260,DB!A:I,5,FALSE)</f>
        <v>5.0200000000000002E-3</v>
      </c>
      <c r="O260">
        <f>VLOOKUP(A260,DB!A:I,6,FALSE)</f>
        <v>4.4900000000000001E-3</v>
      </c>
      <c r="P260">
        <f>VLOOKUP(A260,DB!A:I,7,FALSE)</f>
        <v>5.2999999999999998E-4</v>
      </c>
      <c r="Q260">
        <f>VLOOKUP(A260,DB!A:I,8,FALSE)</f>
        <v>0.57130000000000003</v>
      </c>
      <c r="R260">
        <f>VLOOKUP(A260,DB!A:I,9,FALSE)</f>
        <v>0.3332</v>
      </c>
      <c r="S260">
        <f>N260 *SQRT(H260)</f>
        <v>8.6948950539957632</v>
      </c>
      <c r="T260">
        <f>L260/N260</f>
        <v>79.003984063745023</v>
      </c>
    </row>
    <row r="261" spans="1:20" x14ac:dyDescent="0.25">
      <c r="A261" t="s">
        <v>1154</v>
      </c>
      <c r="B261" t="s">
        <v>564</v>
      </c>
      <c r="C261" s="4">
        <v>0.100007</v>
      </c>
      <c r="D261" s="4">
        <v>0.29299999999999998</v>
      </c>
      <c r="E261" s="4">
        <v>2.6374000000000002E-2</v>
      </c>
      <c r="F261" s="4">
        <v>0.39500000000000002</v>
      </c>
      <c r="G261">
        <v>8.5900000000000004E-3</v>
      </c>
      <c r="H261">
        <f>VLOOKUP(A261,DB!A:I,2,FALSE)</f>
        <v>1650000</v>
      </c>
      <c r="I261">
        <f>VLOOKUP(A261,'RE@CD'!A:D,2,FALSE)</f>
        <v>175000</v>
      </c>
      <c r="J261">
        <f>VLOOKUP(A261,'RE@CD'!A:D,3,FALSE)</f>
        <v>80000</v>
      </c>
      <c r="K261">
        <f>VLOOKUP(A261,'RE@CD'!A:D,4,FALSE)</f>
        <v>100000</v>
      </c>
      <c r="L261">
        <f>VLOOKUP(A261,DB!A:I,3,FALSE)</f>
        <v>0.31480000000000002</v>
      </c>
      <c r="M261">
        <f>VLOOKUP(A261,DB!A:I,4,FALSE)</f>
        <v>-6.2899999999999998E-2</v>
      </c>
      <c r="N261">
        <f>VLOOKUP(A261,DB!A:I,5,FALSE)</f>
        <v>5.0099999999999997E-3</v>
      </c>
      <c r="O261">
        <f>VLOOKUP(A261,DB!A:I,6,FALSE)</f>
        <v>4.2100000000000002E-3</v>
      </c>
      <c r="P261">
        <f>VLOOKUP(A261,DB!A:I,7,FALSE)</f>
        <v>8.0999999999999996E-4</v>
      </c>
      <c r="Q261">
        <f>VLOOKUP(A261,DB!A:I,8,FALSE)</f>
        <v>0.59160000000000001</v>
      </c>
      <c r="R261">
        <f>VLOOKUP(A261,DB!A:I,9,FALSE)</f>
        <v>0.60780000000000001</v>
      </c>
      <c r="S261">
        <f>N261 *SQRT(H261)</f>
        <v>6.4354615219112299</v>
      </c>
      <c r="T261">
        <f>L261/N261</f>
        <v>62.834331337325359</v>
      </c>
    </row>
    <row r="262" spans="1:20" x14ac:dyDescent="0.25">
      <c r="A262" t="s">
        <v>642</v>
      </c>
      <c r="B262" t="s">
        <v>57</v>
      </c>
      <c r="C262" s="4">
        <v>0.13096099999999999</v>
      </c>
      <c r="D262" s="4">
        <v>0.41299999999999998</v>
      </c>
      <c r="E262" s="4">
        <v>3.5959999999999999E-2</v>
      </c>
      <c r="F262" s="4">
        <v>0.40300000000000002</v>
      </c>
      <c r="G262">
        <v>7.6299999999999996E-3</v>
      </c>
      <c r="H262">
        <f>VLOOKUP(A262,DB!A:I,2,FALSE)</f>
        <v>1200000</v>
      </c>
      <c r="I262">
        <f>VLOOKUP(A262,'RE@CD'!A:D,2,FALSE)</f>
        <v>525000</v>
      </c>
      <c r="J262">
        <f>VLOOKUP(A262,'RE@CD'!A:D,3,FALSE)</f>
        <v>250000</v>
      </c>
      <c r="K262">
        <f>VLOOKUP(A262,'RE@CD'!A:D,4,FALSE)</f>
        <v>325000</v>
      </c>
      <c r="L262">
        <f>VLOOKUP(A262,DB!A:I,3,FALSE)</f>
        <v>0.17130000000000001</v>
      </c>
      <c r="M262">
        <f>VLOOKUP(A262,DB!A:I,4,FALSE)</f>
        <v>-1.5599999999999999E-2</v>
      </c>
      <c r="N262">
        <f>VLOOKUP(A262,DB!A:I,5,FALSE)</f>
        <v>5.0000000000000001E-3</v>
      </c>
      <c r="O262">
        <f>VLOOKUP(A262,DB!A:I,6,FALSE)</f>
        <v>3.48E-3</v>
      </c>
      <c r="P262">
        <f>VLOOKUP(A262,DB!A:I,7,FALSE)</f>
        <v>1.5200000000000001E-3</v>
      </c>
      <c r="Q262">
        <f>VLOOKUP(A262,DB!A:I,8,FALSE)</f>
        <v>0.70399999999999996</v>
      </c>
      <c r="R262">
        <f>VLOOKUP(A262,DB!A:I,9,FALSE)</f>
        <v>0.83169999999999999</v>
      </c>
      <c r="S262">
        <f>N262 *SQRT(H262)</f>
        <v>5.4772255750516612</v>
      </c>
      <c r="T262">
        <f>L262/N262</f>
        <v>34.26</v>
      </c>
    </row>
    <row r="263" spans="1:20" x14ac:dyDescent="0.25">
      <c r="A263" t="s">
        <v>748</v>
      </c>
      <c r="B263" t="s">
        <v>163</v>
      </c>
      <c r="C263" s="4">
        <v>0.15989100000000001</v>
      </c>
      <c r="D263" s="4">
        <v>0.374</v>
      </c>
      <c r="E263" s="4">
        <v>4.4415999999999997E-2</v>
      </c>
      <c r="F263" s="4">
        <v>0.374</v>
      </c>
      <c r="G263">
        <v>4.1700000000000001E-3</v>
      </c>
      <c r="H263">
        <f>VLOOKUP(A263,DB!A:I,2,FALSE)</f>
        <v>3000000</v>
      </c>
      <c r="I263">
        <f>VLOOKUP(A263,'RE@CD'!A:D,2,FALSE)</f>
        <v>500000</v>
      </c>
      <c r="J263">
        <f>VLOOKUP(A263,'RE@CD'!A:D,3,FALSE)</f>
        <v>150000</v>
      </c>
      <c r="K263">
        <f>VLOOKUP(A263,'RE@CD'!A:D,4,FALSE)</f>
        <v>250000</v>
      </c>
      <c r="L263">
        <f>VLOOKUP(A263,DB!A:I,3,FALSE)</f>
        <v>0.58660000000000001</v>
      </c>
      <c r="M263">
        <f>VLOOKUP(A263,DB!A:I,4,FALSE)</f>
        <v>-0.1192</v>
      </c>
      <c r="N263">
        <f>VLOOKUP(A263,DB!A:I,5,FALSE)</f>
        <v>4.9800000000000001E-3</v>
      </c>
      <c r="O263">
        <f>VLOOKUP(A263,DB!A:I,6,FALSE)</f>
        <v>3.8400000000000001E-3</v>
      </c>
      <c r="P263">
        <f>VLOOKUP(A263,DB!A:I,7,FALSE)</f>
        <v>1.14E-3</v>
      </c>
      <c r="Q263">
        <f>VLOOKUP(A263,DB!A:I,8,FALSE)</f>
        <v>0.54069999999999996</v>
      </c>
      <c r="R263">
        <f>VLOOKUP(A263,DB!A:I,9,FALSE)</f>
        <v>0.6825</v>
      </c>
      <c r="S263">
        <f>N263 *SQRT(H263)</f>
        <v>8.6256130216930078</v>
      </c>
      <c r="T263">
        <f>L263/N263</f>
        <v>117.79116465863454</v>
      </c>
    </row>
    <row r="264" spans="1:20" x14ac:dyDescent="0.25">
      <c r="A264" t="s">
        <v>798</v>
      </c>
      <c r="B264" t="s">
        <v>213</v>
      </c>
      <c r="C264" s="4">
        <v>0.18811</v>
      </c>
      <c r="D264" s="4">
        <v>0.41199999999999998</v>
      </c>
      <c r="E264" s="4">
        <v>3.3058999999999998E-2</v>
      </c>
      <c r="F264" s="4">
        <v>0.42299999999999999</v>
      </c>
      <c r="G264">
        <v>1.5399999999999999E-3</v>
      </c>
      <c r="H264">
        <f>VLOOKUP(A264,DB!A:I,2,FALSE)</f>
        <v>3000000</v>
      </c>
      <c r="I264">
        <f>VLOOKUP(A264,'RE@CD'!A:D,2,FALSE)</f>
        <v>550000</v>
      </c>
      <c r="J264">
        <f>VLOOKUP(A264,'RE@CD'!A:D,3,FALSE)</f>
        <v>225000</v>
      </c>
      <c r="K264">
        <f>VLOOKUP(A264,'RE@CD'!A:D,4,FALSE)</f>
        <v>325000</v>
      </c>
      <c r="L264">
        <f>VLOOKUP(A264,DB!A:I,3,FALSE)</f>
        <v>0.55169999999999997</v>
      </c>
      <c r="M264">
        <f>VLOOKUP(A264,DB!A:I,4,FALSE)</f>
        <v>-0.1232</v>
      </c>
      <c r="N264">
        <f>VLOOKUP(A264,DB!A:I,5,FALSE)</f>
        <v>4.9800000000000001E-3</v>
      </c>
      <c r="O264">
        <f>VLOOKUP(A264,DB!A:I,6,FALSE)</f>
        <v>3.79E-3</v>
      </c>
      <c r="P264">
        <f>VLOOKUP(A264,DB!A:I,7,FALSE)</f>
        <v>1.1900000000000001E-3</v>
      </c>
      <c r="Q264">
        <f>VLOOKUP(A264,DB!A:I,8,FALSE)</f>
        <v>0.60019999999999996</v>
      </c>
      <c r="R264">
        <f>VLOOKUP(A264,DB!A:I,9,FALSE)</f>
        <v>0.6159</v>
      </c>
      <c r="S264">
        <f>N264 *SQRT(H264)</f>
        <v>8.6256130216930078</v>
      </c>
      <c r="T264">
        <f>L264/N264</f>
        <v>110.78313253012047</v>
      </c>
    </row>
    <row r="265" spans="1:20" x14ac:dyDescent="0.25">
      <c r="A265" t="s">
        <v>854</v>
      </c>
      <c r="B265" t="s">
        <v>269</v>
      </c>
      <c r="C265" s="4">
        <v>0.11990000000000001</v>
      </c>
      <c r="D265" s="4">
        <v>0.28699999999999998</v>
      </c>
      <c r="E265" s="4">
        <v>1.9883000000000001E-2</v>
      </c>
      <c r="F265" s="4">
        <v>0.25900000000000001</v>
      </c>
      <c r="G265">
        <v>7.8600000000000007E-3</v>
      </c>
      <c r="H265">
        <f>VLOOKUP(A265,DB!A:I,2,FALSE)</f>
        <v>2500000</v>
      </c>
      <c r="I265">
        <f>VLOOKUP(A265,'RE@CD'!A:D,2,FALSE)</f>
        <v>275000</v>
      </c>
      <c r="J265">
        <f>VLOOKUP(A265,'RE@CD'!A:D,3,FALSE)</f>
        <v>70000</v>
      </c>
      <c r="K265">
        <f>VLOOKUP(A265,'RE@CD'!A:D,4,FALSE)</f>
        <v>125000</v>
      </c>
      <c r="L265">
        <f>VLOOKUP(A265,DB!A:I,3,FALSE)</f>
        <v>8.3699999999999997E-2</v>
      </c>
      <c r="M265">
        <f>VLOOKUP(A265,DB!A:I,4,FALSE)</f>
        <v>1.6999999999999999E-3</v>
      </c>
      <c r="N265">
        <f>VLOOKUP(A265,DB!A:I,5,FALSE)</f>
        <v>4.9800000000000001E-3</v>
      </c>
      <c r="O265">
        <f>VLOOKUP(A265,DB!A:I,6,FALSE)</f>
        <v>4.2700000000000004E-3</v>
      </c>
      <c r="P265">
        <f>VLOOKUP(A265,DB!A:I,7,FALSE)</f>
        <v>7.1000000000000002E-4</v>
      </c>
      <c r="Q265">
        <f>VLOOKUP(A265,DB!A:I,8,FALSE)</f>
        <v>0.42730000000000001</v>
      </c>
      <c r="R265">
        <f>VLOOKUP(A265,DB!A:I,9,FALSE)</f>
        <v>0.66490000000000005</v>
      </c>
      <c r="S265">
        <f>N265 *SQRT(H265)</f>
        <v>7.8740713738192651</v>
      </c>
      <c r="T265">
        <f>L265/N265</f>
        <v>16.807228915662648</v>
      </c>
    </row>
    <row r="266" spans="1:20" x14ac:dyDescent="0.25">
      <c r="A266" t="s">
        <v>1151</v>
      </c>
      <c r="B266" t="s">
        <v>561</v>
      </c>
      <c r="C266" s="4">
        <v>9.9904000000000007E-2</v>
      </c>
      <c r="D266" s="4">
        <v>0.29299999999999998</v>
      </c>
      <c r="E266" s="4">
        <v>1.8717999999999999E-2</v>
      </c>
      <c r="F266" s="4">
        <v>0.38700000000000001</v>
      </c>
      <c r="G266">
        <v>8.1499999999999993E-3</v>
      </c>
      <c r="H266">
        <f>VLOOKUP(A266,DB!A:I,2,FALSE)</f>
        <v>1650000</v>
      </c>
      <c r="I266">
        <f>VLOOKUP(A266,'RE@CD'!A:D,2,FALSE)</f>
        <v>175000</v>
      </c>
      <c r="J266">
        <f>VLOOKUP(A266,'RE@CD'!A:D,3,FALSE)</f>
        <v>50000</v>
      </c>
      <c r="K266">
        <f>VLOOKUP(A266,'RE@CD'!A:D,4,FALSE)</f>
        <v>100000</v>
      </c>
      <c r="L266">
        <f>VLOOKUP(A266,DB!A:I,3,FALSE)</f>
        <v>0.23089999999999999</v>
      </c>
      <c r="M266">
        <f>VLOOKUP(A266,DB!A:I,4,FALSE)</f>
        <v>-4.7E-2</v>
      </c>
      <c r="N266">
        <f>VLOOKUP(A266,DB!A:I,5,FALSE)</f>
        <v>4.9800000000000001E-3</v>
      </c>
      <c r="O266">
        <f>VLOOKUP(A266,DB!A:I,6,FALSE)</f>
        <v>4.2300000000000003E-3</v>
      </c>
      <c r="P266">
        <f>VLOOKUP(A266,DB!A:I,7,FALSE)</f>
        <v>7.6000000000000004E-4</v>
      </c>
      <c r="Q266">
        <f>VLOOKUP(A266,DB!A:I,8,FALSE)</f>
        <v>0.57620000000000005</v>
      </c>
      <c r="R266">
        <f>VLOOKUP(A266,DB!A:I,9,FALSE)</f>
        <v>0.6462</v>
      </c>
      <c r="S266">
        <f>N266 *SQRT(H266)</f>
        <v>6.3969258241752343</v>
      </c>
      <c r="T266">
        <f>L266/N266</f>
        <v>46.365461847389554</v>
      </c>
    </row>
    <row r="267" spans="1:20" x14ac:dyDescent="0.25">
      <c r="A267" t="s">
        <v>1161</v>
      </c>
      <c r="B267" t="s">
        <v>571</v>
      </c>
      <c r="C267" s="4">
        <v>0.15998899999999999</v>
      </c>
      <c r="D267" s="4">
        <v>0.36299999999999999</v>
      </c>
      <c r="E267" s="4">
        <v>3.3196999999999997E-2</v>
      </c>
      <c r="F267" s="4">
        <v>0.60299999999999998</v>
      </c>
      <c r="G267">
        <v>1.077E-2</v>
      </c>
      <c r="H267">
        <f>VLOOKUP(A267,DB!A:I,2,FALSE)</f>
        <v>3000000</v>
      </c>
      <c r="I267">
        <f>VLOOKUP(A267,'RE@CD'!A:D,2,FALSE)</f>
        <v>400000</v>
      </c>
      <c r="J267">
        <f>VLOOKUP(A267,'RE@CD'!A:D,3,FALSE)</f>
        <v>175000</v>
      </c>
      <c r="K267">
        <f>VLOOKUP(A267,'RE@CD'!A:D,4,FALSE)</f>
        <v>225000</v>
      </c>
      <c r="L267">
        <f>VLOOKUP(A267,DB!A:I,3,FALSE)</f>
        <v>0.57130000000000003</v>
      </c>
      <c r="M267">
        <f>VLOOKUP(A267,DB!A:I,4,FALSE)</f>
        <v>-0.12790000000000001</v>
      </c>
      <c r="N267">
        <f>VLOOKUP(A267,DB!A:I,5,FALSE)</f>
        <v>4.9800000000000001E-3</v>
      </c>
      <c r="O267">
        <f>VLOOKUP(A267,DB!A:I,6,FALSE)</f>
        <v>3.8899999999999998E-3</v>
      </c>
      <c r="P267">
        <f>VLOOKUP(A267,DB!A:I,7,FALSE)</f>
        <v>1.09E-3</v>
      </c>
      <c r="Q267">
        <f>VLOOKUP(A267,DB!A:I,8,FALSE)</f>
        <v>0.58960000000000001</v>
      </c>
      <c r="R267">
        <f>VLOOKUP(A267,DB!A:I,9,FALSE)</f>
        <v>0.56940000000000002</v>
      </c>
      <c r="S267">
        <f>N267 *SQRT(H267)</f>
        <v>8.6256130216930078</v>
      </c>
      <c r="T267">
        <f>L267/N267</f>
        <v>114.71887550200803</v>
      </c>
    </row>
    <row r="268" spans="1:20" x14ac:dyDescent="0.25">
      <c r="A268" t="s">
        <v>1130</v>
      </c>
      <c r="B268" t="s">
        <v>541</v>
      </c>
      <c r="C268" s="4">
        <v>9.5000000000000001E-2</v>
      </c>
      <c r="D268" s="4">
        <v>0.27300000000000002</v>
      </c>
      <c r="E268" s="4">
        <v>0</v>
      </c>
      <c r="F268" s="4">
        <v>0.626</v>
      </c>
      <c r="G268">
        <v>6.62E-3</v>
      </c>
      <c r="H268">
        <f>VLOOKUP(A268,DB!A:I,2,FALSE)</f>
        <v>1300000</v>
      </c>
      <c r="I268">
        <f>VLOOKUP(A268,'RE@CD'!A:D,2,FALSE)</f>
        <v>175000</v>
      </c>
      <c r="J268">
        <f>VLOOKUP(A268,'RE@CD'!A:D,3,FALSE)</f>
        <v>50000</v>
      </c>
      <c r="K268">
        <f>VLOOKUP(A268,'RE@CD'!A:D,4,FALSE)</f>
        <v>60000</v>
      </c>
      <c r="L268">
        <f>VLOOKUP(A268,DB!A:I,3,FALSE)</f>
        <v>0</v>
      </c>
      <c r="M268">
        <f>VLOOKUP(A268,DB!A:I,4,FALSE)</f>
        <v>0</v>
      </c>
      <c r="N268">
        <f>VLOOKUP(A268,DB!A:I,5,FALSE)</f>
        <v>4.9699999999999996E-3</v>
      </c>
      <c r="O268">
        <f>VLOOKUP(A268,DB!A:I,6,FALSE)</f>
        <v>4.2399999999999998E-3</v>
      </c>
      <c r="P268">
        <f>VLOOKUP(A268,DB!A:I,7,FALSE)</f>
        <v>7.2999999999999996E-4</v>
      </c>
      <c r="Q268">
        <f>VLOOKUP(A268,DB!A:I,8,FALSE)</f>
        <v>0.63500000000000001</v>
      </c>
      <c r="R268">
        <f>VLOOKUP(A268,DB!A:I,9,FALSE)</f>
        <v>0.63500000000000001</v>
      </c>
      <c r="S268">
        <f>N268 *SQRT(H268)</f>
        <v>5.6666718627427155</v>
      </c>
      <c r="T268">
        <f>L268/N268</f>
        <v>0</v>
      </c>
    </row>
    <row r="269" spans="1:20" x14ac:dyDescent="0.25">
      <c r="A269" t="s">
        <v>1155</v>
      </c>
      <c r="B269" t="s">
        <v>565</v>
      </c>
      <c r="C269" s="4">
        <v>0.16001599999999999</v>
      </c>
      <c r="D269" s="4">
        <v>0.35299999999999998</v>
      </c>
      <c r="E269" s="4">
        <v>2.5156000000000001E-2</v>
      </c>
      <c r="F269" s="4">
        <v>0.58199999999999996</v>
      </c>
      <c r="G269">
        <v>1.2279999999999999E-2</v>
      </c>
      <c r="H269">
        <f>VLOOKUP(A269,DB!A:I,2,FALSE)</f>
        <v>3000000</v>
      </c>
      <c r="I269">
        <f>VLOOKUP(A269,'RE@CD'!A:D,2,FALSE)</f>
        <v>350000</v>
      </c>
      <c r="J269">
        <f>VLOOKUP(A269,'RE@CD'!A:D,3,FALSE)</f>
        <v>150000</v>
      </c>
      <c r="K269">
        <f>VLOOKUP(A269,'RE@CD'!A:D,4,FALSE)</f>
        <v>200000</v>
      </c>
      <c r="L269">
        <f>VLOOKUP(A269,DB!A:I,3,FALSE)</f>
        <v>0.40910000000000002</v>
      </c>
      <c r="M269">
        <f>VLOOKUP(A269,DB!A:I,4,FALSE)</f>
        <v>-9.5200000000000007E-2</v>
      </c>
      <c r="N269">
        <f>VLOOKUP(A269,DB!A:I,5,FALSE)</f>
        <v>4.9699999999999996E-3</v>
      </c>
      <c r="O269">
        <f>VLOOKUP(A269,DB!A:I,6,FALSE)</f>
        <v>4.0400000000000002E-3</v>
      </c>
      <c r="P269">
        <f>VLOOKUP(A269,DB!A:I,7,FALSE)</f>
        <v>9.3999999999999997E-4</v>
      </c>
      <c r="Q269">
        <f>VLOOKUP(A269,DB!A:I,8,FALSE)</f>
        <v>0.56110000000000004</v>
      </c>
      <c r="R269">
        <f>VLOOKUP(A269,DB!A:I,9,FALSE)</f>
        <v>0.56699999999999995</v>
      </c>
      <c r="S269">
        <f>N269 *SQRT(H269)</f>
        <v>8.6082925136173181</v>
      </c>
      <c r="T269">
        <f>L269/N269</f>
        <v>82.313883299798803</v>
      </c>
    </row>
    <row r="270" spans="1:20" x14ac:dyDescent="0.25">
      <c r="A270" t="s">
        <v>681</v>
      </c>
      <c r="B270" t="s">
        <v>96</v>
      </c>
      <c r="C270" s="4">
        <v>0.118218</v>
      </c>
      <c r="D270" s="4">
        <v>0.34100000000000003</v>
      </c>
      <c r="E270" s="4">
        <v>3.1551999999999997E-2</v>
      </c>
      <c r="F270" s="4">
        <v>0.442</v>
      </c>
      <c r="G270">
        <v>6.13E-3</v>
      </c>
      <c r="H270">
        <f>VLOOKUP(A270,DB!A:I,2,FALSE)</f>
        <v>3000000</v>
      </c>
      <c r="I270">
        <f>VLOOKUP(A270,'RE@CD'!A:D,2,FALSE)</f>
        <v>225000</v>
      </c>
      <c r="J270">
        <f>VLOOKUP(A270,'RE@CD'!A:D,3,FALSE)</f>
        <v>90000</v>
      </c>
      <c r="K270">
        <f>VLOOKUP(A270,'RE@CD'!A:D,4,FALSE)</f>
        <v>125000</v>
      </c>
      <c r="L270">
        <f>VLOOKUP(A270,DB!A:I,3,FALSE)</f>
        <v>0.34360000000000002</v>
      </c>
      <c r="M270">
        <f>VLOOKUP(A270,DB!A:I,4,FALSE)</f>
        <v>-7.0499999999999993E-2</v>
      </c>
      <c r="N270">
        <f>VLOOKUP(A270,DB!A:I,5,FALSE)</f>
        <v>4.96E-3</v>
      </c>
      <c r="O270">
        <f>VLOOKUP(A270,DB!A:I,6,FALSE)</f>
        <v>4.3099999999999996E-3</v>
      </c>
      <c r="P270">
        <f>VLOOKUP(A270,DB!A:I,7,FALSE)</f>
        <v>6.4999999999999997E-4</v>
      </c>
      <c r="Q270">
        <f>VLOOKUP(A270,DB!A:I,8,FALSE)</f>
        <v>0.54930000000000001</v>
      </c>
      <c r="R270">
        <f>VLOOKUP(A270,DB!A:I,9,FALSE)</f>
        <v>0.4788</v>
      </c>
      <c r="S270">
        <f>N270 *SQRT(H270)</f>
        <v>8.5909720055416301</v>
      </c>
      <c r="T270">
        <f>L270/N270</f>
        <v>69.274193548387103</v>
      </c>
    </row>
    <row r="271" spans="1:20" x14ac:dyDescent="0.25">
      <c r="A271" t="s">
        <v>683</v>
      </c>
      <c r="B271" t="s">
        <v>98</v>
      </c>
      <c r="C271" s="4">
        <v>0.118795</v>
      </c>
      <c r="D271" s="4">
        <v>0.33800000000000002</v>
      </c>
      <c r="E271" s="4">
        <v>3.0681E-2</v>
      </c>
      <c r="F271" s="4">
        <v>0.44600000000000001</v>
      </c>
      <c r="G271">
        <v>6.2399999999999999E-3</v>
      </c>
      <c r="H271">
        <f>VLOOKUP(A271,DB!A:I,2,FALSE)</f>
        <v>3000000</v>
      </c>
      <c r="I271">
        <f>VLOOKUP(A271,'RE@CD'!A:D,2,FALSE)</f>
        <v>225000</v>
      </c>
      <c r="J271">
        <f>VLOOKUP(A271,'RE@CD'!A:D,3,FALSE)</f>
        <v>80000</v>
      </c>
      <c r="K271">
        <f>VLOOKUP(A271,'RE@CD'!A:D,4,FALSE)</f>
        <v>125000</v>
      </c>
      <c r="L271">
        <f>VLOOKUP(A271,DB!A:I,3,FALSE)</f>
        <v>0.37059999999999998</v>
      </c>
      <c r="M271">
        <f>VLOOKUP(A271,DB!A:I,4,FALSE)</f>
        <v>-8.0500000000000002E-2</v>
      </c>
      <c r="N271">
        <f>VLOOKUP(A271,DB!A:I,5,FALSE)</f>
        <v>4.96E-3</v>
      </c>
      <c r="O271">
        <f>VLOOKUP(A271,DB!A:I,6,FALSE)</f>
        <v>4.3E-3</v>
      </c>
      <c r="P271">
        <f>VLOOKUP(A271,DB!A:I,7,FALSE)</f>
        <v>6.6E-4</v>
      </c>
      <c r="Q271">
        <f>VLOOKUP(A271,DB!A:I,8,FALSE)</f>
        <v>0.55259999999999998</v>
      </c>
      <c r="R271">
        <f>VLOOKUP(A271,DB!A:I,9,FALSE)</f>
        <v>0.47810000000000002</v>
      </c>
      <c r="S271">
        <f>N271 *SQRT(H271)</f>
        <v>8.5909720055416301</v>
      </c>
      <c r="T271">
        <f>L271/N271</f>
        <v>74.717741935483872</v>
      </c>
    </row>
    <row r="272" spans="1:20" x14ac:dyDescent="0.25">
      <c r="A272" t="s">
        <v>769</v>
      </c>
      <c r="B272" t="s">
        <v>184</v>
      </c>
      <c r="C272" s="4">
        <v>0.16276099999999999</v>
      </c>
      <c r="D272" s="4">
        <v>0.39</v>
      </c>
      <c r="E272" s="4">
        <v>1.7656000000000002E-2</v>
      </c>
      <c r="F272" s="4">
        <v>0.26200000000000001</v>
      </c>
      <c r="G272">
        <v>1.6999999999999999E-3</v>
      </c>
      <c r="H272">
        <f>VLOOKUP(A272,DB!A:I,2,FALSE)</f>
        <v>3000000</v>
      </c>
      <c r="I272">
        <f>VLOOKUP(A272,'RE@CD'!A:D,2,FALSE)</f>
        <v>500000</v>
      </c>
      <c r="J272">
        <f>VLOOKUP(A272,'RE@CD'!A:D,3,FALSE)</f>
        <v>200000</v>
      </c>
      <c r="K272">
        <f>VLOOKUP(A272,'RE@CD'!A:D,4,FALSE)</f>
        <v>275000</v>
      </c>
      <c r="L272">
        <f>VLOOKUP(A272,DB!A:I,3,FALSE)</f>
        <v>0.26219999999999999</v>
      </c>
      <c r="M272">
        <f>VLOOKUP(A272,DB!A:I,4,FALSE)</f>
        <v>-5.1700000000000003E-2</v>
      </c>
      <c r="N272">
        <f>VLOOKUP(A272,DB!A:I,5,FALSE)</f>
        <v>4.96E-3</v>
      </c>
      <c r="O272">
        <f>VLOOKUP(A272,DB!A:I,6,FALSE)</f>
        <v>3.9699999999999996E-3</v>
      </c>
      <c r="P272">
        <f>VLOOKUP(A272,DB!A:I,7,FALSE)</f>
        <v>9.8999999999999999E-4</v>
      </c>
      <c r="Q272">
        <f>VLOOKUP(A272,DB!A:I,8,FALSE)</f>
        <v>0.52890000000000004</v>
      </c>
      <c r="R272">
        <f>VLOOKUP(A272,DB!A:I,9,FALSE)</f>
        <v>0.66369999999999996</v>
      </c>
      <c r="S272">
        <f>N272 *SQRT(H272)</f>
        <v>8.5909720055416301</v>
      </c>
      <c r="T272">
        <f>L272/N272</f>
        <v>52.862903225806448</v>
      </c>
    </row>
    <row r="273" spans="1:20" x14ac:dyDescent="0.25">
      <c r="A273" t="s">
        <v>1035</v>
      </c>
      <c r="B273" t="s">
        <v>446</v>
      </c>
      <c r="C273" s="4">
        <v>9.6922999999999995E-2</v>
      </c>
      <c r="D273" s="4">
        <v>0.316</v>
      </c>
      <c r="E273" s="4">
        <v>3.9170000000000003E-2</v>
      </c>
      <c r="F273" s="4">
        <v>0.45300000000000001</v>
      </c>
      <c r="G273">
        <v>2.15E-3</v>
      </c>
      <c r="H273">
        <f>VLOOKUP(A273,DB!A:I,2,FALSE)</f>
        <v>2900000</v>
      </c>
      <c r="I273">
        <f>VLOOKUP(A273,'RE@CD'!A:D,2,FALSE)</f>
        <v>225000</v>
      </c>
      <c r="J273">
        <f>VLOOKUP(A273,'RE@CD'!A:D,3,FALSE)</f>
        <v>90000</v>
      </c>
      <c r="K273">
        <f>VLOOKUP(A273,'RE@CD'!A:D,4,FALSE)</f>
        <v>125000</v>
      </c>
      <c r="L273">
        <f>VLOOKUP(A273,DB!A:I,3,FALSE)</f>
        <v>0.44030000000000002</v>
      </c>
      <c r="M273">
        <f>VLOOKUP(A273,DB!A:I,4,FALSE)</f>
        <v>-9.4799999999999995E-2</v>
      </c>
      <c r="N273">
        <f>VLOOKUP(A273,DB!A:I,5,FALSE)</f>
        <v>4.96E-3</v>
      </c>
      <c r="O273">
        <f>VLOOKUP(A273,DB!A:I,6,FALSE)</f>
        <v>4.45E-3</v>
      </c>
      <c r="P273">
        <f>VLOOKUP(A273,DB!A:I,7,FALSE)</f>
        <v>5.1000000000000004E-4</v>
      </c>
      <c r="Q273">
        <f>VLOOKUP(A273,DB!A:I,8,FALSE)</f>
        <v>0.59660000000000002</v>
      </c>
      <c r="R273">
        <f>VLOOKUP(A273,DB!A:I,9,FALSE)</f>
        <v>0.33979999999999999</v>
      </c>
      <c r="S273">
        <f>N273 *SQRT(H273)</f>
        <v>8.4465756374994942</v>
      </c>
      <c r="T273">
        <f>L273/N273</f>
        <v>88.770161290322591</v>
      </c>
    </row>
    <row r="274" spans="1:20" x14ac:dyDescent="0.25">
      <c r="A274" t="s">
        <v>994</v>
      </c>
      <c r="B274" t="s">
        <v>405</v>
      </c>
      <c r="C274" s="4">
        <v>8.9790999999999996E-2</v>
      </c>
      <c r="D274" s="4">
        <v>0.35</v>
      </c>
      <c r="E274" s="4">
        <v>2.9478000000000001E-2</v>
      </c>
      <c r="F274" s="4">
        <v>0.5</v>
      </c>
      <c r="G274">
        <v>2.1700000000000001E-3</v>
      </c>
      <c r="H274">
        <f>VLOOKUP(A274,DB!A:I,2,FALSE)</f>
        <v>1300000</v>
      </c>
      <c r="I274">
        <f>VLOOKUP(A274,'RE@CD'!A:D,2,FALSE)</f>
        <v>200000</v>
      </c>
      <c r="J274">
        <f>VLOOKUP(A274,'RE@CD'!A:D,3,FALSE)</f>
        <v>70000</v>
      </c>
      <c r="K274">
        <f>VLOOKUP(A274,'RE@CD'!A:D,4,FALSE)</f>
        <v>125000</v>
      </c>
      <c r="L274">
        <f>VLOOKUP(A274,DB!A:I,3,FALSE)</f>
        <v>0.41909999999999997</v>
      </c>
      <c r="M274">
        <f>VLOOKUP(A274,DB!A:I,4,FALSE)</f>
        <v>-9.1600000000000001E-2</v>
      </c>
      <c r="N274">
        <f>VLOOKUP(A274,DB!A:I,5,FALSE)</f>
        <v>4.9500000000000004E-3</v>
      </c>
      <c r="O274">
        <f>VLOOKUP(A274,DB!A:I,6,FALSE)</f>
        <v>4.2700000000000004E-3</v>
      </c>
      <c r="P274">
        <f>VLOOKUP(A274,DB!A:I,7,FALSE)</f>
        <v>6.8000000000000005E-4</v>
      </c>
      <c r="Q274">
        <f>VLOOKUP(A274,DB!A:I,8,FALSE)</f>
        <v>0.72370000000000001</v>
      </c>
      <c r="R274">
        <f>VLOOKUP(A274,DB!A:I,9,FALSE)</f>
        <v>0.5514</v>
      </c>
      <c r="S274">
        <f>N274 *SQRT(H274)</f>
        <v>5.643868354240734</v>
      </c>
      <c r="T274">
        <f>L274/N274</f>
        <v>84.666666666666657</v>
      </c>
    </row>
    <row r="275" spans="1:20" x14ac:dyDescent="0.25">
      <c r="A275" t="s">
        <v>1126</v>
      </c>
      <c r="B275" t="s">
        <v>537</v>
      </c>
      <c r="C275" s="4">
        <v>0.16006100000000001</v>
      </c>
      <c r="D275" s="4">
        <v>0.34</v>
      </c>
      <c r="E275" s="4">
        <v>2.6525E-2</v>
      </c>
      <c r="F275" s="4">
        <v>0.34</v>
      </c>
      <c r="G275">
        <v>9.4900000000000002E-3</v>
      </c>
      <c r="H275">
        <f>VLOOKUP(A275,DB!A:I,2,FALSE)</f>
        <v>3000000</v>
      </c>
      <c r="I275">
        <f>VLOOKUP(A275,'RE@CD'!A:D,2,FALSE)</f>
        <v>325000</v>
      </c>
      <c r="J275">
        <f>VLOOKUP(A275,'RE@CD'!A:D,3,FALSE)</f>
        <v>125000</v>
      </c>
      <c r="K275">
        <f>VLOOKUP(A275,'RE@CD'!A:D,4,FALSE)</f>
        <v>175000</v>
      </c>
      <c r="L275">
        <f>VLOOKUP(A275,DB!A:I,3,FALSE)</f>
        <v>0.23280000000000001</v>
      </c>
      <c r="M275">
        <f>VLOOKUP(A275,DB!A:I,4,FALSE)</f>
        <v>-3.4099999999999998E-2</v>
      </c>
      <c r="N275">
        <f>VLOOKUP(A275,DB!A:I,5,FALSE)</f>
        <v>4.9500000000000004E-3</v>
      </c>
      <c r="O275">
        <f>VLOOKUP(A275,DB!A:I,6,FALSE)</f>
        <v>4.0299999999999997E-3</v>
      </c>
      <c r="P275">
        <f>VLOOKUP(A275,DB!A:I,7,FALSE)</f>
        <v>9.2000000000000003E-4</v>
      </c>
      <c r="Q275">
        <f>VLOOKUP(A275,DB!A:I,8,FALSE)</f>
        <v>0.54</v>
      </c>
      <c r="R275">
        <f>VLOOKUP(A275,DB!A:I,9,FALSE)</f>
        <v>0.60550000000000004</v>
      </c>
      <c r="S275">
        <f>N275 *SQRT(H275)</f>
        <v>8.5736514974659421</v>
      </c>
      <c r="T275">
        <f>L275/N275</f>
        <v>47.030303030303031</v>
      </c>
    </row>
    <row r="276" spans="1:20" x14ac:dyDescent="0.25">
      <c r="A276" t="s">
        <v>705</v>
      </c>
      <c r="B276" t="s">
        <v>120</v>
      </c>
      <c r="C276" s="4">
        <v>0.13347400000000001</v>
      </c>
      <c r="D276" s="4">
        <v>0.32600000000000001</v>
      </c>
      <c r="E276" s="4">
        <v>3.0471999999999999E-2</v>
      </c>
      <c r="F276" s="4">
        <v>0.24199999999999999</v>
      </c>
      <c r="G276">
        <v>2.9299999999999999E-3</v>
      </c>
      <c r="H276">
        <f>VLOOKUP(A276,DB!A:I,2,FALSE)</f>
        <v>2800000</v>
      </c>
      <c r="I276">
        <f>VLOOKUP(A276,'RE@CD'!A:D,2,FALSE)</f>
        <v>475000</v>
      </c>
      <c r="J276">
        <f>VLOOKUP(A276,'RE@CD'!A:D,3,FALSE)</f>
        <v>90000</v>
      </c>
      <c r="K276">
        <f>VLOOKUP(A276,'RE@CD'!A:D,4,FALSE)</f>
        <v>250000</v>
      </c>
      <c r="L276">
        <f>VLOOKUP(A276,DB!A:I,3,FALSE)</f>
        <v>0.192</v>
      </c>
      <c r="M276">
        <f>VLOOKUP(A276,DB!A:I,4,FALSE)</f>
        <v>-1.17E-2</v>
      </c>
      <c r="N276">
        <f>VLOOKUP(A276,DB!A:I,5,FALSE)</f>
        <v>4.9399999999999999E-3</v>
      </c>
      <c r="O276">
        <f>VLOOKUP(A276,DB!A:I,6,FALSE)</f>
        <v>4.0299999999999997E-3</v>
      </c>
      <c r="P276">
        <f>VLOOKUP(A276,DB!A:I,7,FALSE)</f>
        <v>9.1E-4</v>
      </c>
      <c r="Q276">
        <f>VLOOKUP(A276,DB!A:I,8,FALSE)</f>
        <v>0.39460000000000001</v>
      </c>
      <c r="R276">
        <f>VLOOKUP(A276,DB!A:I,9,FALSE)</f>
        <v>0.76160000000000005</v>
      </c>
      <c r="S276">
        <f>N276 *SQRT(H276)</f>
        <v>8.2662010621566662</v>
      </c>
      <c r="T276">
        <f>L276/N276</f>
        <v>38.866396761133608</v>
      </c>
    </row>
    <row r="277" spans="1:20" x14ac:dyDescent="0.25">
      <c r="A277" t="s">
        <v>732</v>
      </c>
      <c r="B277" t="s">
        <v>147</v>
      </c>
      <c r="C277" s="4">
        <v>0.11530899999999999</v>
      </c>
      <c r="D277" s="4">
        <v>0.32300000000000001</v>
      </c>
      <c r="E277" s="4">
        <v>4.0037999999999997E-2</v>
      </c>
      <c r="F277" s="4">
        <v>0.47699999999999998</v>
      </c>
      <c r="G277">
        <v>1.16E-3</v>
      </c>
      <c r="H277">
        <f>VLOOKUP(A277,DB!A:I,2,FALSE)</f>
        <v>3000000</v>
      </c>
      <c r="I277">
        <f>VLOOKUP(A277,'RE@CD'!A:D,2,FALSE)</f>
        <v>250000</v>
      </c>
      <c r="J277">
        <f>VLOOKUP(A277,'RE@CD'!A:D,3,FALSE)</f>
        <v>90000</v>
      </c>
      <c r="K277">
        <f>VLOOKUP(A277,'RE@CD'!A:D,4,FALSE)</f>
        <v>125000</v>
      </c>
      <c r="L277">
        <f>VLOOKUP(A277,DB!A:I,3,FALSE)</f>
        <v>0.55359999999999998</v>
      </c>
      <c r="M277">
        <f>VLOOKUP(A277,DB!A:I,4,FALSE)</f>
        <v>-0.1255</v>
      </c>
      <c r="N277">
        <f>VLOOKUP(A277,DB!A:I,5,FALSE)</f>
        <v>4.9399999999999999E-3</v>
      </c>
      <c r="O277">
        <f>VLOOKUP(A277,DB!A:I,6,FALSE)</f>
        <v>4.2100000000000002E-3</v>
      </c>
      <c r="P277">
        <f>VLOOKUP(A277,DB!A:I,7,FALSE)</f>
        <v>7.2999999999999996E-4</v>
      </c>
      <c r="Q277">
        <f>VLOOKUP(A277,DB!A:I,8,FALSE)</f>
        <v>0.56520000000000004</v>
      </c>
      <c r="R277">
        <f>VLOOKUP(A277,DB!A:I,9,FALSE)</f>
        <v>0.48209999999999997</v>
      </c>
      <c r="S277">
        <f>N277 *SQRT(H277)</f>
        <v>8.5563309893902524</v>
      </c>
      <c r="T277">
        <f>L277/N277</f>
        <v>112.06477732793522</v>
      </c>
    </row>
    <row r="278" spans="1:20" x14ac:dyDescent="0.25">
      <c r="A278" t="s">
        <v>1019</v>
      </c>
      <c r="B278" t="s">
        <v>430</v>
      </c>
      <c r="C278" s="4">
        <v>9.8044999999999993E-2</v>
      </c>
      <c r="D278" s="4">
        <v>0.29099999999999998</v>
      </c>
      <c r="E278" s="4">
        <v>2.7345999999999999E-2</v>
      </c>
      <c r="F278" s="4">
        <v>0.44600000000000001</v>
      </c>
      <c r="G278">
        <v>2.81E-3</v>
      </c>
      <c r="H278">
        <f>VLOOKUP(A278,DB!A:I,2,FALSE)</f>
        <v>3000000</v>
      </c>
      <c r="I278">
        <f>VLOOKUP(A278,'RE@CD'!A:D,2,FALSE)</f>
        <v>175000</v>
      </c>
      <c r="J278">
        <f>VLOOKUP(A278,'RE@CD'!A:D,3,FALSE)</f>
        <v>80000</v>
      </c>
      <c r="K278">
        <f>VLOOKUP(A278,'RE@CD'!A:D,4,FALSE)</f>
        <v>100000</v>
      </c>
      <c r="L278">
        <f>VLOOKUP(A278,DB!A:I,3,FALSE)</f>
        <v>0.33250000000000002</v>
      </c>
      <c r="M278">
        <f>VLOOKUP(A278,DB!A:I,4,FALSE)</f>
        <v>-7.1900000000000006E-2</v>
      </c>
      <c r="N278">
        <f>VLOOKUP(A278,DB!A:I,5,FALSE)</f>
        <v>4.9399999999999999E-3</v>
      </c>
      <c r="O278">
        <f>VLOOKUP(A278,DB!A:I,6,FALSE)</f>
        <v>4.4200000000000003E-3</v>
      </c>
      <c r="P278">
        <f>VLOOKUP(A278,DB!A:I,7,FALSE)</f>
        <v>5.1000000000000004E-4</v>
      </c>
      <c r="Q278">
        <f>VLOOKUP(A278,DB!A:I,8,FALSE)</f>
        <v>0.57530000000000003</v>
      </c>
      <c r="R278">
        <f>VLOOKUP(A278,DB!A:I,9,FALSE)</f>
        <v>0.378</v>
      </c>
      <c r="S278">
        <f>N278 *SQRT(H278)</f>
        <v>8.5563309893902524</v>
      </c>
      <c r="T278">
        <f>L278/N278</f>
        <v>67.307692307692307</v>
      </c>
    </row>
    <row r="279" spans="1:20" x14ac:dyDescent="0.25">
      <c r="A279" t="s">
        <v>674</v>
      </c>
      <c r="B279" t="s">
        <v>89</v>
      </c>
      <c r="C279" s="4">
        <v>8.8277999999999995E-2</v>
      </c>
      <c r="D279" s="4">
        <v>0.30499999999999999</v>
      </c>
      <c r="E279" s="4">
        <v>3.2751000000000002E-2</v>
      </c>
      <c r="F279" s="4">
        <v>0.40100000000000002</v>
      </c>
      <c r="G279">
        <v>4.1399999999999996E-3</v>
      </c>
      <c r="H279">
        <f>VLOOKUP(A279,DB!A:I,2,FALSE)</f>
        <v>3000000</v>
      </c>
      <c r="I279">
        <f>VLOOKUP(A279,'RE@CD'!A:D,2,FALSE)</f>
        <v>200000</v>
      </c>
      <c r="J279">
        <f>VLOOKUP(A279,'RE@CD'!A:D,3,FALSE)</f>
        <v>70000</v>
      </c>
      <c r="K279">
        <f>VLOOKUP(A279,'RE@CD'!A:D,4,FALSE)</f>
        <v>100000</v>
      </c>
      <c r="L279">
        <f>VLOOKUP(A279,DB!A:I,3,FALSE)</f>
        <v>0.31940000000000002</v>
      </c>
      <c r="M279">
        <f>VLOOKUP(A279,DB!A:I,4,FALSE)</f>
        <v>-6.13E-2</v>
      </c>
      <c r="N279">
        <f>VLOOKUP(A279,DB!A:I,5,FALSE)</f>
        <v>4.9300000000000004E-3</v>
      </c>
      <c r="O279">
        <f>VLOOKUP(A279,DB!A:I,6,FALSE)</f>
        <v>4.4600000000000004E-3</v>
      </c>
      <c r="P279">
        <f>VLOOKUP(A279,DB!A:I,7,FALSE)</f>
        <v>4.6999999999999999E-4</v>
      </c>
      <c r="Q279">
        <f>VLOOKUP(A279,DB!A:I,8,FALSE)</f>
        <v>0.55589999999999995</v>
      </c>
      <c r="R279">
        <f>VLOOKUP(A279,DB!A:I,9,FALSE)</f>
        <v>0.37659999999999999</v>
      </c>
      <c r="S279">
        <f>N279 *SQRT(H279)</f>
        <v>8.5390104813145644</v>
      </c>
      <c r="T279">
        <f>L279/N279</f>
        <v>64.78701825557809</v>
      </c>
    </row>
    <row r="280" spans="1:20" x14ac:dyDescent="0.25">
      <c r="A280" t="s">
        <v>1103</v>
      </c>
      <c r="B280" t="s">
        <v>514</v>
      </c>
      <c r="C280" s="4">
        <v>9.3857999999999997E-2</v>
      </c>
      <c r="D280" s="4">
        <v>0.28899999999999998</v>
      </c>
      <c r="E280" s="4">
        <v>3.5924999999999999E-2</v>
      </c>
      <c r="F280" s="4">
        <v>0.40100000000000002</v>
      </c>
      <c r="G280">
        <v>4.4000000000000003E-3</v>
      </c>
      <c r="H280">
        <f>VLOOKUP(A280,DB!A:I,2,FALSE)</f>
        <v>1050000</v>
      </c>
      <c r="I280">
        <f>VLOOKUP(A280,'RE@CD'!A:D,2,FALSE)</f>
        <v>175000</v>
      </c>
      <c r="J280">
        <f>VLOOKUP(A280,'RE@CD'!A:D,3,FALSE)</f>
        <v>80000</v>
      </c>
      <c r="K280">
        <f>VLOOKUP(A280,'RE@CD'!A:D,4,FALSE)</f>
        <v>100000</v>
      </c>
      <c r="L280">
        <f>VLOOKUP(A280,DB!A:I,3,FALSE)</f>
        <v>0.38540000000000002</v>
      </c>
      <c r="M280">
        <f>VLOOKUP(A280,DB!A:I,4,FALSE)</f>
        <v>-7.6999999999999999E-2</v>
      </c>
      <c r="N280">
        <f>VLOOKUP(A280,DB!A:I,5,FALSE)</f>
        <v>4.9300000000000004E-3</v>
      </c>
      <c r="O280">
        <f>VLOOKUP(A280,DB!A:I,6,FALSE)</f>
        <v>3.8E-3</v>
      </c>
      <c r="P280">
        <f>VLOOKUP(A280,DB!A:I,7,FALSE)</f>
        <v>1.1299999999999999E-3</v>
      </c>
      <c r="Q280">
        <f>VLOOKUP(A280,DB!A:I,8,FALSE)</f>
        <v>0.62890000000000001</v>
      </c>
      <c r="R280">
        <f>VLOOKUP(A280,DB!A:I,9,FALSE)</f>
        <v>0.87809999999999999</v>
      </c>
      <c r="S280">
        <f>N280 *SQRT(H280)</f>
        <v>5.0517467276180819</v>
      </c>
      <c r="T280">
        <f>L280/N280</f>
        <v>78.174442190669367</v>
      </c>
    </row>
    <row r="281" spans="1:20" x14ac:dyDescent="0.25">
      <c r="A281" t="s">
        <v>1041</v>
      </c>
      <c r="B281" t="s">
        <v>452</v>
      </c>
      <c r="C281" s="4">
        <v>0.100851</v>
      </c>
      <c r="D281" s="4">
        <v>0.26900000000000002</v>
      </c>
      <c r="E281" s="4">
        <v>1.8221999999999999E-2</v>
      </c>
      <c r="F281" s="4">
        <v>0.36599999999999999</v>
      </c>
      <c r="G281">
        <v>2.5699999999999998E-3</v>
      </c>
      <c r="H281">
        <f>VLOOKUP(A281,DB!A:I,2,FALSE)</f>
        <v>3000000</v>
      </c>
      <c r="I281">
        <f>VLOOKUP(A281,'RE@CD'!A:D,2,FALSE)</f>
        <v>175000</v>
      </c>
      <c r="J281">
        <f>VLOOKUP(A281,'RE@CD'!A:D,3,FALSE)</f>
        <v>60000</v>
      </c>
      <c r="K281">
        <f>VLOOKUP(A281,'RE@CD'!A:D,4,FALSE)</f>
        <v>100000</v>
      </c>
      <c r="L281">
        <f>VLOOKUP(A281,DB!A:I,3,FALSE)</f>
        <v>8.1299999999999997E-2</v>
      </c>
      <c r="M281">
        <f>VLOOKUP(A281,DB!A:I,4,FALSE)</f>
        <v>-1E-3</v>
      </c>
      <c r="N281">
        <f>VLOOKUP(A281,DB!A:I,5,FALSE)</f>
        <v>4.9199999999999999E-3</v>
      </c>
      <c r="O281">
        <f>VLOOKUP(A281,DB!A:I,6,FALSE)</f>
        <v>4.4099999999999999E-3</v>
      </c>
      <c r="P281">
        <f>VLOOKUP(A281,DB!A:I,7,FALSE)</f>
        <v>5.1000000000000004E-4</v>
      </c>
      <c r="Q281">
        <f>VLOOKUP(A281,DB!A:I,8,FALSE)</f>
        <v>0.51280000000000003</v>
      </c>
      <c r="R281">
        <f>VLOOKUP(A281,DB!A:I,9,FALSE)</f>
        <v>0.44479999999999997</v>
      </c>
      <c r="S281">
        <f>N281 *SQRT(H281)</f>
        <v>8.5216899732388764</v>
      </c>
      <c r="T281">
        <f>L281/N281</f>
        <v>16.524390243902438</v>
      </c>
    </row>
    <row r="282" spans="1:20" x14ac:dyDescent="0.25">
      <c r="A282" t="s">
        <v>1056</v>
      </c>
      <c r="B282" t="s">
        <v>467</v>
      </c>
      <c r="C282" s="4">
        <v>0.15856000000000001</v>
      </c>
      <c r="D282" s="4">
        <v>0.34699999999999998</v>
      </c>
      <c r="E282" s="4">
        <v>1.4399E-2</v>
      </c>
      <c r="F282" s="4">
        <v>0.246</v>
      </c>
      <c r="G282">
        <v>1.4109999999999999E-2</v>
      </c>
      <c r="H282">
        <f>VLOOKUP(A282,DB!A:I,2,FALSE)</f>
        <v>3000000</v>
      </c>
      <c r="I282">
        <f>VLOOKUP(A282,'RE@CD'!A:D,2,FALSE)</f>
        <v>325000</v>
      </c>
      <c r="J282">
        <f>VLOOKUP(A282,'RE@CD'!A:D,3,FALSE)</f>
        <v>175000</v>
      </c>
      <c r="K282">
        <f>VLOOKUP(A282,'RE@CD'!A:D,4,FALSE)</f>
        <v>175000</v>
      </c>
      <c r="L282">
        <f>VLOOKUP(A282,DB!A:I,3,FALSE)</f>
        <v>0.2253</v>
      </c>
      <c r="M282">
        <f>VLOOKUP(A282,DB!A:I,4,FALSE)</f>
        <v>-4.4200000000000003E-2</v>
      </c>
      <c r="N282">
        <f>VLOOKUP(A282,DB!A:I,5,FALSE)</f>
        <v>4.9100000000000003E-3</v>
      </c>
      <c r="O282">
        <f>VLOOKUP(A282,DB!A:I,6,FALSE)</f>
        <v>3.8700000000000002E-3</v>
      </c>
      <c r="P282">
        <f>VLOOKUP(A282,DB!A:I,7,FALSE)</f>
        <v>1.0399999999999999E-3</v>
      </c>
      <c r="Q282">
        <f>VLOOKUP(A282,DB!A:I,8,FALSE)</f>
        <v>0.50680000000000003</v>
      </c>
      <c r="R282">
        <f>VLOOKUP(A282,DB!A:I,9,FALSE)</f>
        <v>0.67379999999999995</v>
      </c>
      <c r="S282">
        <f>N282 *SQRT(H282)</f>
        <v>8.5043694651631867</v>
      </c>
      <c r="T282">
        <f>L282/N282</f>
        <v>45.885947046843171</v>
      </c>
    </row>
    <row r="283" spans="1:20" x14ac:dyDescent="0.25">
      <c r="A283" t="s">
        <v>1077</v>
      </c>
      <c r="B283" t="s">
        <v>488</v>
      </c>
      <c r="C283" s="4">
        <v>0.12998499999999999</v>
      </c>
      <c r="D283" s="4">
        <v>0.30399999999999999</v>
      </c>
      <c r="E283" s="4">
        <v>2.4024E-2</v>
      </c>
      <c r="F283" s="4">
        <v>0.39700000000000002</v>
      </c>
      <c r="G283">
        <v>9.0799999999999995E-3</v>
      </c>
      <c r="H283">
        <f>VLOOKUP(A283,DB!A:I,2,FALSE)</f>
        <v>3000000</v>
      </c>
      <c r="I283">
        <f>VLOOKUP(A283,'RE@CD'!A:D,2,FALSE)</f>
        <v>250000</v>
      </c>
      <c r="J283">
        <f>VLOOKUP(A283,'RE@CD'!A:D,3,FALSE)</f>
        <v>80000</v>
      </c>
      <c r="K283">
        <f>VLOOKUP(A283,'RE@CD'!A:D,4,FALSE)</f>
        <v>150000</v>
      </c>
      <c r="L283">
        <f>VLOOKUP(A283,DB!A:I,3,FALSE)</f>
        <v>0.38240000000000002</v>
      </c>
      <c r="M283">
        <f>VLOOKUP(A283,DB!A:I,4,FALSE)</f>
        <v>-8.2799999999999999E-2</v>
      </c>
      <c r="N283">
        <f>VLOOKUP(A283,DB!A:I,5,FALSE)</f>
        <v>4.8999999999999998E-3</v>
      </c>
      <c r="O283">
        <f>VLOOKUP(A283,DB!A:I,6,FALSE)</f>
        <v>4.0899999999999999E-3</v>
      </c>
      <c r="P283">
        <f>VLOOKUP(A283,DB!A:I,7,FALSE)</f>
        <v>8.1999999999999998E-4</v>
      </c>
      <c r="Q283">
        <f>VLOOKUP(A283,DB!A:I,8,FALSE)</f>
        <v>0.51500000000000001</v>
      </c>
      <c r="R283">
        <f>VLOOKUP(A283,DB!A:I,9,FALSE)</f>
        <v>0.59830000000000005</v>
      </c>
      <c r="S283">
        <f>N283 *SQRT(H283)</f>
        <v>8.4870489570874987</v>
      </c>
      <c r="T283">
        <f>L283/N283</f>
        <v>78.040816326530617</v>
      </c>
    </row>
    <row r="284" spans="1:20" x14ac:dyDescent="0.25">
      <c r="A284" t="s">
        <v>599</v>
      </c>
      <c r="B284" t="s">
        <v>14</v>
      </c>
      <c r="C284" s="4">
        <v>5.8348999999999998E-2</v>
      </c>
      <c r="D284" s="4">
        <v>0.21</v>
      </c>
      <c r="E284" s="4">
        <v>1.9747000000000001E-2</v>
      </c>
      <c r="F284" s="4">
        <v>0.41799999999999998</v>
      </c>
      <c r="G284">
        <v>3.4199999999999999E-3</v>
      </c>
      <c r="H284">
        <f>VLOOKUP(A284,DB!A:I,2,FALSE)</f>
        <v>875000</v>
      </c>
      <c r="I284">
        <f>VLOOKUP(A284,'RE@CD'!A:D,2,FALSE)</f>
        <v>100000</v>
      </c>
      <c r="J284">
        <f>VLOOKUP(A284,'RE@CD'!A:D,3,FALSE)</f>
        <v>50000</v>
      </c>
      <c r="K284">
        <f>VLOOKUP(A284,'RE@CD'!A:D,4,FALSE)</f>
        <v>70000</v>
      </c>
      <c r="L284">
        <f>VLOOKUP(A284,DB!A:I,3,FALSE)</f>
        <v>0.23089999999999999</v>
      </c>
      <c r="M284">
        <f>VLOOKUP(A284,DB!A:I,4,FALSE)</f>
        <v>-4.7899999999999998E-2</v>
      </c>
      <c r="N284">
        <f>VLOOKUP(A284,DB!A:I,5,FALSE)</f>
        <v>4.0000000000000001E-3</v>
      </c>
      <c r="O284">
        <f>VLOOKUP(A284,DB!A:I,6,FALSE)</f>
        <v>3.2599999999999999E-3</v>
      </c>
      <c r="P284">
        <f>VLOOKUP(A284,DB!A:I,7,FALSE)</f>
        <v>7.5000000000000002E-4</v>
      </c>
      <c r="Q284">
        <f>VLOOKUP(A284,DB!A:I,8,FALSE)</f>
        <v>0.74309999999999998</v>
      </c>
      <c r="R284">
        <f>VLOOKUP(A284,DB!A:I,9,FALSE)</f>
        <v>1</v>
      </c>
      <c r="S284">
        <f>N284 *SQRT(H284)</f>
        <v>3.7416573867739413</v>
      </c>
      <c r="T284">
        <f>L284/N284</f>
        <v>57.724999999999994</v>
      </c>
    </row>
    <row r="285" spans="1:20" x14ac:dyDescent="0.25">
      <c r="A285" t="s">
        <v>690</v>
      </c>
      <c r="B285" t="s">
        <v>105</v>
      </c>
      <c r="C285" s="4">
        <v>0.10560799999999999</v>
      </c>
      <c r="D285" s="4">
        <v>0.27500000000000002</v>
      </c>
      <c r="E285" s="4">
        <v>2.9163999999999999E-2</v>
      </c>
      <c r="F285" s="4">
        <v>0.58399999999999996</v>
      </c>
      <c r="G285">
        <v>6.4099999999999999E-3</v>
      </c>
      <c r="H285">
        <f>VLOOKUP(A285,DB!A:I,2,FALSE)</f>
        <v>3000000</v>
      </c>
      <c r="I285">
        <f>VLOOKUP(A285,'RE@CD'!A:D,2,FALSE)</f>
        <v>225000</v>
      </c>
      <c r="J285">
        <f>VLOOKUP(A285,'RE@CD'!A:D,3,FALSE)</f>
        <v>100000</v>
      </c>
      <c r="K285">
        <f>VLOOKUP(A285,'RE@CD'!A:D,4,FALSE)</f>
        <v>150000</v>
      </c>
      <c r="L285">
        <f>VLOOKUP(A285,DB!A:I,3,FALSE)</f>
        <v>0.50039999999999996</v>
      </c>
      <c r="M285">
        <f>VLOOKUP(A285,DB!A:I,4,FALSE)</f>
        <v>-0.125</v>
      </c>
      <c r="N285">
        <f>VLOOKUP(A285,DB!A:I,5,FALSE)</f>
        <v>4.8799999999999998E-3</v>
      </c>
      <c r="O285">
        <f>VLOOKUP(A285,DB!A:I,6,FALSE)</f>
        <v>4.2100000000000002E-3</v>
      </c>
      <c r="P285">
        <f>VLOOKUP(A285,DB!A:I,7,FALSE)</f>
        <v>6.7000000000000002E-4</v>
      </c>
      <c r="Q285">
        <f>VLOOKUP(A285,DB!A:I,8,FALSE)</f>
        <v>0.58989999999999998</v>
      </c>
      <c r="R285">
        <f>VLOOKUP(A285,DB!A:I,9,FALSE)</f>
        <v>0.4451</v>
      </c>
      <c r="S285">
        <f>N285 *SQRT(H285)</f>
        <v>8.452407940936121</v>
      </c>
      <c r="T285">
        <f>L285/N285</f>
        <v>102.54098360655738</v>
      </c>
    </row>
    <row r="286" spans="1:20" x14ac:dyDescent="0.25">
      <c r="A286" t="s">
        <v>810</v>
      </c>
      <c r="B286" t="s">
        <v>225</v>
      </c>
      <c r="C286" s="4">
        <v>0.17216999999999999</v>
      </c>
      <c r="D286" s="4">
        <v>0.372</v>
      </c>
      <c r="E286" s="4">
        <v>4.8280000000000003E-2</v>
      </c>
      <c r="F286" s="4">
        <v>0.46200000000000002</v>
      </c>
      <c r="G286">
        <v>5.0699999999999999E-3</v>
      </c>
      <c r="H286">
        <f>VLOOKUP(A286,DB!A:I,2,FALSE)</f>
        <v>3000000</v>
      </c>
      <c r="I286">
        <f>VLOOKUP(A286,'RE@CD'!A:D,2,FALSE)</f>
        <v>550000</v>
      </c>
      <c r="J286">
        <f>VLOOKUP(A286,'RE@CD'!A:D,3,FALSE)</f>
        <v>225000</v>
      </c>
      <c r="K286">
        <f>VLOOKUP(A286,'RE@CD'!A:D,4,FALSE)</f>
        <v>300000</v>
      </c>
      <c r="L286">
        <f>VLOOKUP(A286,DB!A:I,3,FALSE)</f>
        <v>0.67620000000000002</v>
      </c>
      <c r="M286">
        <f>VLOOKUP(A286,DB!A:I,4,FALSE)</f>
        <v>-0.1452</v>
      </c>
      <c r="N286">
        <f>VLOOKUP(A286,DB!A:I,5,FALSE)</f>
        <v>4.8799999999999998E-3</v>
      </c>
      <c r="O286">
        <f>VLOOKUP(A286,DB!A:I,6,FALSE)</f>
        <v>3.7100000000000002E-3</v>
      </c>
      <c r="P286">
        <f>VLOOKUP(A286,DB!A:I,7,FALSE)</f>
        <v>1.17E-3</v>
      </c>
      <c r="Q286">
        <f>VLOOKUP(A286,DB!A:I,8,FALSE)</f>
        <v>0.60189999999999999</v>
      </c>
      <c r="R286">
        <f>VLOOKUP(A286,DB!A:I,9,FALSE)</f>
        <v>0.62580000000000002</v>
      </c>
      <c r="S286">
        <f>N286 *SQRT(H286)</f>
        <v>8.452407940936121</v>
      </c>
      <c r="T286">
        <f>L286/N286</f>
        <v>138.56557377049182</v>
      </c>
    </row>
    <row r="287" spans="1:20" x14ac:dyDescent="0.25">
      <c r="A287" t="s">
        <v>1115</v>
      </c>
      <c r="B287" t="s">
        <v>526</v>
      </c>
      <c r="C287" s="4">
        <v>9.8277000000000003E-2</v>
      </c>
      <c r="D287" s="4">
        <v>0.27600000000000002</v>
      </c>
      <c r="E287" s="4">
        <v>2.2100000000000002E-2</v>
      </c>
      <c r="F287" s="4">
        <v>0.27600000000000002</v>
      </c>
      <c r="G287">
        <v>5.5100000000000001E-3</v>
      </c>
      <c r="H287">
        <f>VLOOKUP(A287,DB!A:I,2,FALSE)</f>
        <v>1050000</v>
      </c>
      <c r="I287">
        <f>VLOOKUP(A287,'RE@CD'!A:D,2,FALSE)</f>
        <v>200000</v>
      </c>
      <c r="J287">
        <f>VLOOKUP(A287,'RE@CD'!A:D,3,FALSE)</f>
        <v>60000</v>
      </c>
      <c r="K287">
        <f>VLOOKUP(A287,'RE@CD'!A:D,4,FALSE)</f>
        <v>100000</v>
      </c>
      <c r="L287">
        <f>VLOOKUP(A287,DB!A:I,3,FALSE)</f>
        <v>7.4800000000000005E-2</v>
      </c>
      <c r="M287">
        <f>VLOOKUP(A287,DB!A:I,4,FALSE)</f>
        <v>7.4000000000000003E-3</v>
      </c>
      <c r="N287">
        <f>VLOOKUP(A287,DB!A:I,5,FALSE)</f>
        <v>4.8799999999999998E-3</v>
      </c>
      <c r="O287">
        <f>VLOOKUP(A287,DB!A:I,6,FALSE)</f>
        <v>3.8899999999999998E-3</v>
      </c>
      <c r="P287">
        <f>VLOOKUP(A287,DB!A:I,7,FALSE)</f>
        <v>9.8999999999999999E-4</v>
      </c>
      <c r="Q287">
        <f>VLOOKUP(A287,DB!A:I,8,FALSE)</f>
        <v>0.53839999999999999</v>
      </c>
      <c r="R287">
        <f>VLOOKUP(A287,DB!A:I,9,FALSE)</f>
        <v>0.86670000000000003</v>
      </c>
      <c r="S287">
        <f>N287 *SQRT(H287)</f>
        <v>5.0005119737882833</v>
      </c>
      <c r="T287">
        <f>L287/N287</f>
        <v>15.327868852459018</v>
      </c>
    </row>
    <row r="288" spans="1:20" x14ac:dyDescent="0.25">
      <c r="A288" t="s">
        <v>1057</v>
      </c>
      <c r="B288" t="s">
        <v>468</v>
      </c>
      <c r="C288" s="4">
        <v>0.139047</v>
      </c>
      <c r="D288" s="4">
        <v>0.34499999999999997</v>
      </c>
      <c r="E288" s="4">
        <v>3.1356000000000002E-2</v>
      </c>
      <c r="F288" s="4">
        <v>0.38500000000000001</v>
      </c>
      <c r="G288">
        <v>1.09E-2</v>
      </c>
      <c r="H288">
        <f>VLOOKUP(A288,DB!A:I,2,FALSE)</f>
        <v>2800000</v>
      </c>
      <c r="I288">
        <f>VLOOKUP(A288,'RE@CD'!A:D,2,FALSE)</f>
        <v>275000</v>
      </c>
      <c r="J288">
        <f>VLOOKUP(A288,'RE@CD'!A:D,3,FALSE)</f>
        <v>100000</v>
      </c>
      <c r="K288">
        <f>VLOOKUP(A288,'RE@CD'!A:D,4,FALSE)</f>
        <v>150000</v>
      </c>
      <c r="L288">
        <f>VLOOKUP(A288,DB!A:I,3,FALSE)</f>
        <v>0.3427</v>
      </c>
      <c r="M288">
        <f>VLOOKUP(A288,DB!A:I,4,FALSE)</f>
        <v>-6.6100000000000006E-2</v>
      </c>
      <c r="N288">
        <f>VLOOKUP(A288,DB!A:I,5,FALSE)</f>
        <v>4.8700000000000002E-3</v>
      </c>
      <c r="O288">
        <f>VLOOKUP(A288,DB!A:I,6,FALSE)</f>
        <v>4.0000000000000001E-3</v>
      </c>
      <c r="P288">
        <f>VLOOKUP(A288,DB!A:I,7,FALSE)</f>
        <v>8.7000000000000001E-4</v>
      </c>
      <c r="Q288">
        <f>VLOOKUP(A288,DB!A:I,8,FALSE)</f>
        <v>0.56289999999999996</v>
      </c>
      <c r="R288">
        <f>VLOOKUP(A288,DB!A:I,9,FALSE)</f>
        <v>0.61539999999999995</v>
      </c>
      <c r="S288">
        <f>N288 *SQRT(H288)</f>
        <v>8.1490686584418963</v>
      </c>
      <c r="T288">
        <f>L288/N288</f>
        <v>70.369609856262826</v>
      </c>
    </row>
    <row r="289" spans="1:20" x14ac:dyDescent="0.25">
      <c r="A289" t="s">
        <v>1109</v>
      </c>
      <c r="B289" t="s">
        <v>520</v>
      </c>
      <c r="C289" s="4">
        <v>8.3818000000000004E-2</v>
      </c>
      <c r="D289" s="4">
        <v>0.28499999999999998</v>
      </c>
      <c r="E289" s="4">
        <v>3.1219E-2</v>
      </c>
      <c r="F289" s="4">
        <v>0.45400000000000001</v>
      </c>
      <c r="G289">
        <v>1.3799999999999999E-3</v>
      </c>
      <c r="H289">
        <f>VLOOKUP(A289,DB!A:I,2,FALSE)</f>
        <v>2200000</v>
      </c>
      <c r="I289">
        <f>VLOOKUP(A289,'RE@CD'!A:D,2,FALSE)</f>
        <v>200000</v>
      </c>
      <c r="J289">
        <f>VLOOKUP(A289,'RE@CD'!A:D,3,FALSE)</f>
        <v>60000</v>
      </c>
      <c r="K289">
        <f>VLOOKUP(A289,'RE@CD'!A:D,4,FALSE)</f>
        <v>125000</v>
      </c>
      <c r="L289">
        <f>VLOOKUP(A289,DB!A:I,3,FALSE)</f>
        <v>0.40870000000000001</v>
      </c>
      <c r="M289">
        <f>VLOOKUP(A289,DB!A:I,4,FALSE)</f>
        <v>-9.0700000000000003E-2</v>
      </c>
      <c r="N289">
        <f>VLOOKUP(A289,DB!A:I,5,FALSE)</f>
        <v>4.8700000000000002E-3</v>
      </c>
      <c r="O289">
        <f>VLOOKUP(A289,DB!A:I,6,FALSE)</f>
        <v>4.3099999999999996E-3</v>
      </c>
      <c r="P289">
        <f>VLOOKUP(A289,DB!A:I,7,FALSE)</f>
        <v>5.5999999999999995E-4</v>
      </c>
      <c r="Q289">
        <f>VLOOKUP(A289,DB!A:I,8,FALSE)</f>
        <v>0.65049999999999997</v>
      </c>
      <c r="R289">
        <f>VLOOKUP(A289,DB!A:I,9,FALSE)</f>
        <v>0.40050000000000002</v>
      </c>
      <c r="S289">
        <f>N289 *SQRT(H289)</f>
        <v>7.2233773264311765</v>
      </c>
      <c r="T289">
        <f>L289/N289</f>
        <v>83.921971252566735</v>
      </c>
    </row>
    <row r="290" spans="1:20" x14ac:dyDescent="0.25">
      <c r="A290" t="s">
        <v>767</v>
      </c>
      <c r="B290" t="s">
        <v>182</v>
      </c>
      <c r="C290" s="4">
        <v>0.175125</v>
      </c>
      <c r="D290" s="4">
        <v>0.4</v>
      </c>
      <c r="E290" s="4">
        <v>1.8498000000000001E-2</v>
      </c>
      <c r="F290" s="4">
        <v>0.30499999999999999</v>
      </c>
      <c r="G290">
        <v>2.5500000000000002E-3</v>
      </c>
      <c r="H290">
        <f>VLOOKUP(A290,DB!A:I,2,FALSE)</f>
        <v>3000000</v>
      </c>
      <c r="I290">
        <f>VLOOKUP(A290,'RE@CD'!A:D,2,FALSE)</f>
        <v>575000</v>
      </c>
      <c r="J290">
        <f>VLOOKUP(A290,'RE@CD'!A:D,3,FALSE)</f>
        <v>225000</v>
      </c>
      <c r="K290">
        <f>VLOOKUP(A290,'RE@CD'!A:D,4,FALSE)</f>
        <v>350000</v>
      </c>
      <c r="L290">
        <f>VLOOKUP(A290,DB!A:I,3,FALSE)</f>
        <v>0.29360000000000003</v>
      </c>
      <c r="M290">
        <f>VLOOKUP(A290,DB!A:I,4,FALSE)</f>
        <v>-6.0999999999999999E-2</v>
      </c>
      <c r="N290">
        <f>VLOOKUP(A290,DB!A:I,5,FALSE)</f>
        <v>4.8599999999999997E-3</v>
      </c>
      <c r="O290">
        <f>VLOOKUP(A290,DB!A:I,6,FALSE)</f>
        <v>3.81E-3</v>
      </c>
      <c r="P290">
        <f>VLOOKUP(A290,DB!A:I,7,FALSE)</f>
        <v>1.0399999999999999E-3</v>
      </c>
      <c r="Q290">
        <f>VLOOKUP(A290,DB!A:I,8,FALSE)</f>
        <v>0.5746</v>
      </c>
      <c r="R290">
        <f>VLOOKUP(A290,DB!A:I,9,FALSE)</f>
        <v>0.66200000000000003</v>
      </c>
      <c r="S290">
        <f>N290 *SQRT(H290)</f>
        <v>8.4177669247847433</v>
      </c>
      <c r="T290">
        <f>L290/N290</f>
        <v>60.411522633744866</v>
      </c>
    </row>
    <row r="291" spans="1:20" x14ac:dyDescent="0.25">
      <c r="A291" t="s">
        <v>1062</v>
      </c>
      <c r="B291" t="s">
        <v>473</v>
      </c>
      <c r="C291" s="4">
        <v>0.14172599999999999</v>
      </c>
      <c r="D291" s="4">
        <v>0.46600000000000003</v>
      </c>
      <c r="E291" s="4">
        <v>2.3902E-2</v>
      </c>
      <c r="F291" s="4">
        <v>0.51300000000000001</v>
      </c>
      <c r="G291">
        <v>5.1700000000000001E-3</v>
      </c>
      <c r="H291">
        <f>VLOOKUP(A291,DB!A:I,2,FALSE)</f>
        <v>3000000</v>
      </c>
      <c r="I291">
        <f>VLOOKUP(A291,'RE@CD'!A:D,2,FALSE)</f>
        <v>1200000</v>
      </c>
      <c r="J291">
        <f>VLOOKUP(A291,'RE@CD'!A:D,3,FALSE)</f>
        <v>450000</v>
      </c>
      <c r="K291">
        <f>VLOOKUP(A291,'RE@CD'!A:D,4,FALSE)</f>
        <v>725000</v>
      </c>
      <c r="L291">
        <f>VLOOKUP(A291,DB!A:I,3,FALSE)</f>
        <v>0.32869999999999999</v>
      </c>
      <c r="M291">
        <f>VLOOKUP(A291,DB!A:I,4,FALSE)</f>
        <v>-7.3700000000000002E-2</v>
      </c>
      <c r="N291">
        <f>VLOOKUP(A291,DB!A:I,5,FALSE)</f>
        <v>4.8599999999999997E-3</v>
      </c>
      <c r="O291">
        <f>VLOOKUP(A291,DB!A:I,6,FALSE)</f>
        <v>2.7399999999999998E-3</v>
      </c>
      <c r="P291">
        <f>VLOOKUP(A291,DB!A:I,7,FALSE)</f>
        <v>2.1199999999999999E-3</v>
      </c>
      <c r="Q291">
        <f>VLOOKUP(A291,DB!A:I,8,FALSE)</f>
        <v>0.75890000000000002</v>
      </c>
      <c r="R291">
        <f>VLOOKUP(A291,DB!A:I,9,FALSE)</f>
        <v>0.74080000000000001</v>
      </c>
      <c r="S291">
        <f>N291 *SQRT(H291)</f>
        <v>8.4177669247847433</v>
      </c>
      <c r="T291">
        <f>L291/N291</f>
        <v>67.63374485596708</v>
      </c>
    </row>
    <row r="292" spans="1:20" x14ac:dyDescent="0.25">
      <c r="A292" t="s">
        <v>603</v>
      </c>
      <c r="B292" t="s">
        <v>18</v>
      </c>
      <c r="C292" s="4">
        <v>5.8673999999999997E-2</v>
      </c>
      <c r="D292" s="4">
        <v>0.20699999999999999</v>
      </c>
      <c r="E292" s="4">
        <v>2.1732000000000001E-2</v>
      </c>
      <c r="F292" s="4">
        <v>0.442</v>
      </c>
      <c r="G292">
        <v>3.4099999999999998E-3</v>
      </c>
      <c r="H292">
        <f>VLOOKUP(A292,DB!A:I,2,FALSE)</f>
        <v>875000</v>
      </c>
      <c r="I292">
        <f>VLOOKUP(A292,'RE@CD'!A:D,2,FALSE)</f>
        <v>100000</v>
      </c>
      <c r="J292">
        <f>VLOOKUP(A292,'RE@CD'!A:D,3,FALSE)</f>
        <v>50000</v>
      </c>
      <c r="K292">
        <f>VLOOKUP(A292,'RE@CD'!A:D,4,FALSE)</f>
        <v>80000</v>
      </c>
      <c r="L292">
        <f>VLOOKUP(A292,DB!A:I,3,FALSE)</f>
        <v>0.25430000000000003</v>
      </c>
      <c r="M292">
        <f>VLOOKUP(A292,DB!A:I,4,FALSE)</f>
        <v>-5.28E-2</v>
      </c>
      <c r="N292">
        <f>VLOOKUP(A292,DB!A:I,5,FALSE)</f>
        <v>3.98E-3</v>
      </c>
      <c r="O292">
        <f>VLOOKUP(A292,DB!A:I,6,FALSE)</f>
        <v>3.2100000000000002E-3</v>
      </c>
      <c r="P292">
        <f>VLOOKUP(A292,DB!A:I,7,FALSE)</f>
        <v>7.6999999999999996E-4</v>
      </c>
      <c r="Q292">
        <f>VLOOKUP(A292,DB!A:I,8,FALSE)</f>
        <v>0.75880000000000003</v>
      </c>
      <c r="R292">
        <f>VLOOKUP(A292,DB!A:I,9,FALSE)</f>
        <v>1</v>
      </c>
      <c r="S292">
        <f>N292 *SQRT(H292)</f>
        <v>3.7229490998400716</v>
      </c>
      <c r="T292">
        <f>L292/N292</f>
        <v>63.894472361809051</v>
      </c>
    </row>
    <row r="293" spans="1:20" x14ac:dyDescent="0.25">
      <c r="A293" t="s">
        <v>731</v>
      </c>
      <c r="B293" t="s">
        <v>146</v>
      </c>
      <c r="C293" s="4">
        <v>0.101519</v>
      </c>
      <c r="D293" s="4">
        <v>0.316</v>
      </c>
      <c r="E293" s="4">
        <v>3.8533999999999999E-2</v>
      </c>
      <c r="F293" s="4">
        <v>0.436</v>
      </c>
      <c r="G293">
        <v>4.7299999999999998E-3</v>
      </c>
      <c r="H293">
        <f>VLOOKUP(A293,DB!A:I,2,FALSE)</f>
        <v>3000000</v>
      </c>
      <c r="I293">
        <f>VLOOKUP(A293,'RE@CD'!A:D,2,FALSE)</f>
        <v>200000</v>
      </c>
      <c r="J293">
        <f>VLOOKUP(A293,'RE@CD'!A:D,3,FALSE)</f>
        <v>80000</v>
      </c>
      <c r="K293">
        <f>VLOOKUP(A293,'RE@CD'!A:D,4,FALSE)</f>
        <v>125000</v>
      </c>
      <c r="L293">
        <f>VLOOKUP(A293,DB!A:I,3,FALSE)</f>
        <v>0.46650000000000003</v>
      </c>
      <c r="M293">
        <f>VLOOKUP(A293,DB!A:I,4,FALSE)</f>
        <v>-0.1002</v>
      </c>
      <c r="N293">
        <f>VLOOKUP(A293,DB!A:I,5,FALSE)</f>
        <v>4.8500000000000001E-3</v>
      </c>
      <c r="O293">
        <f>VLOOKUP(A293,DB!A:I,6,FALSE)</f>
        <v>4.2399999999999998E-3</v>
      </c>
      <c r="P293">
        <f>VLOOKUP(A293,DB!A:I,7,FALSE)</f>
        <v>5.9999999999999995E-4</v>
      </c>
      <c r="Q293">
        <f>VLOOKUP(A293,DB!A:I,8,FALSE)</f>
        <v>0.55569999999999997</v>
      </c>
      <c r="R293">
        <f>VLOOKUP(A293,DB!A:I,9,FALSE)</f>
        <v>0.46910000000000002</v>
      </c>
      <c r="S293">
        <f>N293 *SQRT(H293)</f>
        <v>8.4004464167090553</v>
      </c>
      <c r="T293">
        <f>L293/N293</f>
        <v>96.185567010309285</v>
      </c>
    </row>
    <row r="294" spans="1:20" x14ac:dyDescent="0.25">
      <c r="A294" t="s">
        <v>751</v>
      </c>
      <c r="B294" t="s">
        <v>166</v>
      </c>
      <c r="C294" s="4">
        <v>0.16244600000000001</v>
      </c>
      <c r="D294" s="4">
        <v>0.38</v>
      </c>
      <c r="E294" s="4">
        <v>4.3734000000000002E-2</v>
      </c>
      <c r="F294" s="4">
        <v>0.56200000000000006</v>
      </c>
      <c r="G294">
        <v>3.9199999999999999E-3</v>
      </c>
      <c r="H294">
        <f>VLOOKUP(A294,DB!A:I,2,FALSE)</f>
        <v>3000000</v>
      </c>
      <c r="I294">
        <f>VLOOKUP(A294,'RE@CD'!A:D,2,FALSE)</f>
        <v>475000</v>
      </c>
      <c r="J294">
        <f>VLOOKUP(A294,'RE@CD'!A:D,3,FALSE)</f>
        <v>250000</v>
      </c>
      <c r="K294">
        <f>VLOOKUP(A294,'RE@CD'!A:D,4,FALSE)</f>
        <v>275000</v>
      </c>
      <c r="L294">
        <f>VLOOKUP(A294,DB!A:I,3,FALSE)</f>
        <v>0.71009999999999995</v>
      </c>
      <c r="M294">
        <f>VLOOKUP(A294,DB!A:I,4,FALSE)</f>
        <v>-0.16300000000000001</v>
      </c>
      <c r="N294">
        <f>VLOOKUP(A294,DB!A:I,5,FALSE)</f>
        <v>4.8500000000000001E-3</v>
      </c>
      <c r="O294">
        <f>VLOOKUP(A294,DB!A:I,6,FALSE)</f>
        <v>3.7599999999999999E-3</v>
      </c>
      <c r="P294">
        <f>VLOOKUP(A294,DB!A:I,7,FALSE)</f>
        <v>1.09E-3</v>
      </c>
      <c r="Q294">
        <f>VLOOKUP(A294,DB!A:I,8,FALSE)</f>
        <v>0.62739999999999996</v>
      </c>
      <c r="R294">
        <f>VLOOKUP(A294,DB!A:I,9,FALSE)</f>
        <v>0.5847</v>
      </c>
      <c r="S294">
        <f>N294 *SQRT(H294)</f>
        <v>8.4004464167090553</v>
      </c>
      <c r="T294">
        <f>L294/N294</f>
        <v>146.41237113402062</v>
      </c>
    </row>
    <row r="295" spans="1:20" x14ac:dyDescent="0.25">
      <c r="A295" t="s">
        <v>903</v>
      </c>
      <c r="B295" t="s">
        <v>318</v>
      </c>
      <c r="C295" s="4">
        <v>0.15001999999999999</v>
      </c>
      <c r="D295" s="4">
        <v>0.33900000000000002</v>
      </c>
      <c r="E295" s="4">
        <v>0</v>
      </c>
      <c r="F295" s="4">
        <v>3.7999999999999999E-2</v>
      </c>
      <c r="G295">
        <v>1.1299999999999999E-2</v>
      </c>
      <c r="H295">
        <f>VLOOKUP(A295,DB!A:I,2,FALSE)</f>
        <v>3000000</v>
      </c>
      <c r="I295">
        <f>VLOOKUP(A295,'RE@CD'!A:D,2,FALSE)</f>
        <v>425000</v>
      </c>
      <c r="J295">
        <f>VLOOKUP(A295,'RE@CD'!A:D,3,FALSE)</f>
        <v>175000</v>
      </c>
      <c r="K295">
        <f>VLOOKUP(A295,'RE@CD'!A:D,4,FALSE)</f>
        <v>250000</v>
      </c>
      <c r="L295">
        <f>VLOOKUP(A295,DB!A:I,3,FALSE)</f>
        <v>0</v>
      </c>
      <c r="M295">
        <f>VLOOKUP(A295,DB!A:I,4,FALSE)</f>
        <v>0</v>
      </c>
      <c r="N295">
        <f>VLOOKUP(A295,DB!A:I,5,FALSE)</f>
        <v>4.8399999999999997E-3</v>
      </c>
      <c r="O295">
        <f>VLOOKUP(A295,DB!A:I,6,FALSE)</f>
        <v>4.1999999999999997E-3</v>
      </c>
      <c r="P295">
        <f>VLOOKUP(A295,DB!A:I,7,FALSE)</f>
        <v>6.4000000000000005E-4</v>
      </c>
      <c r="Q295">
        <f>VLOOKUP(A295,DB!A:I,8,FALSE)</f>
        <v>0.51939999999999997</v>
      </c>
      <c r="R295">
        <f>VLOOKUP(A295,DB!A:I,9,FALSE)</f>
        <v>0.51970000000000005</v>
      </c>
      <c r="S295">
        <f>N295 *SQRT(H295)</f>
        <v>8.3831259086333656</v>
      </c>
      <c r="T295">
        <f>L295/N295</f>
        <v>0</v>
      </c>
    </row>
    <row r="296" spans="1:20" x14ac:dyDescent="0.25">
      <c r="A296" t="s">
        <v>1026</v>
      </c>
      <c r="B296" t="s">
        <v>437</v>
      </c>
      <c r="C296" s="4">
        <v>0.130801</v>
      </c>
      <c r="D296" s="4">
        <v>0.36299999999999999</v>
      </c>
      <c r="E296" s="4">
        <v>2.6002000000000001E-2</v>
      </c>
      <c r="F296" s="4">
        <v>0.45900000000000002</v>
      </c>
      <c r="G296">
        <v>2.4499999999999999E-3</v>
      </c>
      <c r="H296">
        <f>VLOOKUP(A296,DB!A:I,2,FALSE)</f>
        <v>1750000</v>
      </c>
      <c r="I296">
        <f>VLOOKUP(A296,'RE@CD'!A:D,2,FALSE)</f>
        <v>325000</v>
      </c>
      <c r="J296">
        <f>VLOOKUP(A296,'RE@CD'!A:D,3,FALSE)</f>
        <v>175000</v>
      </c>
      <c r="K296">
        <f>VLOOKUP(A296,'RE@CD'!A:D,4,FALSE)</f>
        <v>225000</v>
      </c>
      <c r="L296">
        <f>VLOOKUP(A296,DB!A:I,3,FALSE)</f>
        <v>0.47499999999999998</v>
      </c>
      <c r="M296">
        <f>VLOOKUP(A296,DB!A:I,4,FALSE)</f>
        <v>-0.10920000000000001</v>
      </c>
      <c r="N296">
        <f>VLOOKUP(A296,DB!A:I,5,FALSE)</f>
        <v>4.8399999999999997E-3</v>
      </c>
      <c r="O296">
        <f>VLOOKUP(A296,DB!A:I,6,FALSE)</f>
        <v>3.9699999999999996E-3</v>
      </c>
      <c r="P296">
        <f>VLOOKUP(A296,DB!A:I,7,FALSE)</f>
        <v>8.7000000000000001E-4</v>
      </c>
      <c r="Q296">
        <f>VLOOKUP(A296,DB!A:I,8,FALSE)</f>
        <v>0.68810000000000004</v>
      </c>
      <c r="R296">
        <f>VLOOKUP(A296,DB!A:I,9,FALSE)</f>
        <v>0.6099</v>
      </c>
      <c r="S296">
        <f>N296 *SQRT(H296)</f>
        <v>6.4027181727763089</v>
      </c>
      <c r="T296">
        <f>L296/N296</f>
        <v>98.140495867768593</v>
      </c>
    </row>
    <row r="297" spans="1:20" x14ac:dyDescent="0.25">
      <c r="A297" t="s">
        <v>1125</v>
      </c>
      <c r="B297" t="s">
        <v>536</v>
      </c>
      <c r="C297" s="4">
        <v>0.160057</v>
      </c>
      <c r="D297" s="4">
        <v>0.36899999999999999</v>
      </c>
      <c r="E297" s="4">
        <v>1.8925999999999998E-2</v>
      </c>
      <c r="F297" s="4">
        <v>0.34200000000000003</v>
      </c>
      <c r="G297">
        <v>1.103E-2</v>
      </c>
      <c r="H297">
        <f>VLOOKUP(A297,DB!A:I,2,FALSE)</f>
        <v>3000000</v>
      </c>
      <c r="I297">
        <f>VLOOKUP(A297,'RE@CD'!A:D,2,FALSE)</f>
        <v>325000</v>
      </c>
      <c r="J297">
        <f>VLOOKUP(A297,'RE@CD'!A:D,3,FALSE)</f>
        <v>150000</v>
      </c>
      <c r="K297">
        <f>VLOOKUP(A297,'RE@CD'!A:D,4,FALSE)</f>
        <v>175000</v>
      </c>
      <c r="L297">
        <f>VLOOKUP(A297,DB!A:I,3,FALSE)</f>
        <v>0.18590000000000001</v>
      </c>
      <c r="M297">
        <f>VLOOKUP(A297,DB!A:I,4,FALSE)</f>
        <v>-3.0300000000000001E-2</v>
      </c>
      <c r="N297">
        <f>VLOOKUP(A297,DB!A:I,5,FALSE)</f>
        <v>4.8399999999999997E-3</v>
      </c>
      <c r="O297">
        <f>VLOOKUP(A297,DB!A:I,6,FALSE)</f>
        <v>3.96E-3</v>
      </c>
      <c r="P297">
        <f>VLOOKUP(A297,DB!A:I,7,FALSE)</f>
        <v>8.8000000000000003E-4</v>
      </c>
      <c r="Q297">
        <f>VLOOKUP(A297,DB!A:I,8,FALSE)</f>
        <v>0.55600000000000005</v>
      </c>
      <c r="R297">
        <f>VLOOKUP(A297,DB!A:I,9,FALSE)</f>
        <v>0.6109</v>
      </c>
      <c r="S297">
        <f>N297 *SQRT(H297)</f>
        <v>8.3831259086333656</v>
      </c>
      <c r="T297">
        <f>L297/N297</f>
        <v>38.409090909090914</v>
      </c>
    </row>
    <row r="298" spans="1:20" x14ac:dyDescent="0.25">
      <c r="A298" t="s">
        <v>1146</v>
      </c>
      <c r="B298" t="s">
        <v>557</v>
      </c>
      <c r="C298" s="4">
        <v>9.2123999999999998E-2</v>
      </c>
      <c r="D298" s="4">
        <v>0.29099999999999998</v>
      </c>
      <c r="E298" s="4">
        <v>2.9901E-2</v>
      </c>
      <c r="F298" s="4">
        <v>0.39900000000000002</v>
      </c>
      <c r="G298">
        <v>5.4900000000000001E-3</v>
      </c>
      <c r="H298">
        <f>VLOOKUP(A298,DB!A:I,2,FALSE)</f>
        <v>1300000</v>
      </c>
      <c r="I298">
        <f>VLOOKUP(A298,'RE@CD'!A:D,2,FALSE)</f>
        <v>175000</v>
      </c>
      <c r="J298">
        <f>VLOOKUP(A298,'RE@CD'!A:D,3,FALSE)</f>
        <v>80000</v>
      </c>
      <c r="K298">
        <f>VLOOKUP(A298,'RE@CD'!A:D,4,FALSE)</f>
        <v>125000</v>
      </c>
      <c r="L298">
        <f>VLOOKUP(A298,DB!A:I,3,FALSE)</f>
        <v>0.37019999999999997</v>
      </c>
      <c r="M298">
        <f>VLOOKUP(A298,DB!A:I,4,FALSE)</f>
        <v>-7.7499999999999999E-2</v>
      </c>
      <c r="N298">
        <f>VLOOKUP(A298,DB!A:I,5,FALSE)</f>
        <v>4.8399999999999997E-3</v>
      </c>
      <c r="O298">
        <f>VLOOKUP(A298,DB!A:I,6,FALSE)</f>
        <v>3.98E-3</v>
      </c>
      <c r="P298">
        <f>VLOOKUP(A298,DB!A:I,7,FALSE)</f>
        <v>8.5999999999999998E-4</v>
      </c>
      <c r="Q298">
        <f>VLOOKUP(A298,DB!A:I,8,FALSE)</f>
        <v>0.64759999999999995</v>
      </c>
      <c r="R298">
        <f>VLOOKUP(A298,DB!A:I,9,FALSE)</f>
        <v>0.70450000000000002</v>
      </c>
      <c r="S298">
        <f>N298 *SQRT(H298)</f>
        <v>5.5184490574798275</v>
      </c>
      <c r="T298">
        <f>L298/N298</f>
        <v>76.487603305785129</v>
      </c>
    </row>
    <row r="299" spans="1:20" x14ac:dyDescent="0.25">
      <c r="A299" t="s">
        <v>691</v>
      </c>
      <c r="B299" t="s">
        <v>106</v>
      </c>
      <c r="C299" s="4">
        <v>0.111072</v>
      </c>
      <c r="D299" s="4">
        <v>0.33100000000000002</v>
      </c>
      <c r="E299" s="4">
        <v>4.0285000000000001E-2</v>
      </c>
      <c r="F299" s="4">
        <v>0.52500000000000002</v>
      </c>
      <c r="G299">
        <v>6.0299999999999998E-3</v>
      </c>
      <c r="H299">
        <f>VLOOKUP(A299,DB!A:I,2,FALSE)</f>
        <v>3000000</v>
      </c>
      <c r="I299">
        <f>VLOOKUP(A299,'RE@CD'!A:D,2,FALSE)</f>
        <v>225000</v>
      </c>
      <c r="J299">
        <f>VLOOKUP(A299,'RE@CD'!A:D,3,FALSE)</f>
        <v>90000</v>
      </c>
      <c r="K299">
        <f>VLOOKUP(A299,'RE@CD'!A:D,4,FALSE)</f>
        <v>150000</v>
      </c>
      <c r="L299">
        <f>VLOOKUP(A299,DB!A:I,3,FALSE)</f>
        <v>0.61650000000000005</v>
      </c>
      <c r="M299">
        <f>VLOOKUP(A299,DB!A:I,4,FALSE)</f>
        <v>-0.14560000000000001</v>
      </c>
      <c r="N299">
        <f>VLOOKUP(A299,DB!A:I,5,FALSE)</f>
        <v>4.8300000000000001E-3</v>
      </c>
      <c r="O299">
        <f>VLOOKUP(A299,DB!A:I,6,FALSE)</f>
        <v>4.0099999999999997E-3</v>
      </c>
      <c r="P299">
        <f>VLOOKUP(A299,DB!A:I,7,FALSE)</f>
        <v>8.1999999999999998E-4</v>
      </c>
      <c r="Q299">
        <f>VLOOKUP(A299,DB!A:I,8,FALSE)</f>
        <v>0.59330000000000005</v>
      </c>
      <c r="R299">
        <f>VLOOKUP(A299,DB!A:I,9,FALSE)</f>
        <v>0.52990000000000004</v>
      </c>
      <c r="S299">
        <f>N299 *SQRT(H299)</f>
        <v>8.3658054005576776</v>
      </c>
      <c r="T299">
        <f>L299/N299</f>
        <v>127.63975155279503</v>
      </c>
    </row>
    <row r="300" spans="1:20" x14ac:dyDescent="0.25">
      <c r="A300" t="s">
        <v>792</v>
      </c>
      <c r="B300" t="s">
        <v>207</v>
      </c>
      <c r="C300" s="4">
        <v>0.16664100000000001</v>
      </c>
      <c r="D300" s="4">
        <v>0.38</v>
      </c>
      <c r="E300" s="4">
        <v>4.1320000000000003E-2</v>
      </c>
      <c r="F300" s="4">
        <v>0.51900000000000002</v>
      </c>
      <c r="G300">
        <v>3.1900000000000001E-3</v>
      </c>
      <c r="H300">
        <f>VLOOKUP(A300,DB!A:I,2,FALSE)</f>
        <v>3000000</v>
      </c>
      <c r="I300">
        <f>VLOOKUP(A300,'RE@CD'!A:D,2,FALSE)</f>
        <v>500000</v>
      </c>
      <c r="J300">
        <f>VLOOKUP(A300,'RE@CD'!A:D,3,FALSE)</f>
        <v>225000</v>
      </c>
      <c r="K300">
        <f>VLOOKUP(A300,'RE@CD'!A:D,4,FALSE)</f>
        <v>300000</v>
      </c>
      <c r="L300">
        <f>VLOOKUP(A300,DB!A:I,3,FALSE)</f>
        <v>0.69579999999999997</v>
      </c>
      <c r="M300">
        <f>VLOOKUP(A300,DB!A:I,4,FALSE)</f>
        <v>-0.16</v>
      </c>
      <c r="N300">
        <f>VLOOKUP(A300,DB!A:I,5,FALSE)</f>
        <v>4.8199999999999996E-3</v>
      </c>
      <c r="O300">
        <f>VLOOKUP(A300,DB!A:I,6,FALSE)</f>
        <v>3.6800000000000001E-3</v>
      </c>
      <c r="P300">
        <f>VLOOKUP(A300,DB!A:I,7,FALSE)</f>
        <v>1.14E-3</v>
      </c>
      <c r="Q300">
        <f>VLOOKUP(A300,DB!A:I,8,FALSE)</f>
        <v>0.63</v>
      </c>
      <c r="R300">
        <f>VLOOKUP(A300,DB!A:I,9,FALSE)</f>
        <v>0.61939999999999995</v>
      </c>
      <c r="S300">
        <f>N300 *SQRT(H300)</f>
        <v>8.3484848924819879</v>
      </c>
      <c r="T300">
        <f>L300/N300</f>
        <v>144.35684647302904</v>
      </c>
    </row>
    <row r="301" spans="1:20" x14ac:dyDescent="0.25">
      <c r="A301" t="s">
        <v>853</v>
      </c>
      <c r="B301" t="s">
        <v>268</v>
      </c>
      <c r="C301" s="4">
        <v>0.10077800000000001</v>
      </c>
      <c r="D301" s="4">
        <v>0.28699999999999998</v>
      </c>
      <c r="E301" s="4">
        <v>1.9921999999999999E-2</v>
      </c>
      <c r="F301" s="4">
        <v>0.25900000000000001</v>
      </c>
      <c r="G301">
        <v>4.81E-3</v>
      </c>
      <c r="H301">
        <f>VLOOKUP(A301,DB!A:I,2,FALSE)</f>
        <v>1950000</v>
      </c>
      <c r="I301">
        <f>VLOOKUP(A301,'RE@CD'!A:D,2,FALSE)</f>
        <v>250000</v>
      </c>
      <c r="J301">
        <f>VLOOKUP(A301,'RE@CD'!A:D,3,FALSE)</f>
        <v>50000</v>
      </c>
      <c r="K301">
        <f>VLOOKUP(A301,'RE@CD'!A:D,4,FALSE)</f>
        <v>100000</v>
      </c>
      <c r="L301">
        <f>VLOOKUP(A301,DB!A:I,3,FALSE)</f>
        <v>8.09E-2</v>
      </c>
      <c r="M301">
        <f>VLOOKUP(A301,DB!A:I,4,FALSE)</f>
        <v>1.8E-3</v>
      </c>
      <c r="N301">
        <f>VLOOKUP(A301,DB!A:I,5,FALSE)</f>
        <v>4.8199999999999996E-3</v>
      </c>
      <c r="O301">
        <f>VLOOKUP(A301,DB!A:I,6,FALSE)</f>
        <v>4.1700000000000001E-3</v>
      </c>
      <c r="P301">
        <f>VLOOKUP(A301,DB!A:I,7,FALSE)</f>
        <v>6.4999999999999997E-4</v>
      </c>
      <c r="Q301">
        <f>VLOOKUP(A301,DB!A:I,8,FALSE)</f>
        <v>0.45550000000000002</v>
      </c>
      <c r="R301">
        <f>VLOOKUP(A301,DB!A:I,9,FALSE)</f>
        <v>0.7379</v>
      </c>
      <c r="S301">
        <f>N301 *SQRT(H301)</f>
        <v>6.7307637010966292</v>
      </c>
      <c r="T301">
        <f>L301/N301</f>
        <v>16.784232365145229</v>
      </c>
    </row>
    <row r="302" spans="1:20" x14ac:dyDescent="0.25">
      <c r="A302" t="s">
        <v>1147</v>
      </c>
      <c r="B302" t="s">
        <v>558</v>
      </c>
      <c r="C302" s="4">
        <v>9.1384999999999994E-2</v>
      </c>
      <c r="D302" s="4">
        <v>0.28100000000000003</v>
      </c>
      <c r="E302" s="4">
        <v>3.5219E-2</v>
      </c>
      <c r="F302" s="4">
        <v>0.45300000000000001</v>
      </c>
      <c r="G302">
        <v>6.2100000000000002E-3</v>
      </c>
      <c r="H302">
        <f>VLOOKUP(A302,DB!A:I,2,FALSE)</f>
        <v>2200000</v>
      </c>
      <c r="I302">
        <f>VLOOKUP(A302,'RE@CD'!A:D,2,FALSE)</f>
        <v>200000</v>
      </c>
      <c r="J302">
        <f>VLOOKUP(A302,'RE@CD'!A:D,3,FALSE)</f>
        <v>90000</v>
      </c>
      <c r="K302">
        <f>VLOOKUP(A302,'RE@CD'!A:D,4,FALSE)</f>
        <v>125000</v>
      </c>
      <c r="L302">
        <f>VLOOKUP(A302,DB!A:I,3,FALSE)</f>
        <v>0.44840000000000002</v>
      </c>
      <c r="M302">
        <f>VLOOKUP(A302,DB!A:I,4,FALSE)</f>
        <v>-9.6000000000000002E-2</v>
      </c>
      <c r="N302">
        <f>VLOOKUP(A302,DB!A:I,5,FALSE)</f>
        <v>4.8199999999999996E-3</v>
      </c>
      <c r="O302">
        <f>VLOOKUP(A302,DB!A:I,6,FALSE)</f>
        <v>4.1799999999999997E-3</v>
      </c>
      <c r="P302">
        <f>VLOOKUP(A302,DB!A:I,7,FALSE)</f>
        <v>6.4000000000000005E-4</v>
      </c>
      <c r="Q302">
        <f>VLOOKUP(A302,DB!A:I,8,FALSE)</f>
        <v>0.62280000000000002</v>
      </c>
      <c r="R302">
        <f>VLOOKUP(A302,DB!A:I,9,FALSE)</f>
        <v>0.4672</v>
      </c>
      <c r="S302">
        <f>N302 *SQRT(H302)</f>
        <v>7.1492153415602191</v>
      </c>
      <c r="T302">
        <f>L302/N302</f>
        <v>93.029045643153538</v>
      </c>
    </row>
    <row r="303" spans="1:20" x14ac:dyDescent="0.25">
      <c r="A303" t="s">
        <v>956</v>
      </c>
      <c r="B303" t="s">
        <v>367</v>
      </c>
      <c r="C303" s="4">
        <v>0.15279999999999999</v>
      </c>
      <c r="D303" s="4">
        <v>0.371</v>
      </c>
      <c r="E303" s="4">
        <v>2.0000000000000001E-4</v>
      </c>
      <c r="F303" s="4">
        <v>0.999</v>
      </c>
      <c r="G303">
        <v>9.0799999999999995E-3</v>
      </c>
      <c r="H303">
        <f>VLOOKUP(A303,DB!A:I,2,FALSE)</f>
        <v>3000000</v>
      </c>
      <c r="I303">
        <f>VLOOKUP(A303,'RE@CD'!A:D,2,FALSE)</f>
        <v>400000</v>
      </c>
      <c r="J303">
        <f>VLOOKUP(A303,'RE@CD'!A:D,3,FALSE)</f>
        <v>125000</v>
      </c>
      <c r="K303">
        <f>VLOOKUP(A303,'RE@CD'!A:D,4,FALSE)</f>
        <v>225000</v>
      </c>
      <c r="L303">
        <f>VLOOKUP(A303,DB!A:I,3,FALSE)</f>
        <v>1.09E-2</v>
      </c>
      <c r="M303">
        <f>VLOOKUP(A303,DB!A:I,4,FALSE)</f>
        <v>-2.3999999999999998E-3</v>
      </c>
      <c r="N303">
        <f>VLOOKUP(A303,DB!A:I,5,FALSE)</f>
        <v>4.81E-3</v>
      </c>
      <c r="O303">
        <f>VLOOKUP(A303,DB!A:I,6,FALSE)</f>
        <v>4.13E-3</v>
      </c>
      <c r="P303">
        <f>VLOOKUP(A303,DB!A:I,7,FALSE)</f>
        <v>6.8000000000000005E-4</v>
      </c>
      <c r="Q303">
        <f>VLOOKUP(A303,DB!A:I,8,FALSE)</f>
        <v>0.53959999999999997</v>
      </c>
      <c r="R303">
        <f>VLOOKUP(A303,DB!A:I,9,FALSE)</f>
        <v>0.54010000000000002</v>
      </c>
      <c r="S303">
        <f>N303 *SQRT(H303)</f>
        <v>8.3311643844062999</v>
      </c>
      <c r="T303">
        <f>L303/N303</f>
        <v>2.2661122661122661</v>
      </c>
    </row>
    <row r="304" spans="1:20" x14ac:dyDescent="0.25">
      <c r="A304" t="s">
        <v>993</v>
      </c>
      <c r="B304" t="s">
        <v>404</v>
      </c>
      <c r="C304" s="4">
        <v>7.9791000000000001E-2</v>
      </c>
      <c r="D304" s="4">
        <v>0.35</v>
      </c>
      <c r="E304" s="4">
        <v>2.9513000000000001E-2</v>
      </c>
      <c r="F304" s="4">
        <v>0.5</v>
      </c>
      <c r="G304">
        <v>1.7600000000000001E-3</v>
      </c>
      <c r="H304">
        <f>VLOOKUP(A304,DB!A:I,2,FALSE)</f>
        <v>1150000</v>
      </c>
      <c r="I304">
        <f>VLOOKUP(A304,'RE@CD'!A:D,2,FALSE)</f>
        <v>225000</v>
      </c>
      <c r="J304">
        <f>VLOOKUP(A304,'RE@CD'!A:D,3,FALSE)</f>
        <v>50000</v>
      </c>
      <c r="K304">
        <f>VLOOKUP(A304,'RE@CD'!A:D,4,FALSE)</f>
        <v>125000</v>
      </c>
      <c r="L304">
        <f>VLOOKUP(A304,DB!A:I,3,FALSE)</f>
        <v>0.4173</v>
      </c>
      <c r="M304">
        <f>VLOOKUP(A304,DB!A:I,4,FALSE)</f>
        <v>-9.1800000000000007E-2</v>
      </c>
      <c r="N304">
        <f>VLOOKUP(A304,DB!A:I,5,FALSE)</f>
        <v>4.81E-3</v>
      </c>
      <c r="O304">
        <f>VLOOKUP(A304,DB!A:I,6,FALSE)</f>
        <v>4.1000000000000003E-3</v>
      </c>
      <c r="P304">
        <f>VLOOKUP(A304,DB!A:I,7,FALSE)</f>
        <v>7.1000000000000002E-4</v>
      </c>
      <c r="Q304">
        <f>VLOOKUP(A304,DB!A:I,8,FALSE)</f>
        <v>0.75800000000000001</v>
      </c>
      <c r="R304">
        <f>VLOOKUP(A304,DB!A:I,9,FALSE)</f>
        <v>0.60780000000000001</v>
      </c>
      <c r="S304">
        <f>N304 *SQRT(H304)</f>
        <v>5.1581503467812952</v>
      </c>
      <c r="T304">
        <f>L304/N304</f>
        <v>86.756756756756758</v>
      </c>
    </row>
    <row r="305" spans="1:20" x14ac:dyDescent="0.25">
      <c r="A305" t="s">
        <v>1066</v>
      </c>
      <c r="B305" t="s">
        <v>477</v>
      </c>
      <c r="C305" s="4">
        <v>9.7026000000000001E-2</v>
      </c>
      <c r="D305" s="4">
        <v>0.32700000000000001</v>
      </c>
      <c r="E305" s="4">
        <v>4.0261999999999999E-2</v>
      </c>
      <c r="F305" s="4">
        <v>0.46300000000000002</v>
      </c>
      <c r="G305">
        <v>1.81E-3</v>
      </c>
      <c r="H305">
        <f>VLOOKUP(A305,DB!A:I,2,FALSE)</f>
        <v>2100000</v>
      </c>
      <c r="I305">
        <f>VLOOKUP(A305,'RE@CD'!A:D,2,FALSE)</f>
        <v>225000</v>
      </c>
      <c r="J305">
        <f>VLOOKUP(A305,'RE@CD'!A:D,3,FALSE)</f>
        <v>100000</v>
      </c>
      <c r="K305">
        <f>VLOOKUP(A305,'RE@CD'!A:D,4,FALSE)</f>
        <v>150000</v>
      </c>
      <c r="L305">
        <f>VLOOKUP(A305,DB!A:I,3,FALSE)</f>
        <v>0.50839999999999996</v>
      </c>
      <c r="M305">
        <f>VLOOKUP(A305,DB!A:I,4,FALSE)</f>
        <v>-0.11119999999999999</v>
      </c>
      <c r="N305">
        <f>VLOOKUP(A305,DB!A:I,5,FALSE)</f>
        <v>4.81E-3</v>
      </c>
      <c r="O305">
        <f>VLOOKUP(A305,DB!A:I,6,FALSE)</f>
        <v>3.9199999999999999E-3</v>
      </c>
      <c r="P305">
        <f>VLOOKUP(A305,DB!A:I,7,FALSE)</f>
        <v>8.8999999999999995E-4</v>
      </c>
      <c r="Q305">
        <f>VLOOKUP(A305,DB!A:I,8,FALSE)</f>
        <v>0.65249999999999997</v>
      </c>
      <c r="R305">
        <f>VLOOKUP(A305,DB!A:I,9,FALSE)</f>
        <v>0.59660000000000002</v>
      </c>
      <c r="S305">
        <f>N305 *SQRT(H305)</f>
        <v>6.9703522149171206</v>
      </c>
      <c r="T305">
        <f>L305/N305</f>
        <v>105.69646569646569</v>
      </c>
    </row>
    <row r="306" spans="1:20" x14ac:dyDescent="0.25">
      <c r="A306" t="s">
        <v>992</v>
      </c>
      <c r="B306" t="s">
        <v>403</v>
      </c>
      <c r="C306" s="4">
        <v>0.14983199999999999</v>
      </c>
      <c r="D306" s="4">
        <v>0.35</v>
      </c>
      <c r="E306" s="4">
        <v>2.9364000000000001E-2</v>
      </c>
      <c r="F306" s="4">
        <v>0.5</v>
      </c>
      <c r="G306">
        <v>7.4200000000000004E-3</v>
      </c>
      <c r="H306">
        <f>VLOOKUP(A306,DB!A:I,2,FALSE)</f>
        <v>3000000</v>
      </c>
      <c r="I306">
        <f>VLOOKUP(A306,'RE@CD'!A:D,2,FALSE)</f>
        <v>350000</v>
      </c>
      <c r="J306">
        <f>VLOOKUP(A306,'RE@CD'!A:D,3,FALSE)</f>
        <v>150000</v>
      </c>
      <c r="K306">
        <f>VLOOKUP(A306,'RE@CD'!A:D,4,FALSE)</f>
        <v>200000</v>
      </c>
      <c r="L306">
        <f>VLOOKUP(A306,DB!A:I,3,FALSE)</f>
        <v>0.42030000000000001</v>
      </c>
      <c r="M306">
        <f>VLOOKUP(A306,DB!A:I,4,FALSE)</f>
        <v>-8.9099999999999999E-2</v>
      </c>
      <c r="N306">
        <f>VLOOKUP(A306,DB!A:I,5,FALSE)</f>
        <v>4.7999999999999996E-3</v>
      </c>
      <c r="O306">
        <f>VLOOKUP(A306,DB!A:I,6,FALSE)</f>
        <v>3.96E-3</v>
      </c>
      <c r="P306">
        <f>VLOOKUP(A306,DB!A:I,7,FALSE)</f>
        <v>8.4000000000000003E-4</v>
      </c>
      <c r="Q306">
        <f>VLOOKUP(A306,DB!A:I,8,FALSE)</f>
        <v>0.58330000000000004</v>
      </c>
      <c r="R306">
        <f>VLOOKUP(A306,DB!A:I,9,FALSE)</f>
        <v>0.54700000000000004</v>
      </c>
      <c r="S306">
        <f>N306 *SQRT(H306)</f>
        <v>8.3138438763306102</v>
      </c>
      <c r="T306">
        <f>L306/N306</f>
        <v>87.562500000000014</v>
      </c>
    </row>
    <row r="307" spans="1:20" x14ac:dyDescent="0.25">
      <c r="A307" t="s">
        <v>1107</v>
      </c>
      <c r="B307" t="s">
        <v>518</v>
      </c>
      <c r="C307" s="4">
        <v>9.5458000000000001E-2</v>
      </c>
      <c r="D307" s="4">
        <v>0.317</v>
      </c>
      <c r="E307" s="4">
        <v>4.1480000000000003E-2</v>
      </c>
      <c r="F307" s="4">
        <v>0.45600000000000002</v>
      </c>
      <c r="G307">
        <v>5.2199999999999998E-3</v>
      </c>
      <c r="H307">
        <f>VLOOKUP(A307,DB!A:I,2,FALSE)</f>
        <v>2900000</v>
      </c>
      <c r="I307">
        <f>VLOOKUP(A307,'RE@CD'!A:D,2,FALSE)</f>
        <v>250000</v>
      </c>
      <c r="J307">
        <f>VLOOKUP(A307,'RE@CD'!A:D,3,FALSE)</f>
        <v>125000</v>
      </c>
      <c r="K307">
        <f>VLOOKUP(A307,'RE@CD'!A:D,4,FALSE)</f>
        <v>175000</v>
      </c>
      <c r="L307">
        <f>VLOOKUP(A307,DB!A:I,3,FALSE)</f>
        <v>0.4677</v>
      </c>
      <c r="M307">
        <f>VLOOKUP(A307,DB!A:I,4,FALSE)</f>
        <v>-0.1008</v>
      </c>
      <c r="N307">
        <f>VLOOKUP(A307,DB!A:I,5,FALSE)</f>
        <v>4.7999999999999996E-3</v>
      </c>
      <c r="O307">
        <f>VLOOKUP(A307,DB!A:I,6,FALSE)</f>
        <v>4.28E-3</v>
      </c>
      <c r="P307">
        <f>VLOOKUP(A307,DB!A:I,7,FALSE)</f>
        <v>5.1999999999999995E-4</v>
      </c>
      <c r="Q307">
        <f>VLOOKUP(A307,DB!A:I,8,FALSE)</f>
        <v>0.64649999999999996</v>
      </c>
      <c r="R307">
        <f>VLOOKUP(A307,DB!A:I,9,FALSE)</f>
        <v>0.31630000000000003</v>
      </c>
      <c r="S307">
        <f>N307 *SQRT(H307)</f>
        <v>8.1741054556446713</v>
      </c>
      <c r="T307">
        <f>L307/N307</f>
        <v>97.437500000000014</v>
      </c>
    </row>
    <row r="308" spans="1:20" x14ac:dyDescent="0.25">
      <c r="A308" t="s">
        <v>1043</v>
      </c>
      <c r="B308" t="s">
        <v>454</v>
      </c>
      <c r="C308" s="4">
        <v>9.2978000000000005E-2</v>
      </c>
      <c r="D308" s="4">
        <v>0.26900000000000002</v>
      </c>
      <c r="E308" s="4">
        <v>1.6471E-2</v>
      </c>
      <c r="F308" s="4">
        <v>0.36599999999999999</v>
      </c>
      <c r="G308">
        <v>2.1800000000000001E-3</v>
      </c>
      <c r="H308">
        <f>VLOOKUP(A308,DB!A:I,2,FALSE)</f>
        <v>2900000</v>
      </c>
      <c r="I308">
        <f>VLOOKUP(A308,'RE@CD'!A:D,2,FALSE)</f>
        <v>175000</v>
      </c>
      <c r="J308">
        <f>VLOOKUP(A308,'RE@CD'!A:D,3,FALSE)</f>
        <v>50000</v>
      </c>
      <c r="K308">
        <f>VLOOKUP(A308,'RE@CD'!A:D,4,FALSE)</f>
        <v>90000</v>
      </c>
      <c r="L308">
        <f>VLOOKUP(A308,DB!A:I,3,FALSE)</f>
        <v>8.5900000000000004E-2</v>
      </c>
      <c r="M308">
        <f>VLOOKUP(A308,DB!A:I,4,FALSE)</f>
        <v>-5.4000000000000003E-3</v>
      </c>
      <c r="N308">
        <f>VLOOKUP(A308,DB!A:I,5,FALSE)</f>
        <v>4.79E-3</v>
      </c>
      <c r="O308">
        <f>VLOOKUP(A308,DB!A:I,6,FALSE)</f>
        <v>4.3400000000000001E-3</v>
      </c>
      <c r="P308">
        <f>VLOOKUP(A308,DB!A:I,7,FALSE)</f>
        <v>4.4999999999999999E-4</v>
      </c>
      <c r="Q308">
        <f>VLOOKUP(A308,DB!A:I,8,FALSE)</f>
        <v>0.5302</v>
      </c>
      <c r="R308">
        <f>VLOOKUP(A308,DB!A:I,9,FALSE)</f>
        <v>0.45910000000000001</v>
      </c>
      <c r="S308">
        <f>N308 *SQRT(H308)</f>
        <v>8.1570760692787463</v>
      </c>
      <c r="T308">
        <f>L308/N308</f>
        <v>17.933194154488518</v>
      </c>
    </row>
    <row r="309" spans="1:20" x14ac:dyDescent="0.25">
      <c r="A309" t="s">
        <v>1112</v>
      </c>
      <c r="B309" t="s">
        <v>523</v>
      </c>
      <c r="C309" s="4">
        <v>0.13656499999999999</v>
      </c>
      <c r="D309" s="4">
        <v>0.33800000000000002</v>
      </c>
      <c r="E309" s="4">
        <v>3.2308000000000003E-2</v>
      </c>
      <c r="F309" s="4">
        <v>0.44</v>
      </c>
      <c r="G309">
        <v>7.0899999999999999E-3</v>
      </c>
      <c r="H309">
        <f>VLOOKUP(A309,DB!A:I,2,FALSE)</f>
        <v>3000000</v>
      </c>
      <c r="I309">
        <f>VLOOKUP(A309,'RE@CD'!A:D,2,FALSE)</f>
        <v>275000</v>
      </c>
      <c r="J309">
        <f>VLOOKUP(A309,'RE@CD'!A:D,3,FALSE)</f>
        <v>150000</v>
      </c>
      <c r="K309">
        <f>VLOOKUP(A309,'RE@CD'!A:D,4,FALSE)</f>
        <v>175000</v>
      </c>
      <c r="L309">
        <f>VLOOKUP(A309,DB!A:I,3,FALSE)</f>
        <v>0.373</v>
      </c>
      <c r="M309">
        <f>VLOOKUP(A309,DB!A:I,4,FALSE)</f>
        <v>-7.5899999999999995E-2</v>
      </c>
      <c r="N309">
        <f>VLOOKUP(A309,DB!A:I,5,FALSE)</f>
        <v>4.79E-3</v>
      </c>
      <c r="O309">
        <f>VLOOKUP(A309,DB!A:I,6,FALSE)</f>
        <v>4.0600000000000002E-3</v>
      </c>
      <c r="P309">
        <f>VLOOKUP(A309,DB!A:I,7,FALSE)</f>
        <v>7.2999999999999996E-4</v>
      </c>
      <c r="Q309">
        <f>VLOOKUP(A309,DB!A:I,8,FALSE)</f>
        <v>0.55679999999999996</v>
      </c>
      <c r="R309">
        <f>VLOOKUP(A309,DB!A:I,9,FALSE)</f>
        <v>0.54500000000000004</v>
      </c>
      <c r="S309">
        <f>N309 *SQRT(H309)</f>
        <v>8.2965233682549222</v>
      </c>
      <c r="T309">
        <f>L309/N309</f>
        <v>77.870563674321502</v>
      </c>
    </row>
    <row r="310" spans="1:20" x14ac:dyDescent="0.25">
      <c r="A310" t="s">
        <v>766</v>
      </c>
      <c r="B310" t="s">
        <v>181</v>
      </c>
      <c r="C310" s="4">
        <v>0.17240900000000001</v>
      </c>
      <c r="D310" s="4">
        <v>0.40699999999999997</v>
      </c>
      <c r="E310" s="4">
        <v>1.8769999999999998E-2</v>
      </c>
      <c r="F310" s="4">
        <v>0.30299999999999999</v>
      </c>
      <c r="G310">
        <v>2.0400000000000001E-3</v>
      </c>
      <c r="H310">
        <f>VLOOKUP(A310,DB!A:I,2,FALSE)</f>
        <v>3000000</v>
      </c>
      <c r="I310">
        <f>VLOOKUP(A310,'RE@CD'!A:D,2,FALSE)</f>
        <v>650000</v>
      </c>
      <c r="J310">
        <f>VLOOKUP(A310,'RE@CD'!A:D,3,FALSE)</f>
        <v>275000</v>
      </c>
      <c r="K310">
        <f>VLOOKUP(A310,'RE@CD'!A:D,4,FALSE)</f>
        <v>400000</v>
      </c>
      <c r="L310">
        <f>VLOOKUP(A310,DB!A:I,3,FALSE)</f>
        <v>0.25750000000000001</v>
      </c>
      <c r="M310">
        <f>VLOOKUP(A310,DB!A:I,4,FALSE)</f>
        <v>-4.9200000000000001E-2</v>
      </c>
      <c r="N310">
        <f>VLOOKUP(A310,DB!A:I,5,FALSE)</f>
        <v>4.7800000000000004E-3</v>
      </c>
      <c r="O310">
        <f>VLOOKUP(A310,DB!A:I,6,FALSE)</f>
        <v>3.6800000000000001E-3</v>
      </c>
      <c r="P310">
        <f>VLOOKUP(A310,DB!A:I,7,FALSE)</f>
        <v>1.09E-3</v>
      </c>
      <c r="Q310">
        <f>VLOOKUP(A310,DB!A:I,8,FALSE)</f>
        <v>0.5746</v>
      </c>
      <c r="R310">
        <f>VLOOKUP(A310,DB!A:I,9,FALSE)</f>
        <v>0.70960000000000001</v>
      </c>
      <c r="S310">
        <f>N310 *SQRT(H310)</f>
        <v>8.2792028601792342</v>
      </c>
      <c r="T310">
        <f>L310/N310</f>
        <v>53.870292887029287</v>
      </c>
    </row>
    <row r="311" spans="1:20" x14ac:dyDescent="0.25">
      <c r="A311" t="s">
        <v>596</v>
      </c>
      <c r="B311" t="s">
        <v>11</v>
      </c>
      <c r="C311" s="4">
        <v>4.7272000000000002E-2</v>
      </c>
      <c r="D311" s="4">
        <v>0.16</v>
      </c>
      <c r="E311" s="4">
        <v>1.6582E-2</v>
      </c>
      <c r="F311" s="4">
        <v>0.32600000000000001</v>
      </c>
      <c r="G311">
        <v>3.3700000000000002E-3</v>
      </c>
      <c r="H311">
        <f>VLOOKUP(A311,DB!A:I,2,FALSE)</f>
        <v>700000</v>
      </c>
      <c r="I311">
        <f>VLOOKUP(A311,'RE@CD'!A:D,2,FALSE)</f>
        <v>100000</v>
      </c>
      <c r="J311">
        <f>VLOOKUP(A311,'RE@CD'!A:D,3,FALSE)</f>
        <v>50000</v>
      </c>
      <c r="K311">
        <f>VLOOKUP(A311,'RE@CD'!A:D,4,FALSE)</f>
        <v>70000</v>
      </c>
      <c r="L311">
        <f>VLOOKUP(A311,DB!A:I,3,FALSE)</f>
        <v>0.16650000000000001</v>
      </c>
      <c r="M311">
        <f>VLOOKUP(A311,DB!A:I,4,FALSE)</f>
        <v>-3.09E-2</v>
      </c>
      <c r="N311">
        <f>VLOOKUP(A311,DB!A:I,5,FALSE)</f>
        <v>3.9300000000000003E-3</v>
      </c>
      <c r="O311">
        <f>VLOOKUP(A311,DB!A:I,6,FALSE)</f>
        <v>2.82E-3</v>
      </c>
      <c r="P311">
        <f>VLOOKUP(A311,DB!A:I,7,FALSE)</f>
        <v>1.1100000000000001E-3</v>
      </c>
      <c r="Q311">
        <f>VLOOKUP(A311,DB!A:I,8,FALSE)</f>
        <v>0.91090000000000004</v>
      </c>
      <c r="R311">
        <f>VLOOKUP(A311,DB!A:I,9,FALSE)</f>
        <v>1</v>
      </c>
      <c r="S311">
        <f>N311 *SQRT(H311)</f>
        <v>3.2880739042789173</v>
      </c>
      <c r="T311">
        <f>L311/N311</f>
        <v>42.366412213740453</v>
      </c>
    </row>
    <row r="312" spans="1:20" x14ac:dyDescent="0.25">
      <c r="A312" t="s">
        <v>869</v>
      </c>
      <c r="B312" t="s">
        <v>284</v>
      </c>
      <c r="C312" s="4">
        <v>9.9818000000000004E-2</v>
      </c>
      <c r="D312" s="4">
        <v>0.27900000000000003</v>
      </c>
      <c r="E312" s="4">
        <v>3.4775E-2</v>
      </c>
      <c r="F312" s="4">
        <v>0.56499999999999995</v>
      </c>
      <c r="G312">
        <v>5.96E-3</v>
      </c>
      <c r="H312">
        <f>VLOOKUP(A312,DB!A:I,2,FALSE)</f>
        <v>3000000</v>
      </c>
      <c r="I312">
        <f>VLOOKUP(A312,'RE@CD'!A:D,2,FALSE)</f>
        <v>250000</v>
      </c>
      <c r="J312">
        <f>VLOOKUP(A312,'RE@CD'!A:D,3,FALSE)</f>
        <v>100000</v>
      </c>
      <c r="K312">
        <f>VLOOKUP(A312,'RE@CD'!A:D,4,FALSE)</f>
        <v>150000</v>
      </c>
      <c r="L312">
        <f>VLOOKUP(A312,DB!A:I,3,FALSE)</f>
        <v>0.51370000000000005</v>
      </c>
      <c r="M312">
        <f>VLOOKUP(A312,DB!A:I,4,FALSE)</f>
        <v>-0.11890000000000001</v>
      </c>
      <c r="N312">
        <f>VLOOKUP(A312,DB!A:I,5,FALSE)</f>
        <v>4.7699999999999999E-3</v>
      </c>
      <c r="O312">
        <f>VLOOKUP(A312,DB!A:I,6,FALSE)</f>
        <v>4.1999999999999997E-3</v>
      </c>
      <c r="P312">
        <f>VLOOKUP(A312,DB!A:I,7,FALSE)</f>
        <v>5.6999999999999998E-4</v>
      </c>
      <c r="Q312">
        <f>VLOOKUP(A312,DB!A:I,8,FALSE)</f>
        <v>0.58130000000000004</v>
      </c>
      <c r="R312">
        <f>VLOOKUP(A312,DB!A:I,9,FALSE)</f>
        <v>0.4249</v>
      </c>
      <c r="S312">
        <f>N312 *SQRT(H312)</f>
        <v>8.2618823521035445</v>
      </c>
      <c r="T312">
        <f>L312/N312</f>
        <v>107.69392033542978</v>
      </c>
    </row>
    <row r="313" spans="1:20" x14ac:dyDescent="0.25">
      <c r="A313" t="s">
        <v>904</v>
      </c>
      <c r="B313" t="s">
        <v>319</v>
      </c>
      <c r="C313" s="4">
        <v>0.15001999999999999</v>
      </c>
      <c r="D313" s="4">
        <v>0.33900000000000002</v>
      </c>
      <c r="E313" s="4">
        <v>0</v>
      </c>
      <c r="F313" s="4">
        <v>5.1999999999999998E-2</v>
      </c>
      <c r="G313">
        <v>1.2030000000000001E-2</v>
      </c>
      <c r="H313">
        <f>VLOOKUP(A313,DB!A:I,2,FALSE)</f>
        <v>3000000</v>
      </c>
      <c r="I313">
        <f>VLOOKUP(A313,'RE@CD'!A:D,2,FALSE)</f>
        <v>375000</v>
      </c>
      <c r="J313">
        <f>VLOOKUP(A313,'RE@CD'!A:D,3,FALSE)</f>
        <v>150000</v>
      </c>
      <c r="K313">
        <f>VLOOKUP(A313,'RE@CD'!A:D,4,FALSE)</f>
        <v>225000</v>
      </c>
      <c r="L313">
        <f>VLOOKUP(A313,DB!A:I,3,FALSE)</f>
        <v>0</v>
      </c>
      <c r="M313">
        <f>VLOOKUP(A313,DB!A:I,4,FALSE)</f>
        <v>0</v>
      </c>
      <c r="N313">
        <f>VLOOKUP(A313,DB!A:I,5,FALSE)</f>
        <v>4.7699999999999999E-3</v>
      </c>
      <c r="O313">
        <f>VLOOKUP(A313,DB!A:I,6,FALSE)</f>
        <v>4.0800000000000003E-3</v>
      </c>
      <c r="P313">
        <f>VLOOKUP(A313,DB!A:I,7,FALSE)</f>
        <v>6.8000000000000005E-4</v>
      </c>
      <c r="Q313">
        <f>VLOOKUP(A313,DB!A:I,8,FALSE)</f>
        <v>0.5393</v>
      </c>
      <c r="R313">
        <f>VLOOKUP(A313,DB!A:I,9,FALSE)</f>
        <v>0.53969999999999996</v>
      </c>
      <c r="S313">
        <f>N313 *SQRT(H313)</f>
        <v>8.2618823521035445</v>
      </c>
      <c r="T313">
        <f>L313/N313</f>
        <v>0</v>
      </c>
    </row>
    <row r="314" spans="1:20" x14ac:dyDescent="0.25">
      <c r="A314" t="s">
        <v>910</v>
      </c>
      <c r="B314" t="s">
        <v>324</v>
      </c>
      <c r="C314" s="4">
        <v>0.17111999999999999</v>
      </c>
      <c r="D314" s="4">
        <v>0.435</v>
      </c>
      <c r="E314" s="4">
        <v>5.6299000000000002E-2</v>
      </c>
      <c r="F314" s="4">
        <v>0.435</v>
      </c>
      <c r="G314">
        <v>6.7299999999999999E-3</v>
      </c>
      <c r="H314">
        <f>VLOOKUP(A314,DB!A:I,2,FALSE)</f>
        <v>3000000</v>
      </c>
      <c r="I314">
        <f>VLOOKUP(A314,'RE@CD'!A:D,2,FALSE)</f>
        <v>2800000</v>
      </c>
      <c r="J314">
        <f>VLOOKUP(A314,'RE@CD'!A:D,3,FALSE)</f>
        <v>2800000</v>
      </c>
      <c r="K314">
        <f>VLOOKUP(A314,'RE@CD'!A:D,4,FALSE)</f>
        <v>2800000</v>
      </c>
      <c r="L314">
        <f>VLOOKUP(A314,DB!A:I,3,FALSE)</f>
        <v>0.59089999999999998</v>
      </c>
      <c r="M314">
        <f>VLOOKUP(A314,DB!A:I,4,FALSE)</f>
        <v>-0.1215</v>
      </c>
      <c r="N314">
        <f>VLOOKUP(A314,DB!A:I,5,FALSE)</f>
        <v>4.7600000000000003E-3</v>
      </c>
      <c r="O314">
        <f>VLOOKUP(A314,DB!A:I,6,FALSE)</f>
        <v>3.5500000000000002E-3</v>
      </c>
      <c r="P314">
        <f>VLOOKUP(A314,DB!A:I,7,FALSE)</f>
        <v>1.2099999999999999E-3</v>
      </c>
      <c r="Q314">
        <f>VLOOKUP(A314,DB!A:I,8,FALSE)</f>
        <v>0.60429999999999995</v>
      </c>
      <c r="R314">
        <f>VLOOKUP(A314,DB!A:I,9,FALSE)</f>
        <v>0.69979999999999998</v>
      </c>
      <c r="S314">
        <f>N314 *SQRT(H314)</f>
        <v>8.2445618440278565</v>
      </c>
      <c r="T314">
        <f>L314/N314</f>
        <v>124.13865546218486</v>
      </c>
    </row>
    <row r="315" spans="1:20" x14ac:dyDescent="0.25">
      <c r="A315" t="s">
        <v>1153</v>
      </c>
      <c r="B315" t="s">
        <v>563</v>
      </c>
      <c r="C315" s="4">
        <v>0.10102</v>
      </c>
      <c r="D315" s="4">
        <v>0.27500000000000002</v>
      </c>
      <c r="E315" s="4">
        <v>5.0000000000000004E-6</v>
      </c>
      <c r="F315" s="4">
        <v>0.42099999999999999</v>
      </c>
      <c r="G315">
        <v>6.7200000000000003E-3</v>
      </c>
      <c r="H315">
        <f>VLOOKUP(A315,DB!A:I,2,FALSE)</f>
        <v>1700000</v>
      </c>
      <c r="I315">
        <f>VLOOKUP(A315,'RE@CD'!A:D,2,FALSE)</f>
        <v>200000</v>
      </c>
      <c r="J315">
        <f>VLOOKUP(A315,'RE@CD'!A:D,3,FALSE)</f>
        <v>50000</v>
      </c>
      <c r="K315">
        <f>VLOOKUP(A315,'RE@CD'!A:D,4,FALSE)</f>
        <v>100000</v>
      </c>
      <c r="L315">
        <f>VLOOKUP(A315,DB!A:I,3,FALSE)</f>
        <v>0</v>
      </c>
      <c r="M315">
        <f>VLOOKUP(A315,DB!A:I,4,FALSE)</f>
        <v>0</v>
      </c>
      <c r="N315">
        <f>VLOOKUP(A315,DB!A:I,5,FALSE)</f>
        <v>4.7600000000000003E-3</v>
      </c>
      <c r="O315">
        <f>VLOOKUP(A315,DB!A:I,6,FALSE)</f>
        <v>4.1099999999999999E-3</v>
      </c>
      <c r="P315">
        <f>VLOOKUP(A315,DB!A:I,7,FALSE)</f>
        <v>6.4999999999999997E-4</v>
      </c>
      <c r="Q315">
        <f>VLOOKUP(A315,DB!A:I,8,FALSE)</f>
        <v>0.62749999999999995</v>
      </c>
      <c r="R315">
        <f>VLOOKUP(A315,DB!A:I,9,FALSE)</f>
        <v>0.627</v>
      </c>
      <c r="S315">
        <f>N315 *SQRT(H315)</f>
        <v>6.2062806897529219</v>
      </c>
      <c r="T315">
        <f>L315/N315</f>
        <v>0</v>
      </c>
    </row>
    <row r="316" spans="1:20" x14ac:dyDescent="0.25">
      <c r="A316" t="s">
        <v>905</v>
      </c>
      <c r="B316" t="s">
        <v>320</v>
      </c>
      <c r="C316" s="4">
        <v>0.15</v>
      </c>
      <c r="D316" s="4">
        <v>0.33900000000000002</v>
      </c>
      <c r="E316" s="4">
        <v>0</v>
      </c>
      <c r="F316" s="4">
        <v>1.7000000000000001E-2</v>
      </c>
      <c r="G316">
        <v>1.3089999999999999E-2</v>
      </c>
      <c r="H316">
        <f>VLOOKUP(A316,DB!A:I,2,FALSE)</f>
        <v>3000000</v>
      </c>
      <c r="I316">
        <f>VLOOKUP(A316,'RE@CD'!A:D,2,FALSE)</f>
        <v>400000</v>
      </c>
      <c r="J316">
        <f>VLOOKUP(A316,'RE@CD'!A:D,3,FALSE)</f>
        <v>150000</v>
      </c>
      <c r="K316">
        <f>VLOOKUP(A316,'RE@CD'!A:D,4,FALSE)</f>
        <v>250000</v>
      </c>
      <c r="L316">
        <f>VLOOKUP(A316,DB!A:I,3,FALSE)</f>
        <v>0</v>
      </c>
      <c r="M316">
        <f>VLOOKUP(A316,DB!A:I,4,FALSE)</f>
        <v>0</v>
      </c>
      <c r="N316">
        <f>VLOOKUP(A316,DB!A:I,5,FALSE)</f>
        <v>4.7499999999999999E-3</v>
      </c>
      <c r="O316">
        <f>VLOOKUP(A316,DB!A:I,6,FALSE)</f>
        <v>4.0899999999999999E-3</v>
      </c>
      <c r="P316">
        <f>VLOOKUP(A316,DB!A:I,7,FALSE)</f>
        <v>6.6E-4</v>
      </c>
      <c r="Q316">
        <f>VLOOKUP(A316,DB!A:I,8,FALSE)</f>
        <v>0.53879999999999995</v>
      </c>
      <c r="R316">
        <f>VLOOKUP(A316,DB!A:I,9,FALSE)</f>
        <v>0.53869999999999996</v>
      </c>
      <c r="S316">
        <f>N316 *SQRT(H316)</f>
        <v>8.2272413359521668</v>
      </c>
      <c r="T316">
        <f>L316/N316</f>
        <v>0</v>
      </c>
    </row>
    <row r="317" spans="1:20" x14ac:dyDescent="0.25">
      <c r="A317" t="s">
        <v>906</v>
      </c>
      <c r="B317" t="s">
        <v>320</v>
      </c>
      <c r="C317" s="4">
        <v>0.15</v>
      </c>
      <c r="D317" s="4">
        <v>0.33900000000000002</v>
      </c>
      <c r="E317" s="4">
        <v>0</v>
      </c>
      <c r="F317" s="4">
        <v>1.7000000000000001E-2</v>
      </c>
      <c r="G317">
        <v>1.3089999999999999E-2</v>
      </c>
      <c r="H317">
        <f>VLOOKUP(A317,DB!A:I,2,FALSE)</f>
        <v>3000000</v>
      </c>
      <c r="I317">
        <f>VLOOKUP(A317,'RE@CD'!A:D,2,FALSE)</f>
        <v>400000</v>
      </c>
      <c r="J317">
        <f>VLOOKUP(A317,'RE@CD'!A:D,3,FALSE)</f>
        <v>150000</v>
      </c>
      <c r="K317">
        <f>VLOOKUP(A317,'RE@CD'!A:D,4,FALSE)</f>
        <v>250000</v>
      </c>
      <c r="L317">
        <f>VLOOKUP(A317,DB!A:I,3,FALSE)</f>
        <v>0</v>
      </c>
      <c r="M317">
        <f>VLOOKUP(A317,DB!A:I,4,FALSE)</f>
        <v>0</v>
      </c>
      <c r="N317">
        <f>VLOOKUP(A317,DB!A:I,5,FALSE)</f>
        <v>4.7499999999999999E-3</v>
      </c>
      <c r="O317">
        <f>VLOOKUP(A317,DB!A:I,6,FALSE)</f>
        <v>4.0899999999999999E-3</v>
      </c>
      <c r="P317">
        <f>VLOOKUP(A317,DB!A:I,7,FALSE)</f>
        <v>6.6E-4</v>
      </c>
      <c r="Q317">
        <f>VLOOKUP(A317,DB!A:I,8,FALSE)</f>
        <v>0.53879999999999995</v>
      </c>
      <c r="R317">
        <f>VLOOKUP(A317,DB!A:I,9,FALSE)</f>
        <v>0.53869999999999996</v>
      </c>
      <c r="S317">
        <f>N317 *SQRT(H317)</f>
        <v>8.2272413359521668</v>
      </c>
      <c r="T317">
        <f>L317/N317</f>
        <v>0</v>
      </c>
    </row>
    <row r="318" spans="1:20" x14ac:dyDescent="0.25">
      <c r="A318" t="s">
        <v>620</v>
      </c>
      <c r="B318" t="s">
        <v>35</v>
      </c>
      <c r="C318" s="4">
        <v>0.10000199999999999</v>
      </c>
      <c r="D318" s="4">
        <v>0.27900000000000003</v>
      </c>
      <c r="E318" s="4">
        <v>3.6276999999999997E-2</v>
      </c>
      <c r="F318" s="4">
        <v>0.56499999999999995</v>
      </c>
      <c r="G318">
        <v>6.0099999999999997E-3</v>
      </c>
      <c r="H318">
        <f>VLOOKUP(A318,DB!A:I,2,FALSE)</f>
        <v>3000000</v>
      </c>
      <c r="I318">
        <f>VLOOKUP(A318,'RE@CD'!A:D,2,FALSE)</f>
        <v>250000</v>
      </c>
      <c r="J318">
        <f>VLOOKUP(A318,'RE@CD'!A:D,3,FALSE)</f>
        <v>100000</v>
      </c>
      <c r="K318">
        <f>VLOOKUP(A318,'RE@CD'!A:D,4,FALSE)</f>
        <v>150000</v>
      </c>
      <c r="L318">
        <f>VLOOKUP(A318,DB!A:I,3,FALSE)</f>
        <v>0.48430000000000001</v>
      </c>
      <c r="M318">
        <f>VLOOKUP(A318,DB!A:I,4,FALSE)</f>
        <v>-0.1148</v>
      </c>
      <c r="N318">
        <f>VLOOKUP(A318,DB!A:I,5,FALSE)</f>
        <v>4.7400000000000003E-3</v>
      </c>
      <c r="O318">
        <f>VLOOKUP(A318,DB!A:I,6,FALSE)</f>
        <v>4.1999999999999997E-3</v>
      </c>
      <c r="P318">
        <f>VLOOKUP(A318,DB!A:I,7,FALSE)</f>
        <v>5.4000000000000001E-4</v>
      </c>
      <c r="Q318">
        <f>VLOOKUP(A318,DB!A:I,8,FALSE)</f>
        <v>0.60140000000000005</v>
      </c>
      <c r="R318">
        <f>VLOOKUP(A318,DB!A:I,9,FALSE)</f>
        <v>0.40989999999999999</v>
      </c>
      <c r="S318">
        <f>N318 *SQRT(H318)</f>
        <v>8.2099208278764788</v>
      </c>
      <c r="T318">
        <f>L318/N318</f>
        <v>102.17299578059071</v>
      </c>
    </row>
    <row r="319" spans="1:20" x14ac:dyDescent="0.25">
      <c r="A319" t="s">
        <v>799</v>
      </c>
      <c r="B319" t="s">
        <v>214</v>
      </c>
      <c r="C319" s="4">
        <v>5.6689000000000003E-2</v>
      </c>
      <c r="D319" s="4">
        <v>0.23799999999999999</v>
      </c>
      <c r="E319" s="4">
        <v>6.6671999999999995E-2</v>
      </c>
      <c r="F319" s="4">
        <v>0.51</v>
      </c>
      <c r="G319">
        <v>2.2000000000000001E-3</v>
      </c>
      <c r="H319">
        <f>VLOOKUP(A319,DB!A:I,2,FALSE)</f>
        <v>3000000</v>
      </c>
      <c r="I319">
        <f>VLOOKUP(A319,'RE@CD'!A:D,2,FALSE)</f>
        <v>950000</v>
      </c>
      <c r="J319">
        <f>VLOOKUP(A319,'RE@CD'!A:D,3,FALSE)</f>
        <v>100000</v>
      </c>
      <c r="K319">
        <f>VLOOKUP(A319,'RE@CD'!A:D,4,FALSE)</f>
        <v>950000</v>
      </c>
      <c r="L319">
        <f>VLOOKUP(A319,DB!A:I,3,FALSE)</f>
        <v>0.96560000000000001</v>
      </c>
      <c r="M319">
        <f>VLOOKUP(A319,DB!A:I,4,FALSE)</f>
        <v>-0.2331</v>
      </c>
      <c r="N319">
        <f>VLOOKUP(A319,DB!A:I,5,FALSE)</f>
        <v>4.7400000000000003E-3</v>
      </c>
      <c r="O319">
        <f>VLOOKUP(A319,DB!A:I,6,FALSE)</f>
        <v>3.9699999999999996E-3</v>
      </c>
      <c r="P319">
        <f>VLOOKUP(A319,DB!A:I,7,FALSE)</f>
        <v>7.6999999999999996E-4</v>
      </c>
      <c r="Q319">
        <f>VLOOKUP(A319,DB!A:I,8,FALSE)</f>
        <v>0.72760000000000002</v>
      </c>
      <c r="R319">
        <f>VLOOKUP(A319,DB!A:I,9,FALSE)</f>
        <v>0.2198</v>
      </c>
      <c r="S319">
        <f>N319 *SQRT(H319)</f>
        <v>8.2099208278764788</v>
      </c>
      <c r="T319">
        <f>L319/N319</f>
        <v>203.71308016877637</v>
      </c>
    </row>
    <row r="320" spans="1:20" x14ac:dyDescent="0.25">
      <c r="A320" t="s">
        <v>899</v>
      </c>
      <c r="B320" t="s">
        <v>314</v>
      </c>
      <c r="C320" s="4">
        <v>9.8899000000000001E-2</v>
      </c>
      <c r="D320" s="4">
        <v>0.28199999999999997</v>
      </c>
      <c r="E320" s="4">
        <v>1.6903999999999999E-2</v>
      </c>
      <c r="F320" s="4">
        <v>0.22500000000000001</v>
      </c>
      <c r="G320">
        <v>6.3299999999999997E-3</v>
      </c>
      <c r="H320">
        <f>VLOOKUP(A320,DB!A:I,2,FALSE)</f>
        <v>1300000</v>
      </c>
      <c r="I320">
        <f>VLOOKUP(A320,'RE@CD'!A:D,2,FALSE)</f>
        <v>175000</v>
      </c>
      <c r="J320">
        <f>VLOOKUP(A320,'RE@CD'!A:D,3,FALSE)</f>
        <v>50000</v>
      </c>
      <c r="K320">
        <f>VLOOKUP(A320,'RE@CD'!A:D,4,FALSE)</f>
        <v>100000</v>
      </c>
      <c r="L320">
        <f>VLOOKUP(A320,DB!A:I,3,FALSE)</f>
        <v>0.1237</v>
      </c>
      <c r="M320">
        <f>VLOOKUP(A320,DB!A:I,4,FALSE)</f>
        <v>-1.32E-2</v>
      </c>
      <c r="N320">
        <f>VLOOKUP(A320,DB!A:I,5,FALSE)</f>
        <v>4.7400000000000003E-3</v>
      </c>
      <c r="O320">
        <f>VLOOKUP(A320,DB!A:I,6,FALSE)</f>
        <v>3.7499999999999999E-3</v>
      </c>
      <c r="P320">
        <f>VLOOKUP(A320,DB!A:I,7,FALSE)</f>
        <v>9.8999999999999999E-4</v>
      </c>
      <c r="Q320">
        <f>VLOOKUP(A320,DB!A:I,8,FALSE)</f>
        <v>0.53839999999999999</v>
      </c>
      <c r="R320">
        <f>VLOOKUP(A320,DB!A:I,9,FALSE)</f>
        <v>0.91559999999999997</v>
      </c>
      <c r="S320">
        <f>N320 *SQRT(H320)</f>
        <v>5.4044315149699145</v>
      </c>
      <c r="T320">
        <f>L320/N320</f>
        <v>26.09704641350211</v>
      </c>
    </row>
    <row r="321" spans="1:20" x14ac:dyDescent="0.25">
      <c r="A321" t="s">
        <v>914</v>
      </c>
      <c r="B321" t="s">
        <v>328</v>
      </c>
      <c r="C321" s="4">
        <v>0.17078099999999999</v>
      </c>
      <c r="D321" s="4">
        <v>0.40200000000000002</v>
      </c>
      <c r="E321" s="4">
        <v>4.5838999999999998E-2</v>
      </c>
      <c r="F321" s="4">
        <v>0.56499999999999995</v>
      </c>
      <c r="G321">
        <v>7.2899999999999996E-3</v>
      </c>
      <c r="H321">
        <f>VLOOKUP(A321,DB!A:I,2,FALSE)</f>
        <v>3000000</v>
      </c>
      <c r="I321">
        <f>VLOOKUP(A321,'RE@CD'!A:D,2,FALSE)</f>
        <v>525000</v>
      </c>
      <c r="J321">
        <f>VLOOKUP(A321,'RE@CD'!A:D,3,FALSE)</f>
        <v>300000</v>
      </c>
      <c r="K321">
        <f>VLOOKUP(A321,'RE@CD'!A:D,4,FALSE)</f>
        <v>350000</v>
      </c>
      <c r="L321">
        <f>VLOOKUP(A321,DB!A:I,3,FALSE)</f>
        <v>0.61580000000000001</v>
      </c>
      <c r="M321">
        <f>VLOOKUP(A321,DB!A:I,4,FALSE)</f>
        <v>-0.14069999999999999</v>
      </c>
      <c r="N321">
        <f>VLOOKUP(A321,DB!A:I,5,FALSE)</f>
        <v>4.7400000000000003E-3</v>
      </c>
      <c r="O321">
        <f>VLOOKUP(A321,DB!A:I,6,FALSE)</f>
        <v>3.7399999999999998E-3</v>
      </c>
      <c r="P321">
        <f>VLOOKUP(A321,DB!A:I,7,FALSE)</f>
        <v>1E-3</v>
      </c>
      <c r="Q321">
        <f>VLOOKUP(A321,DB!A:I,8,FALSE)</f>
        <v>0.63360000000000005</v>
      </c>
      <c r="R321">
        <f>VLOOKUP(A321,DB!A:I,9,FALSE)</f>
        <v>0.58360000000000001</v>
      </c>
      <c r="S321">
        <f>N321 *SQRT(H321)</f>
        <v>8.2099208278764788</v>
      </c>
      <c r="T321">
        <f>L321/N321</f>
        <v>129.91561181434599</v>
      </c>
    </row>
    <row r="322" spans="1:20" x14ac:dyDescent="0.25">
      <c r="A322" t="s">
        <v>925</v>
      </c>
      <c r="B322" t="s">
        <v>339</v>
      </c>
      <c r="C322" s="4">
        <v>0.10066</v>
      </c>
      <c r="D322" s="4">
        <v>0.27900000000000003</v>
      </c>
      <c r="E322" s="4">
        <v>0</v>
      </c>
      <c r="F322" s="4">
        <v>0.01</v>
      </c>
      <c r="G322">
        <v>1.0059999999999999E-2</v>
      </c>
      <c r="H322">
        <f>VLOOKUP(A322,DB!A:I,2,FALSE)</f>
        <v>1000000</v>
      </c>
      <c r="I322">
        <f>VLOOKUP(A322,'RE@CD'!A:D,2,FALSE)</f>
        <v>200000</v>
      </c>
      <c r="J322">
        <f>VLOOKUP(A322,'RE@CD'!A:D,3,FALSE)</f>
        <v>50000</v>
      </c>
      <c r="K322">
        <f>VLOOKUP(A322,'RE@CD'!A:D,4,FALSE)</f>
        <v>100000</v>
      </c>
      <c r="L322">
        <f>VLOOKUP(A322,DB!A:I,3,FALSE)</f>
        <v>0</v>
      </c>
      <c r="M322">
        <f>VLOOKUP(A322,DB!A:I,4,FALSE)</f>
        <v>0</v>
      </c>
      <c r="N322">
        <f>VLOOKUP(A322,DB!A:I,5,FALSE)</f>
        <v>4.7400000000000003E-3</v>
      </c>
      <c r="O322">
        <f>VLOOKUP(A322,DB!A:I,6,FALSE)</f>
        <v>3.8E-3</v>
      </c>
      <c r="P322">
        <f>VLOOKUP(A322,DB!A:I,7,FALSE)</f>
        <v>9.3000000000000005E-4</v>
      </c>
      <c r="Q322">
        <f>VLOOKUP(A322,DB!A:I,8,FALSE)</f>
        <v>0.7399</v>
      </c>
      <c r="R322">
        <f>VLOOKUP(A322,DB!A:I,9,FALSE)</f>
        <v>0.74019999999999997</v>
      </c>
      <c r="S322">
        <f>N322 *SQRT(H322)</f>
        <v>4.74</v>
      </c>
      <c r="T322">
        <f>L322/N322</f>
        <v>0</v>
      </c>
    </row>
    <row r="323" spans="1:20" x14ac:dyDescent="0.25">
      <c r="A323" t="s">
        <v>1059</v>
      </c>
      <c r="B323" t="s">
        <v>470</v>
      </c>
      <c r="C323" s="4">
        <v>0.149727</v>
      </c>
      <c r="D323" s="4">
        <v>0.441</v>
      </c>
      <c r="E323" s="4">
        <v>1.8090999999999999E-2</v>
      </c>
      <c r="F323" s="4">
        <v>0.308</v>
      </c>
      <c r="G323">
        <v>9.2499999999999995E-3</v>
      </c>
      <c r="H323">
        <f>VLOOKUP(A323,DB!A:I,2,FALSE)</f>
        <v>3000000</v>
      </c>
      <c r="I323">
        <f>VLOOKUP(A323,'RE@CD'!A:D,2,FALSE)</f>
        <v>450000</v>
      </c>
      <c r="J323">
        <f>VLOOKUP(A323,'RE@CD'!A:D,3,FALSE)</f>
        <v>175000</v>
      </c>
      <c r="K323">
        <f>VLOOKUP(A323,'RE@CD'!A:D,4,FALSE)</f>
        <v>250000</v>
      </c>
      <c r="L323">
        <f>VLOOKUP(A323,DB!A:I,3,FALSE)</f>
        <v>0.26939999999999997</v>
      </c>
      <c r="M323">
        <f>VLOOKUP(A323,DB!A:I,4,FALSE)</f>
        <v>-5.3400000000000003E-2</v>
      </c>
      <c r="N323">
        <f>VLOOKUP(A323,DB!A:I,5,FALSE)</f>
        <v>4.7400000000000003E-3</v>
      </c>
      <c r="O323">
        <f>VLOOKUP(A323,DB!A:I,6,FALSE)</f>
        <v>3.7499999999999999E-3</v>
      </c>
      <c r="P323">
        <f>VLOOKUP(A323,DB!A:I,7,FALSE)</f>
        <v>9.8999999999999999E-4</v>
      </c>
      <c r="Q323">
        <f>VLOOKUP(A323,DB!A:I,8,FALSE)</f>
        <v>0.59770000000000001</v>
      </c>
      <c r="R323">
        <f>VLOOKUP(A323,DB!A:I,9,FALSE)</f>
        <v>0.65400000000000003</v>
      </c>
      <c r="S323">
        <f>N323 *SQRT(H323)</f>
        <v>8.2099208278764788</v>
      </c>
      <c r="T323">
        <f>L323/N323</f>
        <v>56.835443037974677</v>
      </c>
    </row>
    <row r="324" spans="1:20" x14ac:dyDescent="0.25">
      <c r="A324" t="s">
        <v>594</v>
      </c>
      <c r="B324" t="s">
        <v>9</v>
      </c>
      <c r="C324" s="4">
        <v>5.8303000000000001E-2</v>
      </c>
      <c r="D324" s="4">
        <v>0.20399999999999999</v>
      </c>
      <c r="E324" s="4">
        <v>1.8027000000000001E-2</v>
      </c>
      <c r="F324" s="4">
        <v>0.39500000000000002</v>
      </c>
      <c r="G324">
        <v>4.0600000000000002E-3</v>
      </c>
      <c r="H324">
        <f>VLOOKUP(A324,DB!A:I,2,FALSE)</f>
        <v>900000</v>
      </c>
      <c r="I324">
        <f>VLOOKUP(A324,'RE@CD'!A:D,2,FALSE)</f>
        <v>100000</v>
      </c>
      <c r="J324">
        <f>VLOOKUP(A324,'RE@CD'!A:D,3,FALSE)</f>
        <v>50000</v>
      </c>
      <c r="K324">
        <f>VLOOKUP(A324,'RE@CD'!A:D,4,FALSE)</f>
        <v>80000</v>
      </c>
      <c r="L324">
        <f>VLOOKUP(A324,DB!A:I,3,FALSE)</f>
        <v>0.19209999999999999</v>
      </c>
      <c r="M324">
        <f>VLOOKUP(A324,DB!A:I,4,FALSE)</f>
        <v>-3.8100000000000002E-2</v>
      </c>
      <c r="N324">
        <f>VLOOKUP(A324,DB!A:I,5,FALSE)</f>
        <v>3.8700000000000002E-3</v>
      </c>
      <c r="O324">
        <f>VLOOKUP(A324,DB!A:I,6,FALSE)</f>
        <v>3.0899999999999999E-3</v>
      </c>
      <c r="P324">
        <f>VLOOKUP(A324,DB!A:I,7,FALSE)</f>
        <v>7.7999999999999999E-4</v>
      </c>
      <c r="Q324">
        <f>VLOOKUP(A324,DB!A:I,8,FALSE)</f>
        <v>0.78200000000000003</v>
      </c>
      <c r="R324">
        <f>VLOOKUP(A324,DB!A:I,9,FALSE)</f>
        <v>0.99360000000000004</v>
      </c>
      <c r="S324">
        <f>N324 *SQRT(H324)</f>
        <v>3.6714043634554887</v>
      </c>
      <c r="T324">
        <f>L324/N324</f>
        <v>49.638242894056845</v>
      </c>
    </row>
    <row r="325" spans="1:20" x14ac:dyDescent="0.25">
      <c r="A325" t="s">
        <v>765</v>
      </c>
      <c r="B325" t="s">
        <v>180</v>
      </c>
      <c r="C325" s="4">
        <v>0.168846</v>
      </c>
      <c r="D325" s="4">
        <v>0.41299999999999998</v>
      </c>
      <c r="E325" s="4">
        <v>1.9168000000000001E-2</v>
      </c>
      <c r="F325" s="4">
        <v>0.30099999999999999</v>
      </c>
      <c r="G325">
        <v>2.4199999999999998E-3</v>
      </c>
      <c r="H325">
        <f>VLOOKUP(A325,DB!A:I,2,FALSE)</f>
        <v>3000000</v>
      </c>
      <c r="I325">
        <f>VLOOKUP(A325,'RE@CD'!A:D,2,FALSE)</f>
        <v>725000</v>
      </c>
      <c r="J325">
        <f>VLOOKUP(A325,'RE@CD'!A:D,3,FALSE)</f>
        <v>325000</v>
      </c>
      <c r="K325">
        <f>VLOOKUP(A325,'RE@CD'!A:D,4,FALSE)</f>
        <v>475000</v>
      </c>
      <c r="L325">
        <f>VLOOKUP(A325,DB!A:I,3,FALSE)</f>
        <v>0.21590000000000001</v>
      </c>
      <c r="M325">
        <f>VLOOKUP(A325,DB!A:I,4,FALSE)</f>
        <v>-3.5799999999999998E-2</v>
      </c>
      <c r="N325">
        <f>VLOOKUP(A325,DB!A:I,5,FALSE)</f>
        <v>4.7299999999999998E-3</v>
      </c>
      <c r="O325">
        <f>VLOOKUP(A325,DB!A:I,6,FALSE)</f>
        <v>3.5200000000000001E-3</v>
      </c>
      <c r="P325">
        <f>VLOOKUP(A325,DB!A:I,7,FALSE)</f>
        <v>1.2099999999999999E-3</v>
      </c>
      <c r="Q325">
        <f>VLOOKUP(A325,DB!A:I,8,FALSE)</f>
        <v>0.57420000000000004</v>
      </c>
      <c r="R325">
        <f>VLOOKUP(A325,DB!A:I,9,FALSE)</f>
        <v>0.75609999999999999</v>
      </c>
      <c r="S325">
        <f>N325 *SQRT(H325)</f>
        <v>8.1926003198007891</v>
      </c>
      <c r="T325">
        <f>L325/N325</f>
        <v>45.644820295983088</v>
      </c>
    </row>
    <row r="326" spans="1:20" x14ac:dyDescent="0.25">
      <c r="A326" t="s">
        <v>832</v>
      </c>
      <c r="B326" t="s">
        <v>247</v>
      </c>
      <c r="C326" s="4">
        <v>0.18368000000000001</v>
      </c>
      <c r="D326" s="4">
        <v>0.372</v>
      </c>
      <c r="E326" s="4">
        <v>3.0000000000000001E-6</v>
      </c>
      <c r="F326" s="4">
        <v>0.46500000000000002</v>
      </c>
      <c r="G326">
        <v>7.43E-3</v>
      </c>
      <c r="H326">
        <f>VLOOKUP(A326,DB!A:I,2,FALSE)</f>
        <v>3000000</v>
      </c>
      <c r="I326">
        <f>VLOOKUP(A326,'RE@CD'!A:D,2,FALSE)</f>
        <v>475000</v>
      </c>
      <c r="J326">
        <f>VLOOKUP(A326,'RE@CD'!A:D,3,FALSE)</f>
        <v>200000</v>
      </c>
      <c r="K326">
        <f>VLOOKUP(A326,'RE@CD'!A:D,4,FALSE)</f>
        <v>275000</v>
      </c>
      <c r="L326">
        <f>VLOOKUP(A326,DB!A:I,3,FALSE)</f>
        <v>0</v>
      </c>
      <c r="M326">
        <f>VLOOKUP(A326,DB!A:I,4,FALSE)</f>
        <v>0</v>
      </c>
      <c r="N326">
        <f>VLOOKUP(A326,DB!A:I,5,FALSE)</f>
        <v>4.7299999999999998E-3</v>
      </c>
      <c r="O326">
        <f>VLOOKUP(A326,DB!A:I,6,FALSE)</f>
        <v>3.8899999999999998E-3</v>
      </c>
      <c r="P326">
        <f>VLOOKUP(A326,DB!A:I,7,FALSE)</f>
        <v>8.4000000000000003E-4</v>
      </c>
      <c r="Q326">
        <f>VLOOKUP(A326,DB!A:I,8,FALSE)</f>
        <v>0.59370000000000001</v>
      </c>
      <c r="R326">
        <f>VLOOKUP(A326,DB!A:I,9,FALSE)</f>
        <v>0.59370000000000001</v>
      </c>
      <c r="S326">
        <f>N326 *SQRT(H326)</f>
        <v>8.1926003198007891</v>
      </c>
      <c r="T326">
        <f>L326/N326</f>
        <v>0</v>
      </c>
    </row>
    <row r="327" spans="1:20" x14ac:dyDescent="0.25">
      <c r="A327" t="s">
        <v>873</v>
      </c>
      <c r="B327" t="s">
        <v>288</v>
      </c>
      <c r="C327" s="4">
        <v>0.15595500000000001</v>
      </c>
      <c r="D327" s="4">
        <v>0.4</v>
      </c>
      <c r="E327" s="4">
        <v>3.0457000000000001E-2</v>
      </c>
      <c r="F327" s="4">
        <v>0.6</v>
      </c>
      <c r="G327">
        <v>8.9899999999999997E-3</v>
      </c>
      <c r="H327">
        <f>VLOOKUP(A327,DB!A:I,2,FALSE)</f>
        <v>3000000</v>
      </c>
      <c r="I327">
        <f>VLOOKUP(A327,'RE@CD'!A:D,2,FALSE)</f>
        <v>425000</v>
      </c>
      <c r="J327">
        <f>VLOOKUP(A327,'RE@CD'!A:D,3,FALSE)</f>
        <v>150000</v>
      </c>
      <c r="K327">
        <f>VLOOKUP(A327,'RE@CD'!A:D,4,FALSE)</f>
        <v>225000</v>
      </c>
      <c r="L327">
        <f>VLOOKUP(A327,DB!A:I,3,FALSE)</f>
        <v>0.47299999999999998</v>
      </c>
      <c r="M327">
        <f>VLOOKUP(A327,DB!A:I,4,FALSE)</f>
        <v>-0.11360000000000001</v>
      </c>
      <c r="N327">
        <f>VLOOKUP(A327,DB!A:I,5,FALSE)</f>
        <v>4.7299999999999998E-3</v>
      </c>
      <c r="O327">
        <f>VLOOKUP(A327,DB!A:I,6,FALSE)</f>
        <v>3.8600000000000001E-3</v>
      </c>
      <c r="P327">
        <f>VLOOKUP(A327,DB!A:I,7,FALSE)</f>
        <v>8.7000000000000001E-4</v>
      </c>
      <c r="Q327">
        <f>VLOOKUP(A327,DB!A:I,8,FALSE)</f>
        <v>0.60850000000000004</v>
      </c>
      <c r="R327">
        <f>VLOOKUP(A327,DB!A:I,9,FALSE)</f>
        <v>0.57520000000000004</v>
      </c>
      <c r="S327">
        <f>N327 *SQRT(H327)</f>
        <v>8.1926003198007891</v>
      </c>
      <c r="T327">
        <f>L327/N327</f>
        <v>100</v>
      </c>
    </row>
    <row r="328" spans="1:20" x14ac:dyDescent="0.25">
      <c r="A328" t="s">
        <v>949</v>
      </c>
      <c r="B328" t="s">
        <v>360</v>
      </c>
      <c r="C328" s="4">
        <v>9.74E-2</v>
      </c>
      <c r="D328" s="4">
        <v>0.33900000000000002</v>
      </c>
      <c r="E328" s="4">
        <v>2.8140999999999999E-2</v>
      </c>
      <c r="F328" s="4">
        <v>0.371</v>
      </c>
      <c r="G328">
        <v>7.2500000000000004E-3</v>
      </c>
      <c r="H328">
        <f>VLOOKUP(A328,DB!A:I,2,FALSE)</f>
        <v>1400000</v>
      </c>
      <c r="I328">
        <f>VLOOKUP(A328,'RE@CD'!A:D,2,FALSE)</f>
        <v>200000</v>
      </c>
      <c r="J328">
        <f>VLOOKUP(A328,'RE@CD'!A:D,3,FALSE)</f>
        <v>80000</v>
      </c>
      <c r="K328">
        <f>VLOOKUP(A328,'RE@CD'!A:D,4,FALSE)</f>
        <v>125000</v>
      </c>
      <c r="L328">
        <f>VLOOKUP(A328,DB!A:I,3,FALSE)</f>
        <v>0.25650000000000001</v>
      </c>
      <c r="M328">
        <f>VLOOKUP(A328,DB!A:I,4,FALSE)</f>
        <v>-4.87E-2</v>
      </c>
      <c r="N328">
        <f>VLOOKUP(A328,DB!A:I,5,FALSE)</f>
        <v>4.7299999999999998E-3</v>
      </c>
      <c r="O328">
        <f>VLOOKUP(A328,DB!A:I,6,FALSE)</f>
        <v>3.9500000000000004E-3</v>
      </c>
      <c r="P328">
        <f>VLOOKUP(A328,DB!A:I,7,FALSE)</f>
        <v>7.7999999999999999E-4</v>
      </c>
      <c r="Q328">
        <f>VLOOKUP(A328,DB!A:I,8,FALSE)</f>
        <v>0.61650000000000005</v>
      </c>
      <c r="R328">
        <f>VLOOKUP(A328,DB!A:I,9,FALSE)</f>
        <v>0.73560000000000003</v>
      </c>
      <c r="S328">
        <f>N328 *SQRT(H328)</f>
        <v>5.5966114748122369</v>
      </c>
      <c r="T328">
        <f>L328/N328</f>
        <v>54.22832980972516</v>
      </c>
    </row>
    <row r="329" spans="1:20" x14ac:dyDescent="0.25">
      <c r="A329" t="s">
        <v>1127</v>
      </c>
      <c r="B329" t="s">
        <v>538</v>
      </c>
      <c r="C329" s="4">
        <v>0.13006400000000001</v>
      </c>
      <c r="D329" s="4">
        <v>0.32900000000000001</v>
      </c>
      <c r="E329" s="4">
        <v>9.247E-3</v>
      </c>
      <c r="F329" s="4">
        <v>0.29499999999999998</v>
      </c>
      <c r="G329">
        <v>8.8999999999999999E-3</v>
      </c>
      <c r="H329">
        <f>VLOOKUP(A329,DB!A:I,2,FALSE)</f>
        <v>3000000</v>
      </c>
      <c r="I329">
        <f>VLOOKUP(A329,'RE@CD'!A:D,2,FALSE)</f>
        <v>225000</v>
      </c>
      <c r="J329">
        <f>VLOOKUP(A329,'RE@CD'!A:D,3,FALSE)</f>
        <v>100000</v>
      </c>
      <c r="K329">
        <f>VLOOKUP(A329,'RE@CD'!A:D,4,FALSE)</f>
        <v>150000</v>
      </c>
      <c r="L329">
        <f>VLOOKUP(A329,DB!A:I,3,FALSE)</f>
        <v>0.1222</v>
      </c>
      <c r="M329">
        <f>VLOOKUP(A329,DB!A:I,4,FALSE)</f>
        <v>-2.2499999999999999E-2</v>
      </c>
      <c r="N329">
        <f>VLOOKUP(A329,DB!A:I,5,FALSE)</f>
        <v>4.7299999999999998E-3</v>
      </c>
      <c r="O329">
        <f>VLOOKUP(A329,DB!A:I,6,FALSE)</f>
        <v>4.0499999999999998E-3</v>
      </c>
      <c r="P329">
        <f>VLOOKUP(A329,DB!A:I,7,FALSE)</f>
        <v>6.8000000000000005E-4</v>
      </c>
      <c r="Q329">
        <f>VLOOKUP(A329,DB!A:I,8,FALSE)</f>
        <v>0.52449999999999997</v>
      </c>
      <c r="R329">
        <f>VLOOKUP(A329,DB!A:I,9,FALSE)</f>
        <v>0.5958</v>
      </c>
      <c r="S329">
        <f>N329 *SQRT(H329)</f>
        <v>8.1926003198007891</v>
      </c>
      <c r="T329">
        <f>L329/N329</f>
        <v>25.835095137420719</v>
      </c>
    </row>
    <row r="330" spans="1:20" x14ac:dyDescent="0.25">
      <c r="A330" t="s">
        <v>909</v>
      </c>
      <c r="B330" t="s">
        <v>323</v>
      </c>
      <c r="C330" s="4">
        <v>0.170901</v>
      </c>
      <c r="D330" s="4">
        <v>0.435</v>
      </c>
      <c r="E330" s="4">
        <v>4.3631999999999997E-2</v>
      </c>
      <c r="F330" s="4">
        <v>0.56499999999999995</v>
      </c>
      <c r="G330">
        <v>8.5400000000000007E-3</v>
      </c>
      <c r="H330">
        <f>VLOOKUP(A330,DB!A:I,2,FALSE)</f>
        <v>3000000</v>
      </c>
      <c r="I330">
        <f>VLOOKUP(A330,'RE@CD'!A:D,2,FALSE)</f>
        <v>700000</v>
      </c>
      <c r="J330">
        <f>VLOOKUP(A330,'RE@CD'!A:D,3,FALSE)</f>
        <v>325000</v>
      </c>
      <c r="K330">
        <f>VLOOKUP(A330,'RE@CD'!A:D,4,FALSE)</f>
        <v>450000</v>
      </c>
      <c r="L330">
        <f>VLOOKUP(A330,DB!A:I,3,FALSE)</f>
        <v>0.61140000000000005</v>
      </c>
      <c r="M330">
        <f>VLOOKUP(A330,DB!A:I,4,FALSE)</f>
        <v>-0.14169999999999999</v>
      </c>
      <c r="N330">
        <f>VLOOKUP(A330,DB!A:I,5,FALSE)</f>
        <v>4.7200000000000002E-3</v>
      </c>
      <c r="O330">
        <f>VLOOKUP(A330,DB!A:I,6,FALSE)</f>
        <v>3.6099999999999999E-3</v>
      </c>
      <c r="P330">
        <f>VLOOKUP(A330,DB!A:I,7,FALSE)</f>
        <v>1.1100000000000001E-3</v>
      </c>
      <c r="Q330">
        <f>VLOOKUP(A330,DB!A:I,8,FALSE)</f>
        <v>0.65439999999999998</v>
      </c>
      <c r="R330">
        <f>VLOOKUP(A330,DB!A:I,9,FALSE)</f>
        <v>0.62019999999999997</v>
      </c>
      <c r="S330">
        <f>N330 *SQRT(H330)</f>
        <v>8.1752798117251011</v>
      </c>
      <c r="T330">
        <f>L330/N330</f>
        <v>129.53389830508476</v>
      </c>
    </row>
    <row r="331" spans="1:20" x14ac:dyDescent="0.25">
      <c r="A331" t="s">
        <v>997</v>
      </c>
      <c r="B331" t="s">
        <v>408</v>
      </c>
      <c r="C331" s="4">
        <v>0.13000300000000001</v>
      </c>
      <c r="D331" s="4">
        <v>0.35</v>
      </c>
      <c r="E331" s="4">
        <v>3.4424000000000003E-2</v>
      </c>
      <c r="F331" s="4">
        <v>0.5</v>
      </c>
      <c r="G331">
        <v>4.9300000000000004E-3</v>
      </c>
      <c r="H331">
        <f>VLOOKUP(A331,DB!A:I,2,FALSE)</f>
        <v>3000000</v>
      </c>
      <c r="I331">
        <f>VLOOKUP(A331,'RE@CD'!A:D,2,FALSE)</f>
        <v>300000</v>
      </c>
      <c r="J331">
        <f>VLOOKUP(A331,'RE@CD'!A:D,3,FALSE)</f>
        <v>175000</v>
      </c>
      <c r="K331">
        <f>VLOOKUP(A331,'RE@CD'!A:D,4,FALSE)</f>
        <v>175000</v>
      </c>
      <c r="L331">
        <f>VLOOKUP(A331,DB!A:I,3,FALSE)</f>
        <v>0.48970000000000002</v>
      </c>
      <c r="M331">
        <f>VLOOKUP(A331,DB!A:I,4,FALSE)</f>
        <v>-0.1047</v>
      </c>
      <c r="N331">
        <f>VLOOKUP(A331,DB!A:I,5,FALSE)</f>
        <v>4.7200000000000002E-3</v>
      </c>
      <c r="O331">
        <f>VLOOKUP(A331,DB!A:I,6,FALSE)</f>
        <v>3.9699999999999996E-3</v>
      </c>
      <c r="P331">
        <f>VLOOKUP(A331,DB!A:I,7,FALSE)</f>
        <v>7.5000000000000002E-4</v>
      </c>
      <c r="Q331">
        <f>VLOOKUP(A331,DB!A:I,8,FALSE)</f>
        <v>0.58940000000000003</v>
      </c>
      <c r="R331">
        <f>VLOOKUP(A331,DB!A:I,9,FALSE)</f>
        <v>0.5373</v>
      </c>
      <c r="S331">
        <f>N331 *SQRT(H331)</f>
        <v>8.1752798117251011</v>
      </c>
      <c r="T331">
        <f>L331/N331</f>
        <v>103.75</v>
      </c>
    </row>
    <row r="332" spans="1:20" x14ac:dyDescent="0.25">
      <c r="A332" t="s">
        <v>1101</v>
      </c>
      <c r="B332" t="s">
        <v>512</v>
      </c>
      <c r="C332" s="4">
        <v>9.4704999999999998E-2</v>
      </c>
      <c r="D332" s="4">
        <v>0.29899999999999999</v>
      </c>
      <c r="E332" s="4">
        <v>2.9137E-2</v>
      </c>
      <c r="F332" s="4">
        <v>0.39200000000000002</v>
      </c>
      <c r="G332">
        <v>4.7600000000000003E-3</v>
      </c>
      <c r="H332">
        <f>VLOOKUP(A332,DB!A:I,2,FALSE)</f>
        <v>1150000</v>
      </c>
      <c r="I332">
        <f>VLOOKUP(A332,'RE@CD'!A:D,2,FALSE)</f>
        <v>175000</v>
      </c>
      <c r="J332">
        <f>VLOOKUP(A332,'RE@CD'!A:D,3,FALSE)</f>
        <v>70000</v>
      </c>
      <c r="K332">
        <f>VLOOKUP(A332,'RE@CD'!A:D,4,FALSE)</f>
        <v>100000</v>
      </c>
      <c r="L332">
        <f>VLOOKUP(A332,DB!A:I,3,FALSE)</f>
        <v>0.2823</v>
      </c>
      <c r="M332">
        <f>VLOOKUP(A332,DB!A:I,4,FALSE)</f>
        <v>-5.1900000000000002E-2</v>
      </c>
      <c r="N332">
        <f>VLOOKUP(A332,DB!A:I,5,FALSE)</f>
        <v>4.7200000000000002E-3</v>
      </c>
      <c r="O332">
        <f>VLOOKUP(A332,DB!A:I,6,FALSE)</f>
        <v>3.7299999999999998E-3</v>
      </c>
      <c r="P332">
        <f>VLOOKUP(A332,DB!A:I,7,FALSE)</f>
        <v>9.8999999999999999E-4</v>
      </c>
      <c r="Q332">
        <f>VLOOKUP(A332,DB!A:I,8,FALSE)</f>
        <v>0.61070000000000002</v>
      </c>
      <c r="R332">
        <f>VLOOKUP(A332,DB!A:I,9,FALSE)</f>
        <v>0.87380000000000002</v>
      </c>
      <c r="S332">
        <f>N332 *SQRT(H332)</f>
        <v>5.0616360991284237</v>
      </c>
      <c r="T332">
        <f>L332/N332</f>
        <v>59.809322033898304</v>
      </c>
    </row>
    <row r="333" spans="1:20" x14ac:dyDescent="0.25">
      <c r="A333" t="s">
        <v>675</v>
      </c>
      <c r="B333" t="s">
        <v>90</v>
      </c>
      <c r="C333" s="4">
        <v>8.6918999999999996E-2</v>
      </c>
      <c r="D333" s="4">
        <v>0.30599999999999999</v>
      </c>
      <c r="E333" s="4">
        <v>2.7789999999999999E-2</v>
      </c>
      <c r="F333" s="4">
        <v>0.38800000000000001</v>
      </c>
      <c r="G333">
        <v>3.9300000000000003E-3</v>
      </c>
      <c r="H333">
        <f>VLOOKUP(A333,DB!A:I,2,FALSE)</f>
        <v>1100000</v>
      </c>
      <c r="I333">
        <f>VLOOKUP(A333,'RE@CD'!A:D,2,FALSE)</f>
        <v>175000</v>
      </c>
      <c r="J333">
        <f>VLOOKUP(A333,'RE@CD'!A:D,3,FALSE)</f>
        <v>70000</v>
      </c>
      <c r="K333">
        <f>VLOOKUP(A333,'RE@CD'!A:D,4,FALSE)</f>
        <v>100000</v>
      </c>
      <c r="L333">
        <f>VLOOKUP(A333,DB!A:I,3,FALSE)</f>
        <v>0.21870000000000001</v>
      </c>
      <c r="M333">
        <f>VLOOKUP(A333,DB!A:I,4,FALSE)</f>
        <v>-3.7900000000000003E-2</v>
      </c>
      <c r="N333">
        <f>VLOOKUP(A333,DB!A:I,5,FALSE)</f>
        <v>4.7099999999999998E-3</v>
      </c>
      <c r="O333">
        <f>VLOOKUP(A333,DB!A:I,6,FALSE)</f>
        <v>3.81E-3</v>
      </c>
      <c r="P333">
        <f>VLOOKUP(A333,DB!A:I,7,FALSE)</f>
        <v>8.9999999999999998E-4</v>
      </c>
      <c r="Q333">
        <f>VLOOKUP(A333,DB!A:I,8,FALSE)</f>
        <v>0.60970000000000002</v>
      </c>
      <c r="R333">
        <f>VLOOKUP(A333,DB!A:I,9,FALSE)</f>
        <v>0.87219999999999998</v>
      </c>
      <c r="S333">
        <f>N333 *SQRT(H333)</f>
        <v>4.9398896748814138</v>
      </c>
      <c r="T333">
        <f>L333/N333</f>
        <v>46.433121019108285</v>
      </c>
    </row>
    <row r="334" spans="1:20" x14ac:dyDescent="0.25">
      <c r="A334" t="s">
        <v>860</v>
      </c>
      <c r="B334" t="s">
        <v>275</v>
      </c>
      <c r="C334" s="4">
        <v>0.19081799999999999</v>
      </c>
      <c r="D334" s="4">
        <v>0.371</v>
      </c>
      <c r="E334" s="4">
        <v>2.5822000000000001E-2</v>
      </c>
      <c r="F334" s="4">
        <v>0.56499999999999995</v>
      </c>
      <c r="G334">
        <v>1.257E-2</v>
      </c>
      <c r="H334">
        <f>VLOOKUP(A334,DB!A:I,2,FALSE)</f>
        <v>3000000</v>
      </c>
      <c r="I334">
        <f>VLOOKUP(A334,'RE@CD'!A:D,2,FALSE)</f>
        <v>450000</v>
      </c>
      <c r="J334">
        <f>VLOOKUP(A334,'RE@CD'!A:D,3,FALSE)</f>
        <v>250000</v>
      </c>
      <c r="K334">
        <f>VLOOKUP(A334,'RE@CD'!A:D,4,FALSE)</f>
        <v>300000</v>
      </c>
      <c r="L334">
        <f>VLOOKUP(A334,DB!A:I,3,FALSE)</f>
        <v>0.50029999999999997</v>
      </c>
      <c r="M334">
        <f>VLOOKUP(A334,DB!A:I,4,FALSE)</f>
        <v>-0.12130000000000001</v>
      </c>
      <c r="N334">
        <f>VLOOKUP(A334,DB!A:I,5,FALSE)</f>
        <v>4.7099999999999998E-3</v>
      </c>
      <c r="O334">
        <f>VLOOKUP(A334,DB!A:I,6,FALSE)</f>
        <v>3.5899999999999999E-3</v>
      </c>
      <c r="P334">
        <f>VLOOKUP(A334,DB!A:I,7,FALSE)</f>
        <v>1.1199999999999999E-3</v>
      </c>
      <c r="Q334">
        <f>VLOOKUP(A334,DB!A:I,8,FALSE)</f>
        <v>0.62760000000000005</v>
      </c>
      <c r="R334">
        <f>VLOOKUP(A334,DB!A:I,9,FALSE)</f>
        <v>0.6331</v>
      </c>
      <c r="S334">
        <f>N334 *SQRT(H334)</f>
        <v>8.1579593036494114</v>
      </c>
      <c r="T334">
        <f>L334/N334</f>
        <v>106.22080679405519</v>
      </c>
    </row>
    <row r="335" spans="1:20" x14ac:dyDescent="0.25">
      <c r="A335" t="s">
        <v>947</v>
      </c>
      <c r="B335" t="s">
        <v>358</v>
      </c>
      <c r="C335" s="4">
        <v>0.16050300000000001</v>
      </c>
      <c r="D335" s="4">
        <v>0.371</v>
      </c>
      <c r="E335" s="4">
        <v>3.8781000000000003E-2</v>
      </c>
      <c r="F335" s="4">
        <v>0.629</v>
      </c>
      <c r="G335">
        <v>1.6080000000000001E-2</v>
      </c>
      <c r="H335">
        <f>VLOOKUP(A335,DB!A:I,2,FALSE)</f>
        <v>3000000</v>
      </c>
      <c r="I335">
        <f>VLOOKUP(A335,'RE@CD'!A:D,2,FALSE)</f>
        <v>425000</v>
      </c>
      <c r="J335">
        <f>VLOOKUP(A335,'RE@CD'!A:D,3,FALSE)</f>
        <v>175000</v>
      </c>
      <c r="K335">
        <f>VLOOKUP(A335,'RE@CD'!A:D,4,FALSE)</f>
        <v>300000</v>
      </c>
      <c r="L335">
        <f>VLOOKUP(A335,DB!A:I,3,FALSE)</f>
        <v>0.55689999999999995</v>
      </c>
      <c r="M335">
        <f>VLOOKUP(A335,DB!A:I,4,FALSE)</f>
        <v>-0.14499999999999999</v>
      </c>
      <c r="N335">
        <f>VLOOKUP(A335,DB!A:I,5,FALSE)</f>
        <v>4.7099999999999998E-3</v>
      </c>
      <c r="O335">
        <f>VLOOKUP(A335,DB!A:I,6,FALSE)</f>
        <v>3.7799999999999999E-3</v>
      </c>
      <c r="P335">
        <f>VLOOKUP(A335,DB!A:I,7,FALSE)</f>
        <v>9.3000000000000005E-4</v>
      </c>
      <c r="Q335">
        <f>VLOOKUP(A335,DB!A:I,8,FALSE)</f>
        <v>0.68140000000000001</v>
      </c>
      <c r="R335">
        <f>VLOOKUP(A335,DB!A:I,9,FALSE)</f>
        <v>0.48680000000000001</v>
      </c>
      <c r="S335">
        <f>N335 *SQRT(H335)</f>
        <v>8.1579593036494114</v>
      </c>
      <c r="T335">
        <f>L335/N335</f>
        <v>118.23779193205944</v>
      </c>
    </row>
    <row r="336" spans="1:20" x14ac:dyDescent="0.25">
      <c r="A336" t="s">
        <v>991</v>
      </c>
      <c r="B336" t="s">
        <v>402</v>
      </c>
      <c r="C336" s="4">
        <v>0.13986199999999999</v>
      </c>
      <c r="D336" s="4">
        <v>0.35</v>
      </c>
      <c r="E336" s="4">
        <v>2.9371999999999999E-2</v>
      </c>
      <c r="F336" s="4">
        <v>0.5</v>
      </c>
      <c r="G336">
        <v>5.77E-3</v>
      </c>
      <c r="H336">
        <f>VLOOKUP(A336,DB!A:I,2,FALSE)</f>
        <v>3000000</v>
      </c>
      <c r="I336">
        <f>VLOOKUP(A336,'RE@CD'!A:D,2,FALSE)</f>
        <v>325000</v>
      </c>
      <c r="J336">
        <f>VLOOKUP(A336,'RE@CD'!A:D,3,FALSE)</f>
        <v>125000</v>
      </c>
      <c r="K336">
        <f>VLOOKUP(A336,'RE@CD'!A:D,4,FALSE)</f>
        <v>225000</v>
      </c>
      <c r="L336">
        <f>VLOOKUP(A336,DB!A:I,3,FALSE)</f>
        <v>0.42030000000000001</v>
      </c>
      <c r="M336">
        <f>VLOOKUP(A336,DB!A:I,4,FALSE)</f>
        <v>-8.9499999999999996E-2</v>
      </c>
      <c r="N336">
        <f>VLOOKUP(A336,DB!A:I,5,FALSE)</f>
        <v>4.7099999999999998E-3</v>
      </c>
      <c r="O336">
        <f>VLOOKUP(A336,DB!A:I,6,FALSE)</f>
        <v>3.9500000000000004E-3</v>
      </c>
      <c r="P336">
        <f>VLOOKUP(A336,DB!A:I,7,FALSE)</f>
        <v>7.6000000000000004E-4</v>
      </c>
      <c r="Q336">
        <f>VLOOKUP(A336,DB!A:I,8,FALSE)</f>
        <v>0.58740000000000003</v>
      </c>
      <c r="R336">
        <f>VLOOKUP(A336,DB!A:I,9,FALSE)</f>
        <v>0.54549999999999998</v>
      </c>
      <c r="S336">
        <f>N336 *SQRT(H336)</f>
        <v>8.1579593036494114</v>
      </c>
      <c r="T336">
        <f>L336/N336</f>
        <v>89.235668789808926</v>
      </c>
    </row>
    <row r="337" spans="1:20" x14ac:dyDescent="0.25">
      <c r="A337" t="s">
        <v>1006</v>
      </c>
      <c r="B337" t="s">
        <v>417</v>
      </c>
      <c r="C337" s="4">
        <v>6.5087000000000006E-2</v>
      </c>
      <c r="D337" s="4">
        <v>0.20799999999999999</v>
      </c>
      <c r="E337" s="4">
        <v>1.0767000000000001E-2</v>
      </c>
      <c r="F337" s="4">
        <v>0.22600000000000001</v>
      </c>
      <c r="G337">
        <v>1.97E-3</v>
      </c>
      <c r="H337">
        <f>VLOOKUP(A337,DB!A:I,2,FALSE)</f>
        <v>1050000</v>
      </c>
      <c r="I337">
        <f>VLOOKUP(A337,'RE@CD'!A:D,2,FALSE)</f>
        <v>100000</v>
      </c>
      <c r="J337">
        <f>VLOOKUP(A337,'RE@CD'!A:D,3,FALSE)</f>
        <v>90000</v>
      </c>
      <c r="K337">
        <f>VLOOKUP(A337,'RE@CD'!A:D,4,FALSE)</f>
        <v>90000</v>
      </c>
      <c r="L337">
        <f>VLOOKUP(A337,DB!A:I,3,FALSE)</f>
        <v>6.3299999999999995E-2</v>
      </c>
      <c r="M337">
        <f>VLOOKUP(A337,DB!A:I,4,FALSE)</f>
        <v>-4.0000000000000001E-3</v>
      </c>
      <c r="N337">
        <f>VLOOKUP(A337,DB!A:I,5,FALSE)</f>
        <v>4.7099999999999998E-3</v>
      </c>
      <c r="O337">
        <f>VLOOKUP(A337,DB!A:I,6,FALSE)</f>
        <v>3.8500000000000001E-3</v>
      </c>
      <c r="P337">
        <f>VLOOKUP(A337,DB!A:I,7,FALSE)</f>
        <v>8.5999999999999998E-4</v>
      </c>
      <c r="Q337">
        <f>VLOOKUP(A337,DB!A:I,8,FALSE)</f>
        <v>0.50339999999999996</v>
      </c>
      <c r="R337">
        <f>VLOOKUP(A337,DB!A:I,9,FALSE)</f>
        <v>0.94210000000000005</v>
      </c>
      <c r="S337">
        <f>N337 *SQRT(H337)</f>
        <v>4.8263138107669707</v>
      </c>
      <c r="T337">
        <f>L337/N337</f>
        <v>13.439490445859873</v>
      </c>
    </row>
    <row r="338" spans="1:20" x14ac:dyDescent="0.25">
      <c r="A338" t="s">
        <v>600</v>
      </c>
      <c r="B338" t="s">
        <v>15</v>
      </c>
      <c r="C338" s="4">
        <v>5.3706999999999998E-2</v>
      </c>
      <c r="D338" s="4">
        <v>0.19900000000000001</v>
      </c>
      <c r="E338" s="4">
        <v>2.1038999999999999E-2</v>
      </c>
      <c r="F338" s="4">
        <v>0.40500000000000003</v>
      </c>
      <c r="G338">
        <v>3.3E-3</v>
      </c>
      <c r="H338">
        <f>VLOOKUP(A338,DB!A:I,2,FALSE)</f>
        <v>975000</v>
      </c>
      <c r="I338">
        <f>VLOOKUP(A338,'RE@CD'!A:D,2,FALSE)</f>
        <v>100000</v>
      </c>
      <c r="J338">
        <f>VLOOKUP(A338,'RE@CD'!A:D,3,FALSE)</f>
        <v>50000</v>
      </c>
      <c r="K338">
        <f>VLOOKUP(A338,'RE@CD'!A:D,4,FALSE)</f>
        <v>70000</v>
      </c>
      <c r="L338">
        <f>VLOOKUP(A338,DB!A:I,3,FALSE)</f>
        <v>0.2409</v>
      </c>
      <c r="M338">
        <f>VLOOKUP(A338,DB!A:I,4,FALSE)</f>
        <v>-4.9000000000000002E-2</v>
      </c>
      <c r="N338">
        <f>VLOOKUP(A338,DB!A:I,5,FALSE)</f>
        <v>3.8700000000000002E-3</v>
      </c>
      <c r="O338">
        <f>VLOOKUP(A338,DB!A:I,6,FALSE)</f>
        <v>3.1700000000000001E-3</v>
      </c>
      <c r="P338">
        <f>VLOOKUP(A338,DB!A:I,7,FALSE)</f>
        <v>6.8999999999999997E-4</v>
      </c>
      <c r="Q338">
        <f>VLOOKUP(A338,DB!A:I,8,FALSE)</f>
        <v>0.7339</v>
      </c>
      <c r="R338">
        <f>VLOOKUP(A338,DB!A:I,9,FALSE)</f>
        <v>1</v>
      </c>
      <c r="S338">
        <f>N338 *SQRT(H338)</f>
        <v>3.8213188168484455</v>
      </c>
      <c r="T338">
        <f>L338/N338</f>
        <v>62.248062015503876</v>
      </c>
    </row>
    <row r="339" spans="1:20" x14ac:dyDescent="0.25">
      <c r="A339" t="s">
        <v>604</v>
      </c>
      <c r="B339" t="s">
        <v>19</v>
      </c>
      <c r="C339" s="4">
        <v>5.4025999999999998E-2</v>
      </c>
      <c r="D339" s="4">
        <v>0.19400000000000001</v>
      </c>
      <c r="E339" s="4">
        <v>2.2814000000000001E-2</v>
      </c>
      <c r="F339" s="4">
        <v>0.42799999999999999</v>
      </c>
      <c r="G339">
        <v>3.2799999999999999E-3</v>
      </c>
      <c r="H339">
        <f>VLOOKUP(A339,DB!A:I,2,FALSE)</f>
        <v>975000</v>
      </c>
      <c r="I339">
        <f>VLOOKUP(A339,'RE@CD'!A:D,2,FALSE)</f>
        <v>100000</v>
      </c>
      <c r="J339">
        <f>VLOOKUP(A339,'RE@CD'!A:D,3,FALSE)</f>
        <v>50000</v>
      </c>
      <c r="K339">
        <f>VLOOKUP(A339,'RE@CD'!A:D,4,FALSE)</f>
        <v>80000</v>
      </c>
      <c r="L339">
        <f>VLOOKUP(A339,DB!A:I,3,FALSE)</f>
        <v>0.26190000000000002</v>
      </c>
      <c r="M339">
        <f>VLOOKUP(A339,DB!A:I,4,FALSE)</f>
        <v>-5.3499999999999999E-2</v>
      </c>
      <c r="N339">
        <f>VLOOKUP(A339,DB!A:I,5,FALSE)</f>
        <v>3.8300000000000001E-3</v>
      </c>
      <c r="O339">
        <f>VLOOKUP(A339,DB!A:I,6,FALSE)</f>
        <v>3.1199999999999999E-3</v>
      </c>
      <c r="P339">
        <f>VLOOKUP(A339,DB!A:I,7,FALSE)</f>
        <v>7.1000000000000002E-4</v>
      </c>
      <c r="Q339">
        <f>VLOOKUP(A339,DB!A:I,8,FALSE)</f>
        <v>0.75160000000000005</v>
      </c>
      <c r="R339">
        <f>VLOOKUP(A339,DB!A:I,9,FALSE)</f>
        <v>1</v>
      </c>
      <c r="S339">
        <f>N339 *SQRT(H339)</f>
        <v>3.7818219815321825</v>
      </c>
      <c r="T339">
        <f>L339/N339</f>
        <v>68.38120104438643</v>
      </c>
    </row>
    <row r="340" spans="1:20" x14ac:dyDescent="0.25">
      <c r="A340" t="s">
        <v>1004</v>
      </c>
      <c r="B340" t="s">
        <v>415</v>
      </c>
      <c r="C340" s="4">
        <v>5.0205E-2</v>
      </c>
      <c r="D340" s="4">
        <v>0.186</v>
      </c>
      <c r="E340" s="4">
        <v>9.9999999999999995E-7</v>
      </c>
      <c r="F340" s="4">
        <v>0.122</v>
      </c>
      <c r="G340">
        <v>2.96E-3</v>
      </c>
      <c r="H340">
        <f>VLOOKUP(A340,DB!A:I,2,FALSE)</f>
        <v>925000</v>
      </c>
      <c r="I340">
        <f>VLOOKUP(A340,'RE@CD'!A:D,2,FALSE)</f>
        <v>90000</v>
      </c>
      <c r="J340">
        <f>VLOOKUP(A340,'RE@CD'!A:D,3,FALSE)</f>
        <v>50000</v>
      </c>
      <c r="K340">
        <f>VLOOKUP(A340,'RE@CD'!A:D,4,FALSE)</f>
        <v>90000</v>
      </c>
      <c r="L340">
        <f>VLOOKUP(A340,DB!A:I,3,FALSE)</f>
        <v>0</v>
      </c>
      <c r="M340">
        <f>VLOOKUP(A340,DB!A:I,4,FALSE)</f>
        <v>0</v>
      </c>
      <c r="N340">
        <f>VLOOKUP(A340,DB!A:I,5,FALSE)</f>
        <v>3.2499999999999999E-3</v>
      </c>
      <c r="O340">
        <f>VLOOKUP(A340,DB!A:I,6,FALSE)</f>
        <v>2.4599999999999999E-3</v>
      </c>
      <c r="P340">
        <f>VLOOKUP(A340,DB!A:I,7,FALSE)</f>
        <v>8.0000000000000004E-4</v>
      </c>
      <c r="Q340">
        <f>VLOOKUP(A340,DB!A:I,8,FALSE)</f>
        <v>0.9647</v>
      </c>
      <c r="R340">
        <f>VLOOKUP(A340,DB!A:I,9,FALSE)</f>
        <v>0.96430000000000005</v>
      </c>
      <c r="S340">
        <f>N340 *SQRT(H340)</f>
        <v>3.1257499100215935</v>
      </c>
      <c r="T340">
        <f>L340/N340</f>
        <v>0</v>
      </c>
    </row>
    <row r="341" spans="1:20" x14ac:dyDescent="0.25">
      <c r="A341" t="s">
        <v>1136</v>
      </c>
      <c r="B341" t="s">
        <v>547</v>
      </c>
      <c r="C341" s="4">
        <v>9.2021000000000006E-2</v>
      </c>
      <c r="D341" s="4">
        <v>0.28100000000000003</v>
      </c>
      <c r="E341" s="4">
        <v>2.8181999999999999E-2</v>
      </c>
      <c r="F341" s="4">
        <v>0.41</v>
      </c>
      <c r="G341">
        <v>3.9500000000000004E-3</v>
      </c>
      <c r="H341">
        <f>VLOOKUP(A341,DB!A:I,2,FALSE)</f>
        <v>1750000</v>
      </c>
      <c r="I341">
        <f>VLOOKUP(A341,'RE@CD'!A:D,2,FALSE)</f>
        <v>175000</v>
      </c>
      <c r="J341">
        <f>VLOOKUP(A341,'RE@CD'!A:D,3,FALSE)</f>
        <v>70000</v>
      </c>
      <c r="K341">
        <f>VLOOKUP(A341,'RE@CD'!A:D,4,FALSE)</f>
        <v>125000</v>
      </c>
      <c r="L341">
        <f>VLOOKUP(A341,DB!A:I,3,FALSE)</f>
        <v>0.33550000000000002</v>
      </c>
      <c r="M341">
        <f>VLOOKUP(A341,DB!A:I,4,FALSE)</f>
        <v>-6.9000000000000006E-2</v>
      </c>
      <c r="N341">
        <f>VLOOKUP(A341,DB!A:I,5,FALSE)</f>
        <v>4.7099999999999998E-3</v>
      </c>
      <c r="O341">
        <f>VLOOKUP(A341,DB!A:I,6,FALSE)</f>
        <v>4.0200000000000001E-3</v>
      </c>
      <c r="P341">
        <f>VLOOKUP(A341,DB!A:I,7,FALSE)</f>
        <v>6.8999999999999997E-4</v>
      </c>
      <c r="Q341">
        <f>VLOOKUP(A341,DB!A:I,8,FALSE)</f>
        <v>0.61009999999999998</v>
      </c>
      <c r="R341">
        <f>VLOOKUP(A341,DB!A:I,9,FALSE)</f>
        <v>0.64649999999999996</v>
      </c>
      <c r="S341">
        <f>N341 *SQRT(H341)</f>
        <v>6.2307443375571099</v>
      </c>
      <c r="T341">
        <f>L341/N341</f>
        <v>71.231422505307862</v>
      </c>
    </row>
    <row r="342" spans="1:20" x14ac:dyDescent="0.25">
      <c r="A342" t="s">
        <v>789</v>
      </c>
      <c r="B342" t="s">
        <v>204</v>
      </c>
      <c r="C342" s="4">
        <v>0.16497300000000001</v>
      </c>
      <c r="D342" s="4">
        <v>0.38</v>
      </c>
      <c r="E342" s="4">
        <v>4.4906000000000001E-2</v>
      </c>
      <c r="F342" s="4">
        <v>0.38</v>
      </c>
      <c r="G342">
        <v>2.81E-3</v>
      </c>
      <c r="H342">
        <f>VLOOKUP(A342,DB!A:I,2,FALSE)</f>
        <v>3000000</v>
      </c>
      <c r="I342">
        <f>VLOOKUP(A342,'RE@CD'!A:D,2,FALSE)</f>
        <v>550000</v>
      </c>
      <c r="J342">
        <f>VLOOKUP(A342,'RE@CD'!A:D,3,FALSE)</f>
        <v>200000</v>
      </c>
      <c r="K342">
        <f>VLOOKUP(A342,'RE@CD'!A:D,4,FALSE)</f>
        <v>325000</v>
      </c>
      <c r="L342">
        <f>VLOOKUP(A342,DB!A:I,3,FALSE)</f>
        <v>0.54690000000000005</v>
      </c>
      <c r="M342">
        <f>VLOOKUP(A342,DB!A:I,4,FALSE)</f>
        <v>-0.108</v>
      </c>
      <c r="N342">
        <f>VLOOKUP(A342,DB!A:I,5,FALSE)</f>
        <v>4.7000000000000002E-3</v>
      </c>
      <c r="O342">
        <f>VLOOKUP(A342,DB!A:I,6,FALSE)</f>
        <v>3.5599999999999998E-3</v>
      </c>
      <c r="P342">
        <f>VLOOKUP(A342,DB!A:I,7,FALSE)</f>
        <v>1.14E-3</v>
      </c>
      <c r="Q342">
        <f>VLOOKUP(A342,DB!A:I,8,FALSE)</f>
        <v>0.57689999999999997</v>
      </c>
      <c r="R342">
        <f>VLOOKUP(A342,DB!A:I,9,FALSE)</f>
        <v>0.73960000000000004</v>
      </c>
      <c r="S342">
        <f>N342 *SQRT(H342)</f>
        <v>8.1406387955737234</v>
      </c>
      <c r="T342">
        <f>L342/N342</f>
        <v>116.36170212765958</v>
      </c>
    </row>
    <row r="343" spans="1:20" x14ac:dyDescent="0.25">
      <c r="A343" t="s">
        <v>821</v>
      </c>
      <c r="B343" t="s">
        <v>236</v>
      </c>
      <c r="C343" s="4">
        <v>0.131046</v>
      </c>
      <c r="D343" s="4">
        <v>0.32500000000000001</v>
      </c>
      <c r="E343" s="4">
        <v>3.3321000000000003E-2</v>
      </c>
      <c r="F343" s="4">
        <v>0.50900000000000001</v>
      </c>
      <c r="G343">
        <v>2.66E-3</v>
      </c>
      <c r="H343">
        <f>VLOOKUP(A343,DB!A:I,2,FALSE)</f>
        <v>3000000</v>
      </c>
      <c r="I343">
        <f>VLOOKUP(A343,'RE@CD'!A:D,2,FALSE)</f>
        <v>275000</v>
      </c>
      <c r="J343">
        <f>VLOOKUP(A343,'RE@CD'!A:D,3,FALSE)</f>
        <v>125000</v>
      </c>
      <c r="K343">
        <f>VLOOKUP(A343,'RE@CD'!A:D,4,FALSE)</f>
        <v>200000</v>
      </c>
      <c r="L343">
        <f>VLOOKUP(A343,DB!A:I,3,FALSE)</f>
        <v>0.48680000000000001</v>
      </c>
      <c r="M343">
        <f>VLOOKUP(A343,DB!A:I,4,FALSE)</f>
        <v>-0.1166</v>
      </c>
      <c r="N343">
        <f>VLOOKUP(A343,DB!A:I,5,FALSE)</f>
        <v>4.7000000000000002E-3</v>
      </c>
      <c r="O343">
        <f>VLOOKUP(A343,DB!A:I,6,FALSE)</f>
        <v>3.9500000000000004E-3</v>
      </c>
      <c r="P343">
        <f>VLOOKUP(A343,DB!A:I,7,FALSE)</f>
        <v>7.5000000000000002E-4</v>
      </c>
      <c r="Q343">
        <f>VLOOKUP(A343,DB!A:I,8,FALSE)</f>
        <v>0.63639999999999997</v>
      </c>
      <c r="R343">
        <f>VLOOKUP(A343,DB!A:I,9,FALSE)</f>
        <v>0.49580000000000002</v>
      </c>
      <c r="S343">
        <f>N343 *SQRT(H343)</f>
        <v>8.1406387955737234</v>
      </c>
      <c r="T343">
        <f>L343/N343</f>
        <v>103.57446808510637</v>
      </c>
    </row>
    <row r="344" spans="1:20" x14ac:dyDescent="0.25">
      <c r="A344" t="s">
        <v>1044</v>
      </c>
      <c r="B344" t="s">
        <v>455</v>
      </c>
      <c r="C344" s="4">
        <v>8.5936999999999999E-2</v>
      </c>
      <c r="D344" s="4">
        <v>0.26900000000000002</v>
      </c>
      <c r="E344" s="4">
        <v>1.4905E-2</v>
      </c>
      <c r="F344" s="4">
        <v>0.375</v>
      </c>
      <c r="G344">
        <v>1.8500000000000001E-3</v>
      </c>
      <c r="H344">
        <f>VLOOKUP(A344,DB!A:I,2,FALSE)</f>
        <v>2600000</v>
      </c>
      <c r="I344">
        <f>VLOOKUP(A344,'RE@CD'!A:D,2,FALSE)</f>
        <v>150000</v>
      </c>
      <c r="J344">
        <f>VLOOKUP(A344,'RE@CD'!A:D,3,FALSE)</f>
        <v>50000</v>
      </c>
      <c r="K344">
        <f>VLOOKUP(A344,'RE@CD'!A:D,4,FALSE)</f>
        <v>80000</v>
      </c>
      <c r="L344">
        <f>VLOOKUP(A344,DB!A:I,3,FALSE)</f>
        <v>8.9200000000000002E-2</v>
      </c>
      <c r="M344">
        <f>VLOOKUP(A344,DB!A:I,4,FALSE)</f>
        <v>-8.9999999999999993E-3</v>
      </c>
      <c r="N344">
        <f>VLOOKUP(A344,DB!A:I,5,FALSE)</f>
        <v>4.6899999999999997E-3</v>
      </c>
      <c r="O344">
        <f>VLOOKUP(A344,DB!A:I,6,FALSE)</f>
        <v>4.28E-3</v>
      </c>
      <c r="P344">
        <f>VLOOKUP(A344,DB!A:I,7,FALSE)</f>
        <v>4.0999999999999999E-4</v>
      </c>
      <c r="Q344">
        <f>VLOOKUP(A344,DB!A:I,8,FALSE)</f>
        <v>0.55879999999999996</v>
      </c>
      <c r="R344">
        <f>VLOOKUP(A344,DB!A:I,9,FALSE)</f>
        <v>0.48670000000000002</v>
      </c>
      <c r="S344">
        <f>N344 *SQRT(H344)</f>
        <v>7.5623977679040388</v>
      </c>
      <c r="T344">
        <f>L344/N344</f>
        <v>19.019189765458425</v>
      </c>
    </row>
    <row r="345" spans="1:20" x14ac:dyDescent="0.25">
      <c r="A345" t="s">
        <v>689</v>
      </c>
      <c r="B345" t="s">
        <v>104</v>
      </c>
      <c r="C345" s="4">
        <v>0.109643</v>
      </c>
      <c r="D345" s="4">
        <v>0.33200000000000002</v>
      </c>
      <c r="E345" s="4">
        <v>2.5512E-2</v>
      </c>
      <c r="F345" s="4">
        <v>0.59099999999999997</v>
      </c>
      <c r="G345">
        <v>5.6899999999999997E-3</v>
      </c>
      <c r="H345">
        <f>VLOOKUP(A345,DB!A:I,2,FALSE)</f>
        <v>3000000</v>
      </c>
      <c r="I345">
        <f>VLOOKUP(A345,'RE@CD'!A:D,2,FALSE)</f>
        <v>200000</v>
      </c>
      <c r="J345">
        <f>VLOOKUP(A345,'RE@CD'!A:D,3,FALSE)</f>
        <v>90000</v>
      </c>
      <c r="K345">
        <f>VLOOKUP(A345,'RE@CD'!A:D,4,FALSE)</f>
        <v>150000</v>
      </c>
      <c r="L345">
        <f>VLOOKUP(A345,DB!A:I,3,FALSE)</f>
        <v>0.43730000000000002</v>
      </c>
      <c r="M345">
        <f>VLOOKUP(A345,DB!A:I,4,FALSE)</f>
        <v>-0.1071</v>
      </c>
      <c r="N345">
        <f>VLOOKUP(A345,DB!A:I,5,FALSE)</f>
        <v>4.6800000000000001E-3</v>
      </c>
      <c r="O345">
        <f>VLOOKUP(A345,DB!A:I,6,FALSE)</f>
        <v>4.0099999999999997E-3</v>
      </c>
      <c r="P345">
        <f>VLOOKUP(A345,DB!A:I,7,FALSE)</f>
        <v>6.8000000000000005E-4</v>
      </c>
      <c r="Q345">
        <f>VLOOKUP(A345,DB!A:I,8,FALSE)</f>
        <v>0.5796</v>
      </c>
      <c r="R345">
        <f>VLOOKUP(A345,DB!A:I,9,FALSE)</f>
        <v>0.55940000000000001</v>
      </c>
      <c r="S345">
        <f>N345 *SQRT(H345)</f>
        <v>8.1059977794223457</v>
      </c>
      <c r="T345">
        <f>L345/N345</f>
        <v>93.440170940170944</v>
      </c>
    </row>
    <row r="346" spans="1:20" x14ac:dyDescent="0.25">
      <c r="A346" t="s">
        <v>700</v>
      </c>
      <c r="B346" t="s">
        <v>115</v>
      </c>
      <c r="C346" s="4">
        <v>0.17319999999999999</v>
      </c>
      <c r="D346" s="4">
        <v>0.39800000000000002</v>
      </c>
      <c r="E346" s="4">
        <v>3.1663999999999998E-2</v>
      </c>
      <c r="F346" s="4">
        <v>0.39800000000000002</v>
      </c>
      <c r="G346">
        <v>7.6400000000000001E-3</v>
      </c>
      <c r="H346">
        <f>VLOOKUP(A346,DB!A:I,2,FALSE)</f>
        <v>3000000</v>
      </c>
      <c r="I346">
        <f>VLOOKUP(A346,'RE@CD'!A:D,2,FALSE)</f>
        <v>700000</v>
      </c>
      <c r="J346">
        <f>VLOOKUP(A346,'RE@CD'!A:D,3,FALSE)</f>
        <v>250000</v>
      </c>
      <c r="K346">
        <f>VLOOKUP(A346,'RE@CD'!A:D,4,FALSE)</f>
        <v>425000</v>
      </c>
      <c r="L346">
        <f>VLOOKUP(A346,DB!A:I,3,FALSE)</f>
        <v>0.3211</v>
      </c>
      <c r="M346">
        <f>VLOOKUP(A346,DB!A:I,4,FALSE)</f>
        <v>-5.8700000000000002E-2</v>
      </c>
      <c r="N346">
        <f>VLOOKUP(A346,DB!A:I,5,FALSE)</f>
        <v>4.6800000000000001E-3</v>
      </c>
      <c r="O346">
        <f>VLOOKUP(A346,DB!A:I,6,FALSE)</f>
        <v>3.5699999999999998E-3</v>
      </c>
      <c r="P346">
        <f>VLOOKUP(A346,DB!A:I,7,FALSE)</f>
        <v>1.1100000000000001E-3</v>
      </c>
      <c r="Q346">
        <f>VLOOKUP(A346,DB!A:I,8,FALSE)</f>
        <v>0.56479999999999997</v>
      </c>
      <c r="R346">
        <f>VLOOKUP(A346,DB!A:I,9,FALSE)</f>
        <v>0.75170000000000003</v>
      </c>
      <c r="S346">
        <f>N346 *SQRT(H346)</f>
        <v>8.1059977794223457</v>
      </c>
      <c r="T346">
        <f>L346/N346</f>
        <v>68.611111111111114</v>
      </c>
    </row>
    <row r="347" spans="1:20" x14ac:dyDescent="0.25">
      <c r="A347" t="s">
        <v>704</v>
      </c>
      <c r="B347" t="s">
        <v>119</v>
      </c>
      <c r="C347" s="4">
        <v>0.13121099999999999</v>
      </c>
      <c r="D347" s="4">
        <v>0.32400000000000001</v>
      </c>
      <c r="E347" s="4">
        <v>2.6037000000000001E-2</v>
      </c>
      <c r="F347" s="4">
        <v>0.23</v>
      </c>
      <c r="G347">
        <v>2.5899999999999999E-3</v>
      </c>
      <c r="H347">
        <f>VLOOKUP(A347,DB!A:I,2,FALSE)</f>
        <v>3000000</v>
      </c>
      <c r="I347">
        <f>VLOOKUP(A347,'RE@CD'!A:D,2,FALSE)</f>
        <v>500000</v>
      </c>
      <c r="J347">
        <f>VLOOKUP(A347,'RE@CD'!A:D,3,FALSE)</f>
        <v>90000</v>
      </c>
      <c r="K347">
        <f>VLOOKUP(A347,'RE@CD'!A:D,4,FALSE)</f>
        <v>325000</v>
      </c>
      <c r="L347">
        <f>VLOOKUP(A347,DB!A:I,3,FALSE)</f>
        <v>9.9400000000000002E-2</v>
      </c>
      <c r="M347">
        <f>VLOOKUP(A347,DB!A:I,4,FALSE)</f>
        <v>1.03E-2</v>
      </c>
      <c r="N347">
        <f>VLOOKUP(A347,DB!A:I,5,FALSE)</f>
        <v>4.6800000000000001E-3</v>
      </c>
      <c r="O347">
        <f>VLOOKUP(A347,DB!A:I,6,FALSE)</f>
        <v>3.8300000000000001E-3</v>
      </c>
      <c r="P347">
        <f>VLOOKUP(A347,DB!A:I,7,FALSE)</f>
        <v>8.4999999999999995E-4</v>
      </c>
      <c r="Q347">
        <f>VLOOKUP(A347,DB!A:I,8,FALSE)</f>
        <v>0.38800000000000001</v>
      </c>
      <c r="R347">
        <f>VLOOKUP(A347,DB!A:I,9,FALSE)</f>
        <v>0.80110000000000003</v>
      </c>
      <c r="S347">
        <f>N347 *SQRT(H347)</f>
        <v>8.1059977794223457</v>
      </c>
      <c r="T347">
        <f>L347/N347</f>
        <v>21.239316239316238</v>
      </c>
    </row>
    <row r="348" spans="1:20" x14ac:dyDescent="0.25">
      <c r="A348" t="s">
        <v>811</v>
      </c>
      <c r="B348" t="s">
        <v>226</v>
      </c>
      <c r="C348" s="4">
        <v>0.17344899999999999</v>
      </c>
      <c r="D348" s="4">
        <v>0.373</v>
      </c>
      <c r="E348" s="4">
        <v>3.9975999999999998E-2</v>
      </c>
      <c r="F348" s="4">
        <v>0.45400000000000001</v>
      </c>
      <c r="G348">
        <v>1.3699999999999999E-3</v>
      </c>
      <c r="H348">
        <f>VLOOKUP(A348,DB!A:I,2,FALSE)</f>
        <v>3000000</v>
      </c>
      <c r="I348">
        <f>VLOOKUP(A348,'RE@CD'!A:D,2,FALSE)</f>
        <v>550000</v>
      </c>
      <c r="J348">
        <f>VLOOKUP(A348,'RE@CD'!A:D,3,FALSE)</f>
        <v>300000</v>
      </c>
      <c r="K348">
        <f>VLOOKUP(A348,'RE@CD'!A:D,4,FALSE)</f>
        <v>350000</v>
      </c>
      <c r="L348">
        <f>VLOOKUP(A348,DB!A:I,3,FALSE)</f>
        <v>0.54759999999999998</v>
      </c>
      <c r="M348">
        <f>VLOOKUP(A348,DB!A:I,4,FALSE)</f>
        <v>-0.1162</v>
      </c>
      <c r="N348">
        <f>VLOOKUP(A348,DB!A:I,5,FALSE)</f>
        <v>4.6800000000000001E-3</v>
      </c>
      <c r="O348">
        <f>VLOOKUP(A348,DB!A:I,6,FALSE)</f>
        <v>3.5999999999999999E-3</v>
      </c>
      <c r="P348">
        <f>VLOOKUP(A348,DB!A:I,7,FALSE)</f>
        <v>1.08E-3</v>
      </c>
      <c r="Q348">
        <f>VLOOKUP(A348,DB!A:I,8,FALSE)</f>
        <v>0.60750000000000004</v>
      </c>
      <c r="R348">
        <f>VLOOKUP(A348,DB!A:I,9,FALSE)</f>
        <v>0.65549999999999997</v>
      </c>
      <c r="S348">
        <f>N348 *SQRT(H348)</f>
        <v>8.1059977794223457</v>
      </c>
      <c r="T348">
        <f>L348/N348</f>
        <v>117.008547008547</v>
      </c>
    </row>
    <row r="349" spans="1:20" x14ac:dyDescent="0.25">
      <c r="A349" t="s">
        <v>946</v>
      </c>
      <c r="B349" t="s">
        <v>357</v>
      </c>
      <c r="C349" s="4">
        <v>0.108684</v>
      </c>
      <c r="D349" s="4">
        <v>0.309</v>
      </c>
      <c r="E349" s="4">
        <v>4.2154999999999998E-2</v>
      </c>
      <c r="F349" s="4">
        <v>0.53300000000000003</v>
      </c>
      <c r="G349">
        <v>7.45E-3</v>
      </c>
      <c r="H349">
        <f>VLOOKUP(A349,DB!A:I,2,FALSE)</f>
        <v>3000000</v>
      </c>
      <c r="I349">
        <f>VLOOKUP(A349,'RE@CD'!A:D,2,FALSE)</f>
        <v>300000</v>
      </c>
      <c r="J349">
        <f>VLOOKUP(A349,'RE@CD'!A:D,3,FALSE)</f>
        <v>125000</v>
      </c>
      <c r="K349">
        <f>VLOOKUP(A349,'RE@CD'!A:D,4,FALSE)</f>
        <v>200000</v>
      </c>
      <c r="L349">
        <f>VLOOKUP(A349,DB!A:I,3,FALSE)</f>
        <v>0.54949999999999999</v>
      </c>
      <c r="M349">
        <f>VLOOKUP(A349,DB!A:I,4,FALSE)</f>
        <v>-0.13389999999999999</v>
      </c>
      <c r="N349">
        <f>VLOOKUP(A349,DB!A:I,5,FALSE)</f>
        <v>4.6800000000000001E-3</v>
      </c>
      <c r="O349">
        <f>VLOOKUP(A349,DB!A:I,6,FALSE)</f>
        <v>4.0499999999999998E-3</v>
      </c>
      <c r="P349">
        <f>VLOOKUP(A349,DB!A:I,7,FALSE)</f>
        <v>6.3000000000000003E-4</v>
      </c>
      <c r="Q349">
        <f>VLOOKUP(A349,DB!A:I,8,FALSE)</f>
        <v>0.67859999999999998</v>
      </c>
      <c r="R349">
        <f>VLOOKUP(A349,DB!A:I,9,FALSE)</f>
        <v>0.372</v>
      </c>
      <c r="S349">
        <f>N349 *SQRT(H349)</f>
        <v>8.1059977794223457</v>
      </c>
      <c r="T349">
        <f>L349/N349</f>
        <v>117.41452991452991</v>
      </c>
    </row>
    <row r="350" spans="1:20" x14ac:dyDescent="0.25">
      <c r="A350" t="s">
        <v>1020</v>
      </c>
      <c r="B350" t="s">
        <v>431</v>
      </c>
      <c r="C350" s="4">
        <v>0.11569599999999999</v>
      </c>
      <c r="D350" s="4">
        <v>0.34699999999999998</v>
      </c>
      <c r="E350" s="4">
        <v>2.5708000000000002E-2</v>
      </c>
      <c r="F350" s="4">
        <v>0.40699999999999997</v>
      </c>
      <c r="G350">
        <v>4.3299999999999996E-3</v>
      </c>
      <c r="H350">
        <f>VLOOKUP(A350,DB!A:I,2,FALSE)</f>
        <v>2900000</v>
      </c>
      <c r="I350">
        <f>VLOOKUP(A350,'RE@CD'!A:D,2,FALSE)</f>
        <v>225000</v>
      </c>
      <c r="J350">
        <f>VLOOKUP(A350,'RE@CD'!A:D,3,FALSE)</f>
        <v>80000</v>
      </c>
      <c r="K350">
        <f>VLOOKUP(A350,'RE@CD'!A:D,4,FALSE)</f>
        <v>125000</v>
      </c>
      <c r="L350">
        <f>VLOOKUP(A350,DB!A:I,3,FALSE)</f>
        <v>0.246</v>
      </c>
      <c r="M350">
        <f>VLOOKUP(A350,DB!A:I,4,FALSE)</f>
        <v>-4.6399999999999997E-2</v>
      </c>
      <c r="N350">
        <f>VLOOKUP(A350,DB!A:I,5,FALSE)</f>
        <v>4.6800000000000001E-3</v>
      </c>
      <c r="O350">
        <f>VLOOKUP(A350,DB!A:I,6,FALSE)</f>
        <v>4.0099999999999997E-3</v>
      </c>
      <c r="P350">
        <f>VLOOKUP(A350,DB!A:I,7,FALSE)</f>
        <v>6.7000000000000002E-4</v>
      </c>
      <c r="Q350">
        <f>VLOOKUP(A350,DB!A:I,8,FALSE)</f>
        <v>0.57230000000000003</v>
      </c>
      <c r="R350">
        <f>VLOOKUP(A350,DB!A:I,9,FALSE)</f>
        <v>0.59530000000000005</v>
      </c>
      <c r="S350">
        <f>N350 *SQRT(H350)</f>
        <v>7.9697528192535554</v>
      </c>
      <c r="T350">
        <f>L350/N350</f>
        <v>52.564102564102562</v>
      </c>
    </row>
    <row r="351" spans="1:20" x14ac:dyDescent="0.25">
      <c r="A351" t="s">
        <v>1149</v>
      </c>
      <c r="B351" t="s">
        <v>560</v>
      </c>
      <c r="C351" s="4">
        <v>9.1558E-2</v>
      </c>
      <c r="D351" s="4">
        <v>0.29699999999999999</v>
      </c>
      <c r="E351" s="4">
        <v>2.4513E-2</v>
      </c>
      <c r="F351" s="4">
        <v>0.39900000000000002</v>
      </c>
      <c r="G351">
        <v>5.5599999999999998E-3</v>
      </c>
      <c r="H351">
        <f>VLOOKUP(A351,DB!A:I,2,FALSE)</f>
        <v>1250000</v>
      </c>
      <c r="I351">
        <f>VLOOKUP(A351,'RE@CD'!A:D,2,FALSE)</f>
        <v>175000</v>
      </c>
      <c r="J351">
        <f>VLOOKUP(A351,'RE@CD'!A:D,3,FALSE)</f>
        <v>50000</v>
      </c>
      <c r="K351">
        <f>VLOOKUP(A351,'RE@CD'!A:D,4,FALSE)</f>
        <v>125000</v>
      </c>
      <c r="L351">
        <f>VLOOKUP(A351,DB!A:I,3,FALSE)</f>
        <v>0.307</v>
      </c>
      <c r="M351">
        <f>VLOOKUP(A351,DB!A:I,4,FALSE)</f>
        <v>-6.3799999999999996E-2</v>
      </c>
      <c r="N351">
        <f>VLOOKUP(A351,DB!A:I,5,FALSE)</f>
        <v>4.6800000000000001E-3</v>
      </c>
      <c r="O351">
        <f>VLOOKUP(A351,DB!A:I,6,FALSE)</f>
        <v>3.8600000000000001E-3</v>
      </c>
      <c r="P351">
        <f>VLOOKUP(A351,DB!A:I,7,FALSE)</f>
        <v>8.3000000000000001E-4</v>
      </c>
      <c r="Q351">
        <f>VLOOKUP(A351,DB!A:I,8,FALSE)</f>
        <v>0.66339999999999999</v>
      </c>
      <c r="R351">
        <f>VLOOKUP(A351,DB!A:I,9,FALSE)</f>
        <v>0.73870000000000002</v>
      </c>
      <c r="S351">
        <f>N351 *SQRT(H351)</f>
        <v>5.2323990673495082</v>
      </c>
      <c r="T351">
        <f>L351/N351</f>
        <v>65.598290598290589</v>
      </c>
    </row>
    <row r="352" spans="1:20" x14ac:dyDescent="0.25">
      <c r="A352" t="s">
        <v>815</v>
      </c>
      <c r="B352" t="s">
        <v>230</v>
      </c>
      <c r="C352" s="4">
        <v>0.15023</v>
      </c>
      <c r="D352" s="4">
        <v>0.42399999999999999</v>
      </c>
      <c r="E352" s="4">
        <v>4.0829999999999998E-2</v>
      </c>
      <c r="F352" s="4">
        <v>0.47499999999999998</v>
      </c>
      <c r="G352">
        <v>1.6000000000000001E-4</v>
      </c>
      <c r="H352">
        <f>VLOOKUP(A352,DB!A:I,2,FALSE)</f>
        <v>2100000</v>
      </c>
      <c r="I352">
        <f>VLOOKUP(A352,'RE@CD'!A:D,2,FALSE)</f>
        <v>625000</v>
      </c>
      <c r="J352">
        <f>VLOOKUP(A352,'RE@CD'!A:D,3,FALSE)</f>
        <v>225000</v>
      </c>
      <c r="K352">
        <f>VLOOKUP(A352,'RE@CD'!A:D,4,FALSE)</f>
        <v>450000</v>
      </c>
      <c r="L352">
        <f>VLOOKUP(A352,DB!A:I,3,FALSE)</f>
        <v>0.64670000000000005</v>
      </c>
      <c r="M352">
        <f>VLOOKUP(A352,DB!A:I,4,FALSE)</f>
        <v>-0.14979999999999999</v>
      </c>
      <c r="N352">
        <f>VLOOKUP(A352,DB!A:I,5,FALSE)</f>
        <v>4.6699999999999997E-3</v>
      </c>
      <c r="O352">
        <f>VLOOKUP(A352,DB!A:I,6,FALSE)</f>
        <v>3.49E-3</v>
      </c>
      <c r="P352">
        <f>VLOOKUP(A352,DB!A:I,7,FALSE)</f>
        <v>1.1900000000000001E-3</v>
      </c>
      <c r="Q352">
        <f>VLOOKUP(A352,DB!A:I,8,FALSE)</f>
        <v>0.74109999999999998</v>
      </c>
      <c r="R352">
        <f>VLOOKUP(A352,DB!A:I,9,FALSE)</f>
        <v>0.66239999999999999</v>
      </c>
      <c r="S352">
        <f>N352 *SQRT(H352)</f>
        <v>6.7674729404704674</v>
      </c>
      <c r="T352">
        <f>L352/N352</f>
        <v>138.47965738758032</v>
      </c>
    </row>
    <row r="353" spans="1:20" x14ac:dyDescent="0.25">
      <c r="A353" t="s">
        <v>943</v>
      </c>
      <c r="B353" t="s">
        <v>354</v>
      </c>
      <c r="C353" s="4">
        <v>0.12068</v>
      </c>
      <c r="D353" s="4">
        <v>0.33900000000000002</v>
      </c>
      <c r="E353" s="4">
        <v>0</v>
      </c>
      <c r="F353" s="4">
        <v>0.999</v>
      </c>
      <c r="G353">
        <v>1.244E-2</v>
      </c>
      <c r="H353">
        <f>VLOOKUP(A353,DB!A:I,2,FALSE)</f>
        <v>3000000</v>
      </c>
      <c r="I353">
        <f>VLOOKUP(A353,'RE@CD'!A:D,2,FALSE)</f>
        <v>250000</v>
      </c>
      <c r="J353">
        <f>VLOOKUP(A353,'RE@CD'!A:D,3,FALSE)</f>
        <v>80000</v>
      </c>
      <c r="K353">
        <f>VLOOKUP(A353,'RE@CD'!A:D,4,FALSE)</f>
        <v>125000</v>
      </c>
      <c r="L353">
        <f>VLOOKUP(A353,DB!A:I,3,FALSE)</f>
        <v>0</v>
      </c>
      <c r="M353">
        <f>VLOOKUP(A353,DB!A:I,4,FALSE)</f>
        <v>0</v>
      </c>
      <c r="N353">
        <f>VLOOKUP(A353,DB!A:I,5,FALSE)</f>
        <v>4.6699999999999997E-3</v>
      </c>
      <c r="O353">
        <f>VLOOKUP(A353,DB!A:I,6,FALSE)</f>
        <v>4.1099999999999999E-3</v>
      </c>
      <c r="P353">
        <f>VLOOKUP(A353,DB!A:I,7,FALSE)</f>
        <v>5.5999999999999995E-4</v>
      </c>
      <c r="Q353">
        <f>VLOOKUP(A353,DB!A:I,8,FALSE)</f>
        <v>0.54200000000000004</v>
      </c>
      <c r="R353">
        <f>VLOOKUP(A353,DB!A:I,9,FALSE)</f>
        <v>0.54269999999999996</v>
      </c>
      <c r="S353">
        <f>N353 *SQRT(H353)</f>
        <v>8.0886772713466559</v>
      </c>
      <c r="T353">
        <f>L353/N353</f>
        <v>0</v>
      </c>
    </row>
    <row r="354" spans="1:20" x14ac:dyDescent="0.25">
      <c r="A354" t="s">
        <v>1061</v>
      </c>
      <c r="B354" t="s">
        <v>472</v>
      </c>
      <c r="C354" s="4">
        <v>0.14999000000000001</v>
      </c>
      <c r="D354" s="4">
        <v>0.40300000000000002</v>
      </c>
      <c r="E354" s="4">
        <v>4.6965E-2</v>
      </c>
      <c r="F354" s="4">
        <v>0.58299999999999996</v>
      </c>
      <c r="G354">
        <v>6.8100000000000001E-3</v>
      </c>
      <c r="H354">
        <f>VLOOKUP(A354,DB!A:I,2,FALSE)</f>
        <v>3000000</v>
      </c>
      <c r="I354">
        <f>VLOOKUP(A354,'RE@CD'!A:D,2,FALSE)</f>
        <v>475000</v>
      </c>
      <c r="J354">
        <f>VLOOKUP(A354,'RE@CD'!A:D,3,FALSE)</f>
        <v>225000</v>
      </c>
      <c r="K354">
        <f>VLOOKUP(A354,'RE@CD'!A:D,4,FALSE)</f>
        <v>350000</v>
      </c>
      <c r="L354">
        <f>VLOOKUP(A354,DB!A:I,3,FALSE)</f>
        <v>0.77359999999999995</v>
      </c>
      <c r="M354">
        <f>VLOOKUP(A354,DB!A:I,4,FALSE)</f>
        <v>-0.19159999999999999</v>
      </c>
      <c r="N354">
        <f>VLOOKUP(A354,DB!A:I,5,FALSE)</f>
        <v>4.6699999999999997E-3</v>
      </c>
      <c r="O354">
        <f>VLOOKUP(A354,DB!A:I,6,FALSE)</f>
        <v>3.5300000000000002E-3</v>
      </c>
      <c r="P354">
        <f>VLOOKUP(A354,DB!A:I,7,FALSE)</f>
        <v>1.14E-3</v>
      </c>
      <c r="Q354">
        <f>VLOOKUP(A354,DB!A:I,8,FALSE)</f>
        <v>0.68769999999999998</v>
      </c>
      <c r="R354">
        <f>VLOOKUP(A354,DB!A:I,9,FALSE)</f>
        <v>0.61529999999999996</v>
      </c>
      <c r="S354">
        <f>N354 *SQRT(H354)</f>
        <v>8.0886772713466559</v>
      </c>
      <c r="T354">
        <f>L354/N354</f>
        <v>165.65310492505353</v>
      </c>
    </row>
    <row r="355" spans="1:20" x14ac:dyDescent="0.25">
      <c r="A355" t="s">
        <v>695</v>
      </c>
      <c r="B355" t="s">
        <v>110</v>
      </c>
      <c r="C355" s="4">
        <v>0.101733</v>
      </c>
      <c r="D355" s="4">
        <v>0.311</v>
      </c>
      <c r="E355" s="4">
        <v>2.4886999999999999E-2</v>
      </c>
      <c r="F355" s="4">
        <v>0.504</v>
      </c>
      <c r="G355">
        <v>5.3699999999999998E-3</v>
      </c>
      <c r="H355">
        <f>VLOOKUP(A355,DB!A:I,2,FALSE)</f>
        <v>3000000</v>
      </c>
      <c r="I355">
        <f>VLOOKUP(A355,'RE@CD'!A:D,2,FALSE)</f>
        <v>200000</v>
      </c>
      <c r="J355">
        <f>VLOOKUP(A355,'RE@CD'!A:D,3,FALSE)</f>
        <v>80000</v>
      </c>
      <c r="K355">
        <f>VLOOKUP(A355,'RE@CD'!A:D,4,FALSE)</f>
        <v>125000</v>
      </c>
      <c r="L355">
        <f>VLOOKUP(A355,DB!A:I,3,FALSE)</f>
        <v>0.39050000000000001</v>
      </c>
      <c r="M355">
        <f>VLOOKUP(A355,DB!A:I,4,FALSE)</f>
        <v>-9.2299999999999993E-2</v>
      </c>
      <c r="N355">
        <f>VLOOKUP(A355,DB!A:I,5,FALSE)</f>
        <v>4.6499999999999996E-3</v>
      </c>
      <c r="O355">
        <f>VLOOKUP(A355,DB!A:I,6,FALSE)</f>
        <v>4.0800000000000003E-3</v>
      </c>
      <c r="P355">
        <f>VLOOKUP(A355,DB!A:I,7,FALSE)</f>
        <v>5.6999999999999998E-4</v>
      </c>
      <c r="Q355">
        <f>VLOOKUP(A355,DB!A:I,8,FALSE)</f>
        <v>0.58709999999999996</v>
      </c>
      <c r="R355">
        <f>VLOOKUP(A355,DB!A:I,9,FALSE)</f>
        <v>0.50139999999999996</v>
      </c>
      <c r="S355">
        <f>N355 *SQRT(H355)</f>
        <v>8.0540362551952782</v>
      </c>
      <c r="T355">
        <f>L355/N355</f>
        <v>83.978494623655919</v>
      </c>
    </row>
    <row r="356" spans="1:20" x14ac:dyDescent="0.25">
      <c r="A356" t="s">
        <v>902</v>
      </c>
      <c r="B356" t="s">
        <v>317</v>
      </c>
      <c r="C356" s="4">
        <v>0.11985999999999999</v>
      </c>
      <c r="D356" s="4">
        <v>0.25</v>
      </c>
      <c r="E356" s="4">
        <v>0</v>
      </c>
      <c r="F356" s="4">
        <v>5.1999999999999998E-2</v>
      </c>
      <c r="G356">
        <v>2.4289999999999999E-2</v>
      </c>
      <c r="H356">
        <f>VLOOKUP(A356,DB!A:I,2,FALSE)</f>
        <v>500000</v>
      </c>
      <c r="I356">
        <f>VLOOKUP(A356,'RE@CD'!A:D,2,FALSE)</f>
        <v>175000</v>
      </c>
      <c r="J356">
        <f>VLOOKUP(A356,'RE@CD'!A:D,3,FALSE)</f>
        <v>70000</v>
      </c>
      <c r="K356">
        <f>VLOOKUP(A356,'RE@CD'!A:D,4,FALSE)</f>
        <v>50000</v>
      </c>
      <c r="L356">
        <f>VLOOKUP(A356,DB!A:I,3,FALSE)</f>
        <v>0</v>
      </c>
      <c r="M356">
        <f>VLOOKUP(A356,DB!A:I,4,FALSE)</f>
        <v>0</v>
      </c>
      <c r="N356">
        <f>VLOOKUP(A356,DB!A:I,5,FALSE)</f>
        <v>7.2700000000000004E-3</v>
      </c>
      <c r="O356">
        <f>VLOOKUP(A356,DB!A:I,6,FALSE)</f>
        <v>5.2900000000000004E-3</v>
      </c>
      <c r="P356">
        <f>VLOOKUP(A356,DB!A:I,7,FALSE)</f>
        <v>1.98E-3</v>
      </c>
      <c r="Q356">
        <f>VLOOKUP(A356,DB!A:I,8,FALSE)</f>
        <v>0.61699999999999999</v>
      </c>
      <c r="R356">
        <f>VLOOKUP(A356,DB!A:I,9,FALSE)</f>
        <v>0.61660000000000004</v>
      </c>
      <c r="S356">
        <f>N356 *SQRT(H356)</f>
        <v>5.1406662992262007</v>
      </c>
      <c r="T356">
        <f>L356/N356</f>
        <v>0</v>
      </c>
    </row>
    <row r="357" spans="1:20" x14ac:dyDescent="0.25">
      <c r="A357" t="s">
        <v>819</v>
      </c>
      <c r="B357" t="s">
        <v>234</v>
      </c>
      <c r="C357" s="4">
        <v>0.116297</v>
      </c>
      <c r="D357" s="4">
        <v>0.32600000000000001</v>
      </c>
      <c r="E357" s="4">
        <v>3.6537E-2</v>
      </c>
      <c r="F357" s="4">
        <v>0.53100000000000003</v>
      </c>
      <c r="G357">
        <v>3.3700000000000002E-3</v>
      </c>
      <c r="H357">
        <f>VLOOKUP(A357,DB!A:I,2,FALSE)</f>
        <v>3000000</v>
      </c>
      <c r="I357">
        <f>VLOOKUP(A357,'RE@CD'!A:D,2,FALSE)</f>
        <v>250000</v>
      </c>
      <c r="J357">
        <f>VLOOKUP(A357,'RE@CD'!A:D,3,FALSE)</f>
        <v>150000</v>
      </c>
      <c r="K357">
        <f>VLOOKUP(A357,'RE@CD'!A:D,4,FALSE)</f>
        <v>175000</v>
      </c>
      <c r="L357">
        <f>VLOOKUP(A357,DB!A:I,3,FALSE)</f>
        <v>0.54590000000000005</v>
      </c>
      <c r="M357">
        <f>VLOOKUP(A357,DB!A:I,4,FALSE)</f>
        <v>-0.1318</v>
      </c>
      <c r="N357">
        <f>VLOOKUP(A357,DB!A:I,5,FALSE)</f>
        <v>4.64E-3</v>
      </c>
      <c r="O357">
        <f>VLOOKUP(A357,DB!A:I,6,FALSE)</f>
        <v>3.9500000000000004E-3</v>
      </c>
      <c r="P357">
        <f>VLOOKUP(A357,DB!A:I,7,FALSE)</f>
        <v>6.9999999999999999E-4</v>
      </c>
      <c r="Q357">
        <f>VLOOKUP(A357,DB!A:I,8,FALSE)</f>
        <v>0.65110000000000001</v>
      </c>
      <c r="R357">
        <f>VLOOKUP(A357,DB!A:I,9,FALSE)</f>
        <v>0.46889999999999998</v>
      </c>
      <c r="S357">
        <f>N357 *SQRT(H357)</f>
        <v>8.0367157471195902</v>
      </c>
      <c r="T357">
        <f>L357/N357</f>
        <v>117.65086206896552</v>
      </c>
    </row>
    <row r="358" spans="1:20" x14ac:dyDescent="0.25">
      <c r="A358" t="s">
        <v>834</v>
      </c>
      <c r="B358" t="s">
        <v>249</v>
      </c>
      <c r="C358" s="4">
        <v>0.116092</v>
      </c>
      <c r="D358" s="4">
        <v>0.371</v>
      </c>
      <c r="E358" s="4">
        <v>3.1015999999999998E-2</v>
      </c>
      <c r="F358" s="4">
        <v>0.56100000000000005</v>
      </c>
      <c r="G358">
        <v>2.4399999999999999E-3</v>
      </c>
      <c r="H358">
        <f>VLOOKUP(A358,DB!A:I,2,FALSE)</f>
        <v>2900000</v>
      </c>
      <c r="I358">
        <f>VLOOKUP(A358,'RE@CD'!A:D,2,FALSE)</f>
        <v>275000</v>
      </c>
      <c r="J358">
        <f>VLOOKUP(A358,'RE@CD'!A:D,3,FALSE)</f>
        <v>125000</v>
      </c>
      <c r="K358">
        <f>VLOOKUP(A358,'RE@CD'!A:D,4,FALSE)</f>
        <v>150000</v>
      </c>
      <c r="L358">
        <f>VLOOKUP(A358,DB!A:I,3,FALSE)</f>
        <v>0.48170000000000002</v>
      </c>
      <c r="M358">
        <f>VLOOKUP(A358,DB!A:I,4,FALSE)</f>
        <v>-0.11990000000000001</v>
      </c>
      <c r="N358">
        <f>VLOOKUP(A358,DB!A:I,5,FALSE)</f>
        <v>4.64E-3</v>
      </c>
      <c r="O358">
        <f>VLOOKUP(A358,DB!A:I,6,FALSE)</f>
        <v>4.0000000000000001E-3</v>
      </c>
      <c r="P358">
        <f>VLOOKUP(A358,DB!A:I,7,FALSE)</f>
        <v>6.4000000000000005E-4</v>
      </c>
      <c r="Q358">
        <f>VLOOKUP(A358,DB!A:I,8,FALSE)</f>
        <v>0.63449999999999995</v>
      </c>
      <c r="R358">
        <f>VLOOKUP(A358,DB!A:I,9,FALSE)</f>
        <v>0.50800000000000001</v>
      </c>
      <c r="S358">
        <f>N358 *SQRT(H358)</f>
        <v>7.9016352737898501</v>
      </c>
      <c r="T358">
        <f>L358/N358</f>
        <v>103.81465517241379</v>
      </c>
    </row>
    <row r="359" spans="1:20" x14ac:dyDescent="0.25">
      <c r="A359" t="s">
        <v>990</v>
      </c>
      <c r="B359" t="s">
        <v>401</v>
      </c>
      <c r="C359" s="4">
        <v>0.12987099999999999</v>
      </c>
      <c r="D359" s="4">
        <v>0.35</v>
      </c>
      <c r="E359" s="4">
        <v>2.9533E-2</v>
      </c>
      <c r="F359" s="4">
        <v>0.5</v>
      </c>
      <c r="G359">
        <v>4.8500000000000001E-3</v>
      </c>
      <c r="H359">
        <f>VLOOKUP(A359,DB!A:I,2,FALSE)</f>
        <v>3000000</v>
      </c>
      <c r="I359">
        <f>VLOOKUP(A359,'RE@CD'!A:D,2,FALSE)</f>
        <v>300000</v>
      </c>
      <c r="J359">
        <f>VLOOKUP(A359,'RE@CD'!A:D,3,FALSE)</f>
        <v>125000</v>
      </c>
      <c r="K359">
        <f>VLOOKUP(A359,'RE@CD'!A:D,4,FALSE)</f>
        <v>200000</v>
      </c>
      <c r="L359">
        <f>VLOOKUP(A359,DB!A:I,3,FALSE)</f>
        <v>0.42259999999999998</v>
      </c>
      <c r="M359">
        <f>VLOOKUP(A359,DB!A:I,4,FALSE)</f>
        <v>-9.06E-2</v>
      </c>
      <c r="N359">
        <f>VLOOKUP(A359,DB!A:I,5,FALSE)</f>
        <v>4.64E-3</v>
      </c>
      <c r="O359">
        <f>VLOOKUP(A359,DB!A:I,6,FALSE)</f>
        <v>3.9399999999999999E-3</v>
      </c>
      <c r="P359">
        <f>VLOOKUP(A359,DB!A:I,7,FALSE)</f>
        <v>6.9999999999999999E-4</v>
      </c>
      <c r="Q359">
        <f>VLOOKUP(A359,DB!A:I,8,FALSE)</f>
        <v>0.59730000000000005</v>
      </c>
      <c r="R359">
        <f>VLOOKUP(A359,DB!A:I,9,FALSE)</f>
        <v>0.53500000000000003</v>
      </c>
      <c r="S359">
        <f>N359 *SQRT(H359)</f>
        <v>8.0367157471195902</v>
      </c>
      <c r="T359">
        <f>L359/N359</f>
        <v>91.077586206896541</v>
      </c>
    </row>
    <row r="360" spans="1:20" x14ac:dyDescent="0.25">
      <c r="A360" t="s">
        <v>1042</v>
      </c>
      <c r="B360" t="s">
        <v>453</v>
      </c>
      <c r="C360" s="4">
        <v>0.10235</v>
      </c>
      <c r="D360" s="4">
        <v>0.27700000000000002</v>
      </c>
      <c r="E360" s="4">
        <v>1.5159000000000001E-2</v>
      </c>
      <c r="F360" s="4">
        <v>0.373</v>
      </c>
      <c r="G360">
        <v>1.9599999999999999E-3</v>
      </c>
      <c r="H360">
        <f>VLOOKUP(A360,DB!A:I,2,FALSE)</f>
        <v>2900000</v>
      </c>
      <c r="I360">
        <f>VLOOKUP(A360,'RE@CD'!A:D,2,FALSE)</f>
        <v>200000</v>
      </c>
      <c r="J360">
        <f>VLOOKUP(A360,'RE@CD'!A:D,3,FALSE)</f>
        <v>70000</v>
      </c>
      <c r="K360">
        <f>VLOOKUP(A360,'RE@CD'!A:D,4,FALSE)</f>
        <v>125000</v>
      </c>
      <c r="L360">
        <f>VLOOKUP(A360,DB!A:I,3,FALSE)</f>
        <v>2.5399999999999999E-2</v>
      </c>
      <c r="M360">
        <f>VLOOKUP(A360,DB!A:I,4,FALSE)</f>
        <v>9.1999999999999998E-3</v>
      </c>
      <c r="N360">
        <f>VLOOKUP(A360,DB!A:I,5,FALSE)</f>
        <v>4.64E-3</v>
      </c>
      <c r="O360">
        <f>VLOOKUP(A360,DB!A:I,6,FALSE)</f>
        <v>4.1799999999999997E-3</v>
      </c>
      <c r="P360">
        <f>VLOOKUP(A360,DB!A:I,7,FALSE)</f>
        <v>4.6000000000000001E-4</v>
      </c>
      <c r="Q360">
        <f>VLOOKUP(A360,DB!A:I,8,FALSE)</f>
        <v>0.56520000000000004</v>
      </c>
      <c r="R360">
        <f>VLOOKUP(A360,DB!A:I,9,FALSE)</f>
        <v>0.49659999999999999</v>
      </c>
      <c r="S360">
        <f>N360 *SQRT(H360)</f>
        <v>7.9016352737898501</v>
      </c>
      <c r="T360">
        <f>L360/N360</f>
        <v>5.4741379310344822</v>
      </c>
    </row>
    <row r="361" spans="1:20" x14ac:dyDescent="0.25">
      <c r="A361" t="s">
        <v>1078</v>
      </c>
      <c r="B361" t="s">
        <v>489</v>
      </c>
      <c r="C361" s="4">
        <v>0.10803500000000001</v>
      </c>
      <c r="D361" s="4">
        <v>0.311</v>
      </c>
      <c r="E361" s="4">
        <v>2.2147E-2</v>
      </c>
      <c r="F361" s="4">
        <v>0.60499999999999998</v>
      </c>
      <c r="G361">
        <v>4.0299999999999997E-3</v>
      </c>
      <c r="H361">
        <f>VLOOKUP(A361,DB!A:I,2,FALSE)</f>
        <v>3000000</v>
      </c>
      <c r="I361">
        <f>VLOOKUP(A361,'RE@CD'!A:D,2,FALSE)</f>
        <v>275000</v>
      </c>
      <c r="J361">
        <f>VLOOKUP(A361,'RE@CD'!A:D,3,FALSE)</f>
        <v>80000</v>
      </c>
      <c r="K361">
        <f>VLOOKUP(A361,'RE@CD'!A:D,4,FALSE)</f>
        <v>150000</v>
      </c>
      <c r="L361">
        <f>VLOOKUP(A361,DB!A:I,3,FALSE)</f>
        <v>0.38779999999999998</v>
      </c>
      <c r="M361">
        <f>VLOOKUP(A361,DB!A:I,4,FALSE)</f>
        <v>-9.4799999999999995E-2</v>
      </c>
      <c r="N361">
        <f>VLOOKUP(A361,DB!A:I,5,FALSE)</f>
        <v>4.64E-3</v>
      </c>
      <c r="O361">
        <f>VLOOKUP(A361,DB!A:I,6,FALSE)</f>
        <v>4.0099999999999997E-3</v>
      </c>
      <c r="P361">
        <f>VLOOKUP(A361,DB!A:I,7,FALSE)</f>
        <v>6.3000000000000003E-4</v>
      </c>
      <c r="Q361">
        <f>VLOOKUP(A361,DB!A:I,8,FALSE)</f>
        <v>0.57489999999999997</v>
      </c>
      <c r="R361">
        <f>VLOOKUP(A361,DB!A:I,9,FALSE)</f>
        <v>0.55720000000000003</v>
      </c>
      <c r="S361">
        <f>N361 *SQRT(H361)</f>
        <v>8.0367157471195902</v>
      </c>
      <c r="T361">
        <f>L361/N361</f>
        <v>83.577586206896541</v>
      </c>
    </row>
    <row r="362" spans="1:20" x14ac:dyDescent="0.25">
      <c r="A362" t="s">
        <v>703</v>
      </c>
      <c r="B362" t="s">
        <v>118</v>
      </c>
      <c r="C362" s="4">
        <v>0.128773</v>
      </c>
      <c r="D362" s="4">
        <v>0.33400000000000002</v>
      </c>
      <c r="E362" s="4">
        <v>2.1845E-2</v>
      </c>
      <c r="F362" s="4">
        <v>0.19500000000000001</v>
      </c>
      <c r="G362">
        <v>1.24E-3</v>
      </c>
      <c r="H362">
        <f>VLOOKUP(A362,DB!A:I,2,FALSE)</f>
        <v>3000000</v>
      </c>
      <c r="I362">
        <f>VLOOKUP(A362,'RE@CD'!A:D,2,FALSE)</f>
        <v>550000</v>
      </c>
      <c r="J362">
        <f>VLOOKUP(A362,'RE@CD'!A:D,3,FALSE)</f>
        <v>100000</v>
      </c>
      <c r="K362">
        <f>VLOOKUP(A362,'RE@CD'!A:D,4,FALSE)</f>
        <v>350000</v>
      </c>
      <c r="L362">
        <f>VLOOKUP(A362,DB!A:I,3,FALSE)</f>
        <v>8.9999999999999993E-3</v>
      </c>
      <c r="M362">
        <f>VLOOKUP(A362,DB!A:I,4,FALSE)</f>
        <v>3.1699999999999999E-2</v>
      </c>
      <c r="N362">
        <f>VLOOKUP(A362,DB!A:I,5,FALSE)</f>
        <v>4.62E-3</v>
      </c>
      <c r="O362">
        <f>VLOOKUP(A362,DB!A:I,6,FALSE)</f>
        <v>3.8899999999999998E-3</v>
      </c>
      <c r="P362">
        <f>VLOOKUP(A362,DB!A:I,7,FALSE)</f>
        <v>7.2999999999999996E-4</v>
      </c>
      <c r="Q362">
        <f>VLOOKUP(A362,DB!A:I,8,FALSE)</f>
        <v>0.38319999999999999</v>
      </c>
      <c r="R362">
        <f>VLOOKUP(A362,DB!A:I,9,FALSE)</f>
        <v>0.77680000000000005</v>
      </c>
      <c r="S362">
        <f>N362 *SQRT(H362)</f>
        <v>8.0020747309682125</v>
      </c>
      <c r="T362">
        <f>L362/N362</f>
        <v>1.9480519480519478</v>
      </c>
    </row>
    <row r="363" spans="1:20" x14ac:dyDescent="0.25">
      <c r="A363" t="s">
        <v>996</v>
      </c>
      <c r="B363" t="s">
        <v>407</v>
      </c>
      <c r="C363" s="4">
        <v>0.119573</v>
      </c>
      <c r="D363" s="4">
        <v>0.35</v>
      </c>
      <c r="E363" s="4">
        <v>3.4426999999999999E-2</v>
      </c>
      <c r="F363" s="4">
        <v>0.5</v>
      </c>
      <c r="G363">
        <v>3.7000000000000002E-3</v>
      </c>
      <c r="H363">
        <f>VLOOKUP(A363,DB!A:I,2,FALSE)</f>
        <v>2900000</v>
      </c>
      <c r="I363">
        <f>VLOOKUP(A363,'RE@CD'!A:D,2,FALSE)</f>
        <v>275000</v>
      </c>
      <c r="J363">
        <f>VLOOKUP(A363,'RE@CD'!A:D,3,FALSE)</f>
        <v>125000</v>
      </c>
      <c r="K363">
        <f>VLOOKUP(A363,'RE@CD'!A:D,4,FALSE)</f>
        <v>175000</v>
      </c>
      <c r="L363">
        <f>VLOOKUP(A363,DB!A:I,3,FALSE)</f>
        <v>0.4894</v>
      </c>
      <c r="M363">
        <f>VLOOKUP(A363,DB!A:I,4,FALSE)</f>
        <v>-0.1052</v>
      </c>
      <c r="N363">
        <f>VLOOKUP(A363,DB!A:I,5,FALSE)</f>
        <v>4.62E-3</v>
      </c>
      <c r="O363">
        <f>VLOOKUP(A363,DB!A:I,6,FALSE)</f>
        <v>3.9199999999999999E-3</v>
      </c>
      <c r="P363">
        <f>VLOOKUP(A363,DB!A:I,7,FALSE)</f>
        <v>6.8999999999999997E-4</v>
      </c>
      <c r="Q363">
        <f>VLOOKUP(A363,DB!A:I,8,FALSE)</f>
        <v>0.6028</v>
      </c>
      <c r="R363">
        <f>VLOOKUP(A363,DB!A:I,9,FALSE)</f>
        <v>0.54559999999999997</v>
      </c>
      <c r="S363">
        <f>N363 *SQRT(H363)</f>
        <v>7.8675765010579966</v>
      </c>
      <c r="T363">
        <f>L363/N363</f>
        <v>105.93073593073593</v>
      </c>
    </row>
    <row r="364" spans="1:20" x14ac:dyDescent="0.25">
      <c r="A364" t="s">
        <v>1104</v>
      </c>
      <c r="B364" t="s">
        <v>515</v>
      </c>
      <c r="C364" s="4">
        <v>0.11271100000000001</v>
      </c>
      <c r="D364" s="4">
        <v>0.34100000000000003</v>
      </c>
      <c r="E364" s="4">
        <v>4.3428000000000001E-2</v>
      </c>
      <c r="F364" s="4">
        <v>0.56899999999999995</v>
      </c>
      <c r="G364" s="1">
        <v>4.0000000000000003E-5</v>
      </c>
      <c r="H364">
        <f>VLOOKUP(A364,DB!A:I,2,FALSE)</f>
        <v>3000000</v>
      </c>
      <c r="I364">
        <f>VLOOKUP(A364,'RE@CD'!A:D,2,FALSE)</f>
        <v>275000</v>
      </c>
      <c r="J364">
        <f>VLOOKUP(A364,'RE@CD'!A:D,3,FALSE)</f>
        <v>125000</v>
      </c>
      <c r="K364">
        <f>VLOOKUP(A364,'RE@CD'!A:D,4,FALSE)</f>
        <v>175000</v>
      </c>
      <c r="L364">
        <f>VLOOKUP(A364,DB!A:I,3,FALSE)</f>
        <v>0.71099999999999997</v>
      </c>
      <c r="M364">
        <f>VLOOKUP(A364,DB!A:I,4,FALSE)</f>
        <v>-0.1714</v>
      </c>
      <c r="N364">
        <f>VLOOKUP(A364,DB!A:I,5,FALSE)</f>
        <v>4.62E-3</v>
      </c>
      <c r="O364">
        <f>VLOOKUP(A364,DB!A:I,6,FALSE)</f>
        <v>3.7799999999999999E-3</v>
      </c>
      <c r="P364">
        <f>VLOOKUP(A364,DB!A:I,7,FALSE)</f>
        <v>8.4000000000000003E-4</v>
      </c>
      <c r="Q364">
        <f>VLOOKUP(A364,DB!A:I,8,FALSE)</f>
        <v>0.64670000000000005</v>
      </c>
      <c r="R364">
        <f>VLOOKUP(A364,DB!A:I,9,FALSE)</f>
        <v>0.54590000000000005</v>
      </c>
      <c r="S364">
        <f>N364 *SQRT(H364)</f>
        <v>8.0020747309682125</v>
      </c>
      <c r="T364">
        <f>L364/N364</f>
        <v>153.89610389610388</v>
      </c>
    </row>
    <row r="365" spans="1:20" x14ac:dyDescent="0.25">
      <c r="A365" t="s">
        <v>1135</v>
      </c>
      <c r="B365" t="s">
        <v>546</v>
      </c>
      <c r="C365" s="4">
        <v>9.1992000000000004E-2</v>
      </c>
      <c r="D365" s="4">
        <v>0.29799999999999999</v>
      </c>
      <c r="E365" s="4">
        <v>2.5787999999999998E-2</v>
      </c>
      <c r="F365" s="4">
        <v>0.41299999999999998</v>
      </c>
      <c r="G365">
        <v>3.3899999999999998E-3</v>
      </c>
      <c r="H365">
        <f>VLOOKUP(A365,DB!A:I,2,FALSE)</f>
        <v>2100000</v>
      </c>
      <c r="I365">
        <f>VLOOKUP(A365,'RE@CD'!A:D,2,FALSE)</f>
        <v>175000</v>
      </c>
      <c r="J365">
        <f>VLOOKUP(A365,'RE@CD'!A:D,3,FALSE)</f>
        <v>50000</v>
      </c>
      <c r="K365">
        <f>VLOOKUP(A365,'RE@CD'!A:D,4,FALSE)</f>
        <v>125000</v>
      </c>
      <c r="L365">
        <f>VLOOKUP(A365,DB!A:I,3,FALSE)</f>
        <v>0.30659999999999998</v>
      </c>
      <c r="M365">
        <f>VLOOKUP(A365,DB!A:I,4,FALSE)</f>
        <v>-6.2399999999999997E-2</v>
      </c>
      <c r="N365">
        <f>VLOOKUP(A365,DB!A:I,5,FALSE)</f>
        <v>4.62E-3</v>
      </c>
      <c r="O365">
        <f>VLOOKUP(A365,DB!A:I,6,FALSE)</f>
        <v>4.0200000000000001E-3</v>
      </c>
      <c r="P365">
        <f>VLOOKUP(A365,DB!A:I,7,FALSE)</f>
        <v>6.0999999999999997E-4</v>
      </c>
      <c r="Q365">
        <f>VLOOKUP(A365,DB!A:I,8,FALSE)</f>
        <v>0.58660000000000001</v>
      </c>
      <c r="R365">
        <f>VLOOKUP(A365,DB!A:I,9,FALSE)</f>
        <v>0.62180000000000002</v>
      </c>
      <c r="S365">
        <f>N365 *SQRT(H365)</f>
        <v>6.6950160567395214</v>
      </c>
      <c r="T365">
        <f>L365/N365</f>
        <v>66.36363636363636</v>
      </c>
    </row>
    <row r="366" spans="1:20" x14ac:dyDescent="0.25">
      <c r="A366" t="s">
        <v>699</v>
      </c>
      <c r="B366" t="s">
        <v>114</v>
      </c>
      <c r="C366" s="4">
        <v>9.9651000000000003E-2</v>
      </c>
      <c r="D366" s="4">
        <v>0.29299999999999998</v>
      </c>
      <c r="E366" s="4">
        <v>7.8510000000000003E-3</v>
      </c>
      <c r="F366" s="4">
        <v>0.75800000000000001</v>
      </c>
      <c r="G366">
        <v>5.3499999999999997E-3</v>
      </c>
      <c r="H366">
        <f>VLOOKUP(A366,DB!A:I,2,FALSE)</f>
        <v>2100000</v>
      </c>
      <c r="I366">
        <f>VLOOKUP(A366,'RE@CD'!A:D,2,FALSE)</f>
        <v>200000</v>
      </c>
      <c r="J366">
        <f>VLOOKUP(A366,'RE@CD'!A:D,3,FALSE)</f>
        <v>50000</v>
      </c>
      <c r="K366">
        <f>VLOOKUP(A366,'RE@CD'!A:D,4,FALSE)</f>
        <v>100000</v>
      </c>
      <c r="L366">
        <f>VLOOKUP(A366,DB!A:I,3,FALSE)</f>
        <v>-0.17369999999999999</v>
      </c>
      <c r="M366">
        <f>VLOOKUP(A366,DB!A:I,4,FALSE)</f>
        <v>4.7600000000000003E-2</v>
      </c>
      <c r="N366">
        <f>VLOOKUP(A366,DB!A:I,5,FALSE)</f>
        <v>4.6100000000000004E-3</v>
      </c>
      <c r="O366">
        <f>VLOOKUP(A366,DB!A:I,6,FALSE)</f>
        <v>4.0600000000000002E-3</v>
      </c>
      <c r="P366">
        <f>VLOOKUP(A366,DB!A:I,7,FALSE)</f>
        <v>5.5999999999999995E-4</v>
      </c>
      <c r="Q366">
        <f>VLOOKUP(A366,DB!A:I,8,FALSE)</f>
        <v>0.57820000000000005</v>
      </c>
      <c r="R366">
        <f>VLOOKUP(A366,DB!A:I,9,FALSE)</f>
        <v>0.62590000000000001</v>
      </c>
      <c r="S366">
        <f>N366 *SQRT(H366)</f>
        <v>6.680524679993332</v>
      </c>
      <c r="T366">
        <f>L366/N366</f>
        <v>-37.678958785249456</v>
      </c>
    </row>
    <row r="367" spans="1:20" x14ac:dyDescent="0.25">
      <c r="A367" t="s">
        <v>814</v>
      </c>
      <c r="B367" t="s">
        <v>229</v>
      </c>
      <c r="C367" s="4">
        <v>0.101414</v>
      </c>
      <c r="D367" s="4">
        <v>0.314</v>
      </c>
      <c r="E367" s="4">
        <v>3.9981999999999997E-2</v>
      </c>
      <c r="F367" s="4">
        <v>0.52300000000000002</v>
      </c>
      <c r="G367">
        <v>5.1799999999999997E-3</v>
      </c>
      <c r="H367">
        <f>VLOOKUP(A367,DB!A:I,2,FALSE)</f>
        <v>2900000</v>
      </c>
      <c r="I367">
        <f>VLOOKUP(A367,'RE@CD'!A:D,2,FALSE)</f>
        <v>275000</v>
      </c>
      <c r="J367">
        <f>VLOOKUP(A367,'RE@CD'!A:D,3,FALSE)</f>
        <v>100000</v>
      </c>
      <c r="K367">
        <f>VLOOKUP(A367,'RE@CD'!A:D,4,FALSE)</f>
        <v>175000</v>
      </c>
      <c r="L367">
        <f>VLOOKUP(A367,DB!A:I,3,FALSE)</f>
        <v>0.60119999999999996</v>
      </c>
      <c r="M367">
        <f>VLOOKUP(A367,DB!A:I,4,FALSE)</f>
        <v>-0.14549999999999999</v>
      </c>
      <c r="N367">
        <f>VLOOKUP(A367,DB!A:I,5,FALSE)</f>
        <v>4.6100000000000004E-3</v>
      </c>
      <c r="O367">
        <f>VLOOKUP(A367,DB!A:I,6,FALSE)</f>
        <v>3.96E-3</v>
      </c>
      <c r="P367">
        <f>VLOOKUP(A367,DB!A:I,7,FALSE)</f>
        <v>6.6E-4</v>
      </c>
      <c r="Q367">
        <f>VLOOKUP(A367,DB!A:I,8,FALSE)</f>
        <v>0.66820000000000002</v>
      </c>
      <c r="R367">
        <f>VLOOKUP(A367,DB!A:I,9,FALSE)</f>
        <v>0.43669999999999998</v>
      </c>
      <c r="S367">
        <f>N367 *SQRT(H367)</f>
        <v>7.8505471146920716</v>
      </c>
      <c r="T367">
        <f>L367/N367</f>
        <v>130.41214750542298</v>
      </c>
    </row>
    <row r="368" spans="1:20" x14ac:dyDescent="0.25">
      <c r="A368" t="s">
        <v>1100</v>
      </c>
      <c r="B368" t="s">
        <v>511</v>
      </c>
      <c r="C368" s="4">
        <v>9.5215999999999995E-2</v>
      </c>
      <c r="D368" s="4">
        <v>0.28899999999999998</v>
      </c>
      <c r="E368" s="4">
        <v>2.0941999999999999E-2</v>
      </c>
      <c r="F368" s="4">
        <v>0.38300000000000001</v>
      </c>
      <c r="G368">
        <v>4.8500000000000001E-3</v>
      </c>
      <c r="H368">
        <f>VLOOKUP(A368,DB!A:I,2,FALSE)</f>
        <v>1250000</v>
      </c>
      <c r="I368">
        <f>VLOOKUP(A368,'RE@CD'!A:D,2,FALSE)</f>
        <v>175000</v>
      </c>
      <c r="J368">
        <f>VLOOKUP(A368,'RE@CD'!A:D,3,FALSE)</f>
        <v>50000</v>
      </c>
      <c r="K368">
        <f>VLOOKUP(A368,'RE@CD'!A:D,4,FALSE)</f>
        <v>125000</v>
      </c>
      <c r="L368">
        <f>VLOOKUP(A368,DB!A:I,3,FALSE)</f>
        <v>0.18060000000000001</v>
      </c>
      <c r="M368">
        <f>VLOOKUP(A368,DB!A:I,4,FALSE)</f>
        <v>-0.03</v>
      </c>
      <c r="N368">
        <f>VLOOKUP(A368,DB!A:I,5,FALSE)</f>
        <v>4.6100000000000004E-3</v>
      </c>
      <c r="O368">
        <f>VLOOKUP(A368,DB!A:I,6,FALSE)</f>
        <v>3.8300000000000001E-3</v>
      </c>
      <c r="P368">
        <f>VLOOKUP(A368,DB!A:I,7,FALSE)</f>
        <v>7.7999999999999999E-4</v>
      </c>
      <c r="Q368">
        <f>VLOOKUP(A368,DB!A:I,8,FALSE)</f>
        <v>0.66310000000000002</v>
      </c>
      <c r="R368">
        <f>VLOOKUP(A368,DB!A:I,9,FALSE)</f>
        <v>0.74129999999999996</v>
      </c>
      <c r="S368">
        <f>N368 *SQRT(H368)</f>
        <v>5.1541366881370161</v>
      </c>
      <c r="T368">
        <f>L368/N368</f>
        <v>39.175704989154013</v>
      </c>
    </row>
    <row r="369" spans="1:20" x14ac:dyDescent="0.25">
      <c r="A369" t="s">
        <v>1152</v>
      </c>
      <c r="B369" t="s">
        <v>562</v>
      </c>
      <c r="C369" s="4">
        <v>8.863E-2</v>
      </c>
      <c r="D369" s="4">
        <v>0.29399999999999998</v>
      </c>
      <c r="E369" s="4">
        <v>1.7316000000000002E-2</v>
      </c>
      <c r="F369" s="4">
        <v>0.45600000000000002</v>
      </c>
      <c r="G369">
        <v>6.4700000000000001E-3</v>
      </c>
      <c r="H369">
        <f>VLOOKUP(A369,DB!A:I,2,FALSE)</f>
        <v>1500000</v>
      </c>
      <c r="I369">
        <f>VLOOKUP(A369,'RE@CD'!A:D,2,FALSE)</f>
        <v>200000</v>
      </c>
      <c r="J369">
        <f>VLOOKUP(A369,'RE@CD'!A:D,3,FALSE)</f>
        <v>50000</v>
      </c>
      <c r="K369">
        <f>VLOOKUP(A369,'RE@CD'!A:D,4,FALSE)</f>
        <v>125000</v>
      </c>
      <c r="L369">
        <f>VLOOKUP(A369,DB!A:I,3,FALSE)</f>
        <v>0.22359999999999999</v>
      </c>
      <c r="M369">
        <f>VLOOKUP(A369,DB!A:I,4,FALSE)</f>
        <v>-4.9700000000000001E-2</v>
      </c>
      <c r="N369">
        <f>VLOOKUP(A369,DB!A:I,5,FALSE)</f>
        <v>4.6100000000000004E-3</v>
      </c>
      <c r="O369">
        <f>VLOOKUP(A369,DB!A:I,6,FALSE)</f>
        <v>3.98E-3</v>
      </c>
      <c r="P369">
        <f>VLOOKUP(A369,DB!A:I,7,FALSE)</f>
        <v>6.4000000000000005E-4</v>
      </c>
      <c r="Q369">
        <f>VLOOKUP(A369,DB!A:I,8,FALSE)</f>
        <v>0.68730000000000002</v>
      </c>
      <c r="R369">
        <f>VLOOKUP(A369,DB!A:I,9,FALSE)</f>
        <v>0.60970000000000002</v>
      </c>
      <c r="S369">
        <f>N369 *SQRT(H369)</f>
        <v>5.6460738571152254</v>
      </c>
      <c r="T369">
        <f>L369/N369</f>
        <v>48.503253796095436</v>
      </c>
    </row>
    <row r="370" spans="1:20" x14ac:dyDescent="0.25">
      <c r="A370" t="s">
        <v>831</v>
      </c>
      <c r="B370" t="s">
        <v>246</v>
      </c>
      <c r="C370" s="4">
        <v>0.16106000000000001</v>
      </c>
      <c r="D370" s="4">
        <v>0.36899999999999999</v>
      </c>
      <c r="E370" s="4">
        <v>0</v>
      </c>
      <c r="F370" s="4">
        <v>4.3999999999999997E-2</v>
      </c>
      <c r="G370">
        <v>6.7600000000000004E-3</v>
      </c>
      <c r="H370">
        <f>VLOOKUP(A370,DB!A:I,2,FALSE)</f>
        <v>3000000</v>
      </c>
      <c r="I370">
        <f>VLOOKUP(A370,'RE@CD'!A:D,2,FALSE)</f>
        <v>400000</v>
      </c>
      <c r="J370">
        <f>VLOOKUP(A370,'RE@CD'!A:D,3,FALSE)</f>
        <v>150000</v>
      </c>
      <c r="K370">
        <f>VLOOKUP(A370,'RE@CD'!A:D,4,FALSE)</f>
        <v>225000</v>
      </c>
      <c r="L370">
        <f>VLOOKUP(A370,DB!A:I,3,FALSE)</f>
        <v>0</v>
      </c>
      <c r="M370">
        <f>VLOOKUP(A370,DB!A:I,4,FALSE)</f>
        <v>0</v>
      </c>
      <c r="N370">
        <f>VLOOKUP(A370,DB!A:I,5,FALSE)</f>
        <v>4.5999999999999999E-3</v>
      </c>
      <c r="O370">
        <f>VLOOKUP(A370,DB!A:I,6,FALSE)</f>
        <v>3.9100000000000003E-3</v>
      </c>
      <c r="P370">
        <f>VLOOKUP(A370,DB!A:I,7,FALSE)</f>
        <v>6.8999999999999997E-4</v>
      </c>
      <c r="Q370">
        <f>VLOOKUP(A370,DB!A:I,8,FALSE)</f>
        <v>0.58520000000000005</v>
      </c>
      <c r="R370">
        <f>VLOOKUP(A370,DB!A:I,9,FALSE)</f>
        <v>0.58520000000000005</v>
      </c>
      <c r="S370">
        <f>N370 *SQRT(H370)</f>
        <v>7.9674337148168348</v>
      </c>
      <c r="T370">
        <f>L370/N370</f>
        <v>0</v>
      </c>
    </row>
    <row r="371" spans="1:20" x14ac:dyDescent="0.25">
      <c r="A371" t="s">
        <v>696</v>
      </c>
      <c r="B371" t="s">
        <v>111</v>
      </c>
      <c r="C371" s="4">
        <v>0.101742</v>
      </c>
      <c r="D371" s="4">
        <v>0.3</v>
      </c>
      <c r="E371" s="4">
        <v>1.7665E-2</v>
      </c>
      <c r="F371" s="4">
        <v>0.49199999999999999</v>
      </c>
      <c r="G371">
        <v>4.7800000000000004E-3</v>
      </c>
      <c r="H371">
        <f>VLOOKUP(A371,DB!A:I,2,FALSE)</f>
        <v>3000000</v>
      </c>
      <c r="I371">
        <f>VLOOKUP(A371,'RE@CD'!A:D,2,FALSE)</f>
        <v>200000</v>
      </c>
      <c r="J371">
        <f>VLOOKUP(A371,'RE@CD'!A:D,3,FALSE)</f>
        <v>50000</v>
      </c>
      <c r="K371">
        <f>VLOOKUP(A371,'RE@CD'!A:D,4,FALSE)</f>
        <v>125000</v>
      </c>
      <c r="L371">
        <f>VLOOKUP(A371,DB!A:I,3,FALSE)</f>
        <v>0.253</v>
      </c>
      <c r="M371">
        <f>VLOOKUP(A371,DB!A:I,4,FALSE)</f>
        <v>-5.8099999999999999E-2</v>
      </c>
      <c r="N371">
        <f>VLOOKUP(A371,DB!A:I,5,FALSE)</f>
        <v>4.5799999999999999E-3</v>
      </c>
      <c r="O371">
        <f>VLOOKUP(A371,DB!A:I,6,FALSE)</f>
        <v>4.0800000000000003E-3</v>
      </c>
      <c r="P371">
        <f>VLOOKUP(A371,DB!A:I,7,FALSE)</f>
        <v>5.0000000000000001E-4</v>
      </c>
      <c r="Q371">
        <f>VLOOKUP(A371,DB!A:I,8,FALSE)</f>
        <v>0.57489999999999997</v>
      </c>
      <c r="R371">
        <f>VLOOKUP(A371,DB!A:I,9,FALSE)</f>
        <v>0.51729999999999998</v>
      </c>
      <c r="S371">
        <f>N371 *SQRT(H371)</f>
        <v>7.9327926986654571</v>
      </c>
      <c r="T371">
        <f>L371/N371</f>
        <v>55.240174672489083</v>
      </c>
    </row>
    <row r="372" spans="1:20" x14ac:dyDescent="0.25">
      <c r="A372" t="s">
        <v>698</v>
      </c>
      <c r="B372" t="s">
        <v>113</v>
      </c>
      <c r="C372" s="4">
        <v>0.10069</v>
      </c>
      <c r="D372" s="4">
        <v>0.27900000000000003</v>
      </c>
      <c r="E372" s="4">
        <v>2.6749999999999999E-3</v>
      </c>
      <c r="F372" s="4">
        <v>0.31900000000000001</v>
      </c>
      <c r="G372">
        <v>4.96E-3</v>
      </c>
      <c r="H372">
        <f>VLOOKUP(A372,DB!A:I,2,FALSE)</f>
        <v>2800000</v>
      </c>
      <c r="I372">
        <f>VLOOKUP(A372,'RE@CD'!A:D,2,FALSE)</f>
        <v>200000</v>
      </c>
      <c r="J372">
        <f>VLOOKUP(A372,'RE@CD'!A:D,3,FALSE)</f>
        <v>50000</v>
      </c>
      <c r="K372">
        <f>VLOOKUP(A372,'RE@CD'!A:D,4,FALSE)</f>
        <v>100000</v>
      </c>
      <c r="L372">
        <f>VLOOKUP(A372,DB!A:I,3,FALSE)</f>
        <v>-2.7199999999999998E-2</v>
      </c>
      <c r="M372">
        <f>VLOOKUP(A372,DB!A:I,4,FALSE)</f>
        <v>1.15E-2</v>
      </c>
      <c r="N372">
        <f>VLOOKUP(A372,DB!A:I,5,FALSE)</f>
        <v>4.5799999999999999E-3</v>
      </c>
      <c r="O372">
        <f>VLOOKUP(A372,DB!A:I,6,FALSE)</f>
        <v>4.1099999999999999E-3</v>
      </c>
      <c r="P372">
        <f>VLOOKUP(A372,DB!A:I,7,FALSE)</f>
        <v>4.8000000000000001E-4</v>
      </c>
      <c r="Q372">
        <f>VLOOKUP(A372,DB!A:I,8,FALSE)</f>
        <v>0.55679999999999996</v>
      </c>
      <c r="R372">
        <f>VLOOKUP(A372,DB!A:I,9,FALSE)</f>
        <v>0.55259999999999998</v>
      </c>
      <c r="S372">
        <f>N372 *SQRT(H372)</f>
        <v>7.6638058430521321</v>
      </c>
      <c r="T372">
        <f>L372/N372</f>
        <v>-5.9388646288209603</v>
      </c>
    </row>
    <row r="373" spans="1:20" x14ac:dyDescent="0.25">
      <c r="A373" t="s">
        <v>859</v>
      </c>
      <c r="B373" t="s">
        <v>274</v>
      </c>
      <c r="C373" s="4">
        <v>0.18815599999999999</v>
      </c>
      <c r="D373" s="4">
        <v>0.371</v>
      </c>
      <c r="E373" s="4">
        <v>2.5812000000000002E-2</v>
      </c>
      <c r="F373" s="4">
        <v>0.56499999999999995</v>
      </c>
      <c r="G373">
        <v>1.525E-2</v>
      </c>
      <c r="H373">
        <f>VLOOKUP(A373,DB!A:I,2,FALSE)</f>
        <v>3000000</v>
      </c>
      <c r="I373">
        <f>VLOOKUP(A373,'RE@CD'!A:D,2,FALSE)</f>
        <v>550000</v>
      </c>
      <c r="J373">
        <f>VLOOKUP(A373,'RE@CD'!A:D,3,FALSE)</f>
        <v>225000</v>
      </c>
      <c r="K373">
        <f>VLOOKUP(A373,'RE@CD'!A:D,4,FALSE)</f>
        <v>375000</v>
      </c>
      <c r="L373">
        <f>VLOOKUP(A373,DB!A:I,3,FALSE)</f>
        <v>0.51219999999999999</v>
      </c>
      <c r="M373">
        <f>VLOOKUP(A373,DB!A:I,4,FALSE)</f>
        <v>-0.1227</v>
      </c>
      <c r="N373">
        <f>VLOOKUP(A373,DB!A:I,5,FALSE)</f>
        <v>4.5799999999999999E-3</v>
      </c>
      <c r="O373">
        <f>VLOOKUP(A373,DB!A:I,6,FALSE)</f>
        <v>3.5500000000000002E-3</v>
      </c>
      <c r="P373">
        <f>VLOOKUP(A373,DB!A:I,7,FALSE)</f>
        <v>1.0300000000000001E-3</v>
      </c>
      <c r="Q373">
        <f>VLOOKUP(A373,DB!A:I,8,FALSE)</f>
        <v>0.63200000000000001</v>
      </c>
      <c r="R373">
        <f>VLOOKUP(A373,DB!A:I,9,FALSE)</f>
        <v>0.63390000000000002</v>
      </c>
      <c r="S373">
        <f>N373 *SQRT(H373)</f>
        <v>7.9327926986654571</v>
      </c>
      <c r="T373">
        <f>L373/N373</f>
        <v>111.83406113537119</v>
      </c>
    </row>
    <row r="374" spans="1:20" x14ac:dyDescent="0.25">
      <c r="A374" t="s">
        <v>1102</v>
      </c>
      <c r="B374" t="s">
        <v>513</v>
      </c>
      <c r="C374" s="4">
        <v>9.8493999999999998E-2</v>
      </c>
      <c r="D374" s="4">
        <v>0.307</v>
      </c>
      <c r="E374" s="4">
        <v>3.4979000000000003E-2</v>
      </c>
      <c r="F374" s="4">
        <v>0.44700000000000001</v>
      </c>
      <c r="G374">
        <v>4.9800000000000001E-3</v>
      </c>
      <c r="H374">
        <f>VLOOKUP(A374,DB!A:I,2,FALSE)</f>
        <v>1050000</v>
      </c>
      <c r="I374">
        <f>VLOOKUP(A374,'RE@CD'!A:D,2,FALSE)</f>
        <v>225000</v>
      </c>
      <c r="J374">
        <f>VLOOKUP(A374,'RE@CD'!A:D,3,FALSE)</f>
        <v>100000</v>
      </c>
      <c r="K374">
        <f>VLOOKUP(A374,'RE@CD'!A:D,4,FALSE)</f>
        <v>150000</v>
      </c>
      <c r="L374">
        <f>VLOOKUP(A374,DB!A:I,3,FALSE)</f>
        <v>0.36320000000000002</v>
      </c>
      <c r="M374">
        <f>VLOOKUP(A374,DB!A:I,4,FALSE)</f>
        <v>-7.22E-2</v>
      </c>
      <c r="N374">
        <f>VLOOKUP(A374,DB!A:I,5,FALSE)</f>
        <v>4.5799999999999999E-3</v>
      </c>
      <c r="O374">
        <f>VLOOKUP(A374,DB!A:I,6,FALSE)</f>
        <v>3.48E-3</v>
      </c>
      <c r="P374">
        <f>VLOOKUP(A374,DB!A:I,7,FALSE)</f>
        <v>1.1000000000000001E-3</v>
      </c>
      <c r="Q374">
        <f>VLOOKUP(A374,DB!A:I,8,FALSE)</f>
        <v>0.70609999999999995</v>
      </c>
      <c r="R374">
        <f>VLOOKUP(A374,DB!A:I,9,FALSE)</f>
        <v>0.86129999999999995</v>
      </c>
      <c r="S374">
        <f>N374 *SQRT(H374)</f>
        <v>4.6931034508094953</v>
      </c>
      <c r="T374">
        <f>L374/N374</f>
        <v>79.301310043668124</v>
      </c>
    </row>
    <row r="375" spans="1:20" x14ac:dyDescent="0.25">
      <c r="A375" t="s">
        <v>1150</v>
      </c>
      <c r="B375" t="s">
        <v>561</v>
      </c>
      <c r="C375" s="4">
        <v>9.6292000000000003E-2</v>
      </c>
      <c r="D375" s="4">
        <v>0.29499999999999998</v>
      </c>
      <c r="E375" s="4">
        <v>2.2962E-2</v>
      </c>
      <c r="F375" s="4">
        <v>0.38900000000000001</v>
      </c>
      <c r="G375">
        <v>5.5599999999999998E-3</v>
      </c>
      <c r="H375">
        <f>VLOOKUP(A375,DB!A:I,2,FALSE)</f>
        <v>1050000</v>
      </c>
      <c r="I375">
        <f>VLOOKUP(A375,'RE@CD'!A:D,2,FALSE)</f>
        <v>175000</v>
      </c>
      <c r="J375">
        <f>VLOOKUP(A375,'RE@CD'!A:D,3,FALSE)</f>
        <v>60000</v>
      </c>
      <c r="K375">
        <f>VLOOKUP(A375,'RE@CD'!A:D,4,FALSE)</f>
        <v>150000</v>
      </c>
      <c r="L375">
        <f>VLOOKUP(A375,DB!A:I,3,FALSE)</f>
        <v>0.23769999999999999</v>
      </c>
      <c r="M375">
        <f>VLOOKUP(A375,DB!A:I,4,FALSE)</f>
        <v>-4.48E-2</v>
      </c>
      <c r="N375">
        <f>VLOOKUP(A375,DB!A:I,5,FALSE)</f>
        <v>4.5799999999999999E-3</v>
      </c>
      <c r="O375">
        <f>VLOOKUP(A375,DB!A:I,6,FALSE)</f>
        <v>3.63E-3</v>
      </c>
      <c r="P375">
        <f>VLOOKUP(A375,DB!A:I,7,FALSE)</f>
        <v>9.5E-4</v>
      </c>
      <c r="Q375">
        <f>VLOOKUP(A375,DB!A:I,8,FALSE)</f>
        <v>0.6794</v>
      </c>
      <c r="R375">
        <f>VLOOKUP(A375,DB!A:I,9,FALSE)</f>
        <v>0.84179999999999999</v>
      </c>
      <c r="S375">
        <f>N375 *SQRT(H375)</f>
        <v>4.6931034508094953</v>
      </c>
      <c r="T375">
        <f>L375/N375</f>
        <v>51.89956331877729</v>
      </c>
    </row>
    <row r="376" spans="1:20" x14ac:dyDescent="0.25">
      <c r="A376" t="s">
        <v>697</v>
      </c>
      <c r="B376" t="s">
        <v>112</v>
      </c>
      <c r="C376" s="4">
        <v>0.101878</v>
      </c>
      <c r="D376" s="4">
        <v>0.28599999999999998</v>
      </c>
      <c r="E376" s="4">
        <v>9.6290000000000004E-3</v>
      </c>
      <c r="F376" s="4">
        <v>0.42899999999999999</v>
      </c>
      <c r="G376">
        <v>5.77E-3</v>
      </c>
      <c r="H376">
        <f>VLOOKUP(A376,DB!A:I,2,FALSE)</f>
        <v>3000000</v>
      </c>
      <c r="I376">
        <f>VLOOKUP(A376,'RE@CD'!A:D,2,FALSE)</f>
        <v>175000</v>
      </c>
      <c r="J376">
        <f>VLOOKUP(A376,'RE@CD'!A:D,3,FALSE)</f>
        <v>50000</v>
      </c>
      <c r="K376">
        <f>VLOOKUP(A376,'RE@CD'!A:D,4,FALSE)</f>
        <v>125000</v>
      </c>
      <c r="L376">
        <f>VLOOKUP(A376,DB!A:I,3,FALSE)</f>
        <v>0.1123</v>
      </c>
      <c r="M376">
        <f>VLOOKUP(A376,DB!A:I,4,FALSE)</f>
        <v>-2.3199999999999998E-2</v>
      </c>
      <c r="N376">
        <f>VLOOKUP(A376,DB!A:I,5,FALSE)</f>
        <v>4.5700000000000003E-3</v>
      </c>
      <c r="O376">
        <f>VLOOKUP(A376,DB!A:I,6,FALSE)</f>
        <v>4.1000000000000003E-3</v>
      </c>
      <c r="P376">
        <f>VLOOKUP(A376,DB!A:I,7,FALSE)</f>
        <v>4.6999999999999999E-4</v>
      </c>
      <c r="Q376">
        <f>VLOOKUP(A376,DB!A:I,8,FALSE)</f>
        <v>0.56130000000000002</v>
      </c>
      <c r="R376">
        <f>VLOOKUP(A376,DB!A:I,9,FALSE)</f>
        <v>0.52729999999999999</v>
      </c>
      <c r="S376">
        <f>N376 *SQRT(H376)</f>
        <v>7.9154721905897691</v>
      </c>
      <c r="T376">
        <f>L376/N376</f>
        <v>24.573304157549231</v>
      </c>
    </row>
    <row r="377" spans="1:20" x14ac:dyDescent="0.25">
      <c r="A377" t="s">
        <v>1075</v>
      </c>
      <c r="B377" t="s">
        <v>486</v>
      </c>
      <c r="C377" s="4">
        <v>8.9236999999999997E-2</v>
      </c>
      <c r="D377" s="4">
        <v>0.30199999999999999</v>
      </c>
      <c r="E377" s="4">
        <v>1.7628000000000001E-2</v>
      </c>
      <c r="F377" s="4">
        <v>0.39700000000000002</v>
      </c>
      <c r="G377" s="1">
        <v>9.0000000000000006E-5</v>
      </c>
      <c r="H377">
        <f>VLOOKUP(A377,DB!A:I,2,FALSE)</f>
        <v>1500000</v>
      </c>
      <c r="I377">
        <f>VLOOKUP(A377,'RE@CD'!A:D,2,FALSE)</f>
        <v>175000</v>
      </c>
      <c r="J377">
        <f>VLOOKUP(A377,'RE@CD'!A:D,3,FALSE)</f>
        <v>50000</v>
      </c>
      <c r="K377">
        <f>VLOOKUP(A377,'RE@CD'!A:D,4,FALSE)</f>
        <v>125000</v>
      </c>
      <c r="L377">
        <f>VLOOKUP(A377,DB!A:I,3,FALSE)</f>
        <v>0.2767</v>
      </c>
      <c r="M377">
        <f>VLOOKUP(A377,DB!A:I,4,FALSE)</f>
        <v>-6.2899999999999998E-2</v>
      </c>
      <c r="N377">
        <f>VLOOKUP(A377,DB!A:I,5,FALSE)</f>
        <v>4.5700000000000003E-3</v>
      </c>
      <c r="O377">
        <f>VLOOKUP(A377,DB!A:I,6,FALSE)</f>
        <v>3.9699999999999996E-3</v>
      </c>
      <c r="P377">
        <f>VLOOKUP(A377,DB!A:I,7,FALSE)</f>
        <v>5.9999999999999995E-4</v>
      </c>
      <c r="Q377">
        <f>VLOOKUP(A377,DB!A:I,8,FALSE)</f>
        <v>0.68630000000000002</v>
      </c>
      <c r="R377">
        <f>VLOOKUP(A377,DB!A:I,9,FALSE)</f>
        <v>0.6593</v>
      </c>
      <c r="S377">
        <f>N377 *SQRT(H377)</f>
        <v>5.5970840622595617</v>
      </c>
      <c r="T377">
        <f>L377/N377</f>
        <v>60.54704595185995</v>
      </c>
    </row>
    <row r="378" spans="1:20" x14ac:dyDescent="0.25">
      <c r="A378" t="s">
        <v>672</v>
      </c>
      <c r="B378" t="s">
        <v>87</v>
      </c>
      <c r="C378" s="4">
        <v>0.12254</v>
      </c>
      <c r="D378" s="4">
        <v>0.32400000000000001</v>
      </c>
      <c r="E378" s="4">
        <v>0</v>
      </c>
      <c r="F378" s="4">
        <v>1.0999999999999999E-2</v>
      </c>
      <c r="G378">
        <v>5.2500000000000003E-3</v>
      </c>
      <c r="H378">
        <f>VLOOKUP(A378,DB!A:I,2,FALSE)</f>
        <v>3000000</v>
      </c>
      <c r="I378">
        <f>VLOOKUP(A378,'RE@CD'!A:D,2,FALSE)</f>
        <v>250000</v>
      </c>
      <c r="J378">
        <f>VLOOKUP(A378,'RE@CD'!A:D,3,FALSE)</f>
        <v>90000</v>
      </c>
      <c r="K378">
        <f>VLOOKUP(A378,'RE@CD'!A:D,4,FALSE)</f>
        <v>150000</v>
      </c>
      <c r="L378">
        <f>VLOOKUP(A378,DB!A:I,3,FALSE)</f>
        <v>0</v>
      </c>
      <c r="M378">
        <f>VLOOKUP(A378,DB!A:I,4,FALSE)</f>
        <v>0</v>
      </c>
      <c r="N378">
        <f>VLOOKUP(A378,DB!A:I,5,FALSE)</f>
        <v>4.5599999999999998E-3</v>
      </c>
      <c r="O378">
        <f>VLOOKUP(A378,DB!A:I,6,FALSE)</f>
        <v>4.0400000000000002E-3</v>
      </c>
      <c r="P378">
        <f>VLOOKUP(A378,DB!A:I,7,FALSE)</f>
        <v>5.1999999999999995E-4</v>
      </c>
      <c r="Q378">
        <f>VLOOKUP(A378,DB!A:I,8,FALSE)</f>
        <v>0.56389999999999996</v>
      </c>
      <c r="R378">
        <f>VLOOKUP(A378,DB!A:I,9,FALSE)</f>
        <v>0.56399999999999995</v>
      </c>
      <c r="S378">
        <f>N378 *SQRT(H378)</f>
        <v>7.8981516825140794</v>
      </c>
      <c r="T378">
        <f>L378/N378</f>
        <v>0</v>
      </c>
    </row>
    <row r="379" spans="1:20" x14ac:dyDescent="0.25">
      <c r="A379" t="s">
        <v>823</v>
      </c>
      <c r="B379" t="s">
        <v>238</v>
      </c>
      <c r="C379" s="4">
        <v>0.15435499999999999</v>
      </c>
      <c r="D379" s="4">
        <v>0.40400000000000003</v>
      </c>
      <c r="E379" s="4">
        <v>4.9394E-2</v>
      </c>
      <c r="F379" s="4">
        <v>0.56200000000000006</v>
      </c>
      <c r="G379">
        <v>6.8100000000000001E-3</v>
      </c>
      <c r="H379">
        <f>VLOOKUP(A379,DB!A:I,2,FALSE)</f>
        <v>3000000</v>
      </c>
      <c r="I379">
        <f>VLOOKUP(A379,'RE@CD'!A:D,2,FALSE)</f>
        <v>550000</v>
      </c>
      <c r="J379">
        <f>VLOOKUP(A379,'RE@CD'!A:D,3,FALSE)</f>
        <v>300000</v>
      </c>
      <c r="K379">
        <f>VLOOKUP(A379,'RE@CD'!A:D,4,FALSE)</f>
        <v>425000</v>
      </c>
      <c r="L379">
        <f>VLOOKUP(A379,DB!A:I,3,FALSE)</f>
        <v>0.80159999999999998</v>
      </c>
      <c r="M379">
        <f>VLOOKUP(A379,DB!A:I,4,FALSE)</f>
        <v>-0.2019</v>
      </c>
      <c r="N379">
        <f>VLOOKUP(A379,DB!A:I,5,FALSE)</f>
        <v>4.5599999999999998E-3</v>
      </c>
      <c r="O379">
        <f>VLOOKUP(A379,DB!A:I,6,FALSE)</f>
        <v>3.1199999999999999E-3</v>
      </c>
      <c r="P379">
        <f>VLOOKUP(A379,DB!A:I,7,FALSE)</f>
        <v>1.4400000000000001E-3</v>
      </c>
      <c r="Q379">
        <f>VLOOKUP(A379,DB!A:I,8,FALSE)</f>
        <v>0.72689999999999999</v>
      </c>
      <c r="R379">
        <f>VLOOKUP(A379,DB!A:I,9,FALSE)</f>
        <v>0.71499999999999997</v>
      </c>
      <c r="S379">
        <f>N379 *SQRT(H379)</f>
        <v>7.8981516825140794</v>
      </c>
      <c r="T379">
        <f>L379/N379</f>
        <v>175.78947368421052</v>
      </c>
    </row>
    <row r="380" spans="1:20" x14ac:dyDescent="0.25">
      <c r="A380" t="s">
        <v>940</v>
      </c>
      <c r="B380" t="s">
        <v>351</v>
      </c>
      <c r="C380" s="4">
        <v>0.18814</v>
      </c>
      <c r="D380" s="4">
        <v>0.435</v>
      </c>
      <c r="E380" s="4">
        <v>2.3692000000000001E-2</v>
      </c>
      <c r="F380" s="4">
        <v>0.5</v>
      </c>
      <c r="G380">
        <v>8.8199999999999997E-3</v>
      </c>
      <c r="H380">
        <f>VLOOKUP(A380,DB!A:I,2,FALSE)</f>
        <v>3000000</v>
      </c>
      <c r="I380">
        <f>VLOOKUP(A380,'RE@CD'!A:D,2,FALSE)</f>
        <v>750000</v>
      </c>
      <c r="J380">
        <f>VLOOKUP(A380,'RE@CD'!A:D,3,FALSE)</f>
        <v>450000</v>
      </c>
      <c r="K380">
        <f>VLOOKUP(A380,'RE@CD'!A:D,4,FALSE)</f>
        <v>525000</v>
      </c>
      <c r="L380">
        <f>VLOOKUP(A380,DB!A:I,3,FALSE)</f>
        <v>0.29249999999999998</v>
      </c>
      <c r="M380">
        <f>VLOOKUP(A380,DB!A:I,4,FALSE)</f>
        <v>-6.4799999999999996E-2</v>
      </c>
      <c r="N380">
        <f>VLOOKUP(A380,DB!A:I,5,FALSE)</f>
        <v>4.5599999999999998E-3</v>
      </c>
      <c r="O380">
        <f>VLOOKUP(A380,DB!A:I,6,FALSE)</f>
        <v>3.3800000000000002E-3</v>
      </c>
      <c r="P380">
        <f>VLOOKUP(A380,DB!A:I,7,FALSE)</f>
        <v>1.1800000000000001E-3</v>
      </c>
      <c r="Q380">
        <f>VLOOKUP(A380,DB!A:I,8,FALSE)</f>
        <v>0.67010000000000003</v>
      </c>
      <c r="R380">
        <f>VLOOKUP(A380,DB!A:I,9,FALSE)</f>
        <v>0.69720000000000004</v>
      </c>
      <c r="S380">
        <f>N380 *SQRT(H380)</f>
        <v>7.8981516825140794</v>
      </c>
      <c r="T380">
        <f>L380/N380</f>
        <v>64.14473684210526</v>
      </c>
    </row>
    <row r="381" spans="1:20" x14ac:dyDescent="0.25">
      <c r="A381" t="s">
        <v>1105</v>
      </c>
      <c r="B381" t="s">
        <v>516</v>
      </c>
      <c r="C381" s="4">
        <v>8.9216000000000004E-2</v>
      </c>
      <c r="D381" s="4">
        <v>0.309</v>
      </c>
      <c r="E381" s="4">
        <v>2.9926000000000001E-2</v>
      </c>
      <c r="F381" s="4">
        <v>0.45</v>
      </c>
      <c r="G381">
        <v>5.2999999999999998E-4</v>
      </c>
      <c r="H381">
        <f>VLOOKUP(A381,DB!A:I,2,FALSE)</f>
        <v>2100000</v>
      </c>
      <c r="I381">
        <f>VLOOKUP(A381,'RE@CD'!A:D,2,FALSE)</f>
        <v>175000</v>
      </c>
      <c r="J381">
        <f>VLOOKUP(A381,'RE@CD'!A:D,3,FALSE)</f>
        <v>80000</v>
      </c>
      <c r="K381">
        <f>VLOOKUP(A381,'RE@CD'!A:D,4,FALSE)</f>
        <v>150000</v>
      </c>
      <c r="L381">
        <f>VLOOKUP(A381,DB!A:I,3,FALSE)</f>
        <v>0.34029999999999999</v>
      </c>
      <c r="M381">
        <f>VLOOKUP(A381,DB!A:I,4,FALSE)</f>
        <v>-7.0800000000000002E-2</v>
      </c>
      <c r="N381">
        <f>VLOOKUP(A381,DB!A:I,5,FALSE)</f>
        <v>4.5500000000000002E-3</v>
      </c>
      <c r="O381">
        <f>VLOOKUP(A381,DB!A:I,6,FALSE)</f>
        <v>3.9300000000000003E-3</v>
      </c>
      <c r="P381">
        <f>VLOOKUP(A381,DB!A:I,7,FALSE)</f>
        <v>6.2E-4</v>
      </c>
      <c r="Q381">
        <f>VLOOKUP(A381,DB!A:I,8,FALSE)</f>
        <v>0.6371</v>
      </c>
      <c r="R381">
        <f>VLOOKUP(A381,DB!A:I,9,FALSE)</f>
        <v>0.61099999999999999</v>
      </c>
      <c r="S381">
        <f>N381 *SQRT(H381)</f>
        <v>6.5935764195161957</v>
      </c>
      <c r="T381">
        <f>L381/N381</f>
        <v>74.791208791208788</v>
      </c>
    </row>
    <row r="382" spans="1:20" x14ac:dyDescent="0.25">
      <c r="A382" t="s">
        <v>597</v>
      </c>
      <c r="B382" t="s">
        <v>12</v>
      </c>
      <c r="C382" s="4">
        <v>5.8123000000000001E-2</v>
      </c>
      <c r="D382" s="4">
        <v>0.26</v>
      </c>
      <c r="E382" s="4">
        <v>2.2860999999999999E-2</v>
      </c>
      <c r="F382" s="4">
        <v>0.29099999999999998</v>
      </c>
      <c r="G382">
        <v>2.7599999999999999E-3</v>
      </c>
      <c r="H382">
        <f>VLOOKUP(A382,DB!A:I,2,FALSE)</f>
        <v>525000</v>
      </c>
      <c r="I382">
        <f>VLOOKUP(A382,'RE@CD'!A:D,2,FALSE)</f>
        <v>125000</v>
      </c>
      <c r="J382">
        <f>VLOOKUP(A382,'RE@CD'!A:D,3,FALSE)</f>
        <v>70000</v>
      </c>
      <c r="K382">
        <f>VLOOKUP(A382,'RE@CD'!A:D,4,FALSE)</f>
        <v>70000</v>
      </c>
      <c r="L382">
        <f>VLOOKUP(A382,DB!A:I,3,FALSE)</f>
        <v>0.22550000000000001</v>
      </c>
      <c r="M382">
        <f>VLOOKUP(A382,DB!A:I,4,FALSE)</f>
        <v>-3.5900000000000001E-2</v>
      </c>
      <c r="N382">
        <f>VLOOKUP(A382,DB!A:I,5,FALSE)</f>
        <v>4.8500000000000001E-3</v>
      </c>
      <c r="O382">
        <f>VLOOKUP(A382,DB!A:I,6,FALSE)</f>
        <v>3.4399999999999999E-3</v>
      </c>
      <c r="P382">
        <f>VLOOKUP(A382,DB!A:I,7,FALSE)</f>
        <v>1.41E-3</v>
      </c>
      <c r="Q382">
        <f>VLOOKUP(A382,DB!A:I,8,FALSE)</f>
        <v>0.81369999999999998</v>
      </c>
      <c r="R382">
        <f>VLOOKUP(A382,DB!A:I,9,FALSE)</f>
        <v>1</v>
      </c>
      <c r="S382">
        <f>N382 *SQRT(H382)</f>
        <v>3.5141588609509391</v>
      </c>
      <c r="T382">
        <f>L382/N382</f>
        <v>46.494845360824741</v>
      </c>
    </row>
    <row r="383" spans="1:20" x14ac:dyDescent="0.25">
      <c r="A383" t="s">
        <v>898</v>
      </c>
      <c r="B383" t="s">
        <v>313</v>
      </c>
      <c r="C383" s="4">
        <v>8.4001000000000006E-2</v>
      </c>
      <c r="D383" s="4">
        <v>0.33300000000000002</v>
      </c>
      <c r="E383" s="4">
        <v>2.4112000000000001E-2</v>
      </c>
      <c r="F383" s="4">
        <v>0.33300000000000002</v>
      </c>
      <c r="G383">
        <v>2.7299999999999998E-3</v>
      </c>
      <c r="H383">
        <f>VLOOKUP(A383,DB!A:I,2,FALSE)</f>
        <v>1000000</v>
      </c>
      <c r="I383">
        <f>VLOOKUP(A383,'RE@CD'!A:D,2,FALSE)</f>
        <v>175000</v>
      </c>
      <c r="J383">
        <f>VLOOKUP(A383,'RE@CD'!A:D,3,FALSE)</f>
        <v>50000</v>
      </c>
      <c r="K383">
        <f>VLOOKUP(A383,'RE@CD'!A:D,4,FALSE)</f>
        <v>125000</v>
      </c>
      <c r="L383">
        <f>VLOOKUP(A383,DB!A:I,3,FALSE)</f>
        <v>0.16600000000000001</v>
      </c>
      <c r="M383">
        <f>VLOOKUP(A383,DB!A:I,4,FALSE)</f>
        <v>-2.18E-2</v>
      </c>
      <c r="N383">
        <f>VLOOKUP(A383,DB!A:I,5,FALSE)</f>
        <v>4.5399999999999998E-3</v>
      </c>
      <c r="O383">
        <f>VLOOKUP(A383,DB!A:I,6,FALSE)</f>
        <v>3.6800000000000001E-3</v>
      </c>
      <c r="P383">
        <f>VLOOKUP(A383,DB!A:I,7,FALSE)</f>
        <v>8.5999999999999998E-4</v>
      </c>
      <c r="Q383">
        <f>VLOOKUP(A383,DB!A:I,8,FALSE)</f>
        <v>0.67220000000000002</v>
      </c>
      <c r="R383">
        <f>VLOOKUP(A383,DB!A:I,9,FALSE)</f>
        <v>0.89529999999999998</v>
      </c>
      <c r="S383">
        <f>N383 *SQRT(H383)</f>
        <v>4.54</v>
      </c>
      <c r="T383">
        <f>L383/N383</f>
        <v>36.563876651982383</v>
      </c>
    </row>
    <row r="384" spans="1:20" x14ac:dyDescent="0.25">
      <c r="A384" t="s">
        <v>790</v>
      </c>
      <c r="B384" t="s">
        <v>205</v>
      </c>
      <c r="C384" s="4">
        <v>0.16614300000000001</v>
      </c>
      <c r="D384" s="4">
        <v>0.40899999999999997</v>
      </c>
      <c r="E384" s="4">
        <v>4.5387999999999998E-2</v>
      </c>
      <c r="F384" s="4">
        <v>0.38300000000000001</v>
      </c>
      <c r="G384">
        <v>2.47E-3</v>
      </c>
      <c r="H384">
        <f>VLOOKUP(A384,DB!A:I,2,FALSE)</f>
        <v>3000000</v>
      </c>
      <c r="I384">
        <f>VLOOKUP(A384,'RE@CD'!A:D,2,FALSE)</f>
        <v>700000</v>
      </c>
      <c r="J384">
        <f>VLOOKUP(A384,'RE@CD'!A:D,3,FALSE)</f>
        <v>200000</v>
      </c>
      <c r="K384">
        <f>VLOOKUP(A384,'RE@CD'!A:D,4,FALSE)</f>
        <v>425000</v>
      </c>
      <c r="L384">
        <f>VLOOKUP(A384,DB!A:I,3,FALSE)</f>
        <v>0.52480000000000004</v>
      </c>
      <c r="M384">
        <f>VLOOKUP(A384,DB!A:I,4,FALSE)</f>
        <v>-0.1007</v>
      </c>
      <c r="N384">
        <f>VLOOKUP(A384,DB!A:I,5,FALSE)</f>
        <v>4.5300000000000002E-3</v>
      </c>
      <c r="O384">
        <f>VLOOKUP(A384,DB!A:I,6,FALSE)</f>
        <v>3.3400000000000001E-3</v>
      </c>
      <c r="P384">
        <f>VLOOKUP(A384,DB!A:I,7,FALSE)</f>
        <v>1.1900000000000001E-3</v>
      </c>
      <c r="Q384">
        <f>VLOOKUP(A384,DB!A:I,8,FALSE)</f>
        <v>0.58579999999999999</v>
      </c>
      <c r="R384">
        <f>VLOOKUP(A384,DB!A:I,9,FALSE)</f>
        <v>0.79359999999999997</v>
      </c>
      <c r="S384">
        <f>N384 *SQRT(H384)</f>
        <v>7.8461901582870137</v>
      </c>
      <c r="T384">
        <f>L384/N384</f>
        <v>115.84988962472407</v>
      </c>
    </row>
    <row r="385" spans="1:20" x14ac:dyDescent="0.25">
      <c r="A385" t="s">
        <v>1097</v>
      </c>
      <c r="B385" t="s">
        <v>508</v>
      </c>
      <c r="C385" s="4">
        <v>9.9474000000000007E-2</v>
      </c>
      <c r="D385" s="4">
        <v>0.30599999999999999</v>
      </c>
      <c r="E385" s="4">
        <v>3.0079999999999999E-2</v>
      </c>
      <c r="F385" s="4">
        <v>0.38800000000000001</v>
      </c>
      <c r="G385">
        <v>6.3499999999999997E-3</v>
      </c>
      <c r="H385">
        <f>VLOOKUP(A385,DB!A:I,2,FALSE)</f>
        <v>2200000</v>
      </c>
      <c r="I385">
        <f>VLOOKUP(A385,'RE@CD'!A:D,2,FALSE)</f>
        <v>200000</v>
      </c>
      <c r="J385">
        <f>VLOOKUP(A385,'RE@CD'!A:D,3,FALSE)</f>
        <v>80000</v>
      </c>
      <c r="K385">
        <f>VLOOKUP(A385,'RE@CD'!A:D,4,FALSE)</f>
        <v>125000</v>
      </c>
      <c r="L385">
        <f>VLOOKUP(A385,DB!A:I,3,FALSE)</f>
        <v>0.41570000000000001</v>
      </c>
      <c r="M385">
        <f>VLOOKUP(A385,DB!A:I,4,FALSE)</f>
        <v>-8.6699999999999999E-2</v>
      </c>
      <c r="N385">
        <f>VLOOKUP(A385,DB!A:I,5,FALSE)</f>
        <v>4.5300000000000002E-3</v>
      </c>
      <c r="O385">
        <f>VLOOKUP(A385,DB!A:I,6,FALSE)</f>
        <v>3.82E-3</v>
      </c>
      <c r="P385">
        <f>VLOOKUP(A385,DB!A:I,7,FALSE)</f>
        <v>7.1000000000000002E-4</v>
      </c>
      <c r="Q385">
        <f>VLOOKUP(A385,DB!A:I,8,FALSE)</f>
        <v>0.58550000000000002</v>
      </c>
      <c r="R385">
        <f>VLOOKUP(A385,DB!A:I,9,FALSE)</f>
        <v>0.66210000000000002</v>
      </c>
      <c r="S385">
        <f>N385 *SQRT(H385)</f>
        <v>6.7190758293086708</v>
      </c>
      <c r="T385">
        <f>L385/N385</f>
        <v>91.766004415011039</v>
      </c>
    </row>
    <row r="386" spans="1:20" x14ac:dyDescent="0.25">
      <c r="A386" t="s">
        <v>710</v>
      </c>
      <c r="B386" t="s">
        <v>125</v>
      </c>
      <c r="C386" s="4">
        <v>0.117664</v>
      </c>
      <c r="D386" s="4">
        <v>0.313</v>
      </c>
      <c r="E386" s="4">
        <v>3.5546000000000001E-2</v>
      </c>
      <c r="F386" s="4">
        <v>0.24399999999999999</v>
      </c>
      <c r="G386">
        <v>2.6900000000000001E-3</v>
      </c>
      <c r="H386">
        <f>VLOOKUP(A386,DB!A:I,2,FALSE)</f>
        <v>600000</v>
      </c>
      <c r="I386">
        <f>VLOOKUP(A386,'RE@CD'!A:D,2,FALSE)</f>
        <v>375000</v>
      </c>
      <c r="J386">
        <f>VLOOKUP(A386,'RE@CD'!A:D,3,FALSE)</f>
        <v>80000</v>
      </c>
      <c r="K386">
        <f>VLOOKUP(A386,'RE@CD'!A:D,4,FALSE)</f>
        <v>80000</v>
      </c>
      <c r="L386">
        <f>VLOOKUP(A386,DB!A:I,3,FALSE)</f>
        <v>0.20380000000000001</v>
      </c>
      <c r="M386">
        <f>VLOOKUP(A386,DB!A:I,4,FALSE)</f>
        <v>-1.0699999999999999E-2</v>
      </c>
      <c r="N386">
        <f>VLOOKUP(A386,DB!A:I,5,FALSE)</f>
        <v>7.1999999999999998E-3</v>
      </c>
      <c r="O386">
        <f>VLOOKUP(A386,DB!A:I,6,FALSE)</f>
        <v>5.0200000000000002E-3</v>
      </c>
      <c r="P386">
        <f>VLOOKUP(A386,DB!A:I,7,FALSE)</f>
        <v>2.1800000000000001E-3</v>
      </c>
      <c r="Q386">
        <f>VLOOKUP(A386,DB!A:I,8,FALSE)</f>
        <v>0.47199999999999998</v>
      </c>
      <c r="R386">
        <f>VLOOKUP(A386,DB!A:I,9,FALSE)</f>
        <v>0.85389999999999999</v>
      </c>
      <c r="S386">
        <f>N386 *SQRT(H386)</f>
        <v>5.57709601853868</v>
      </c>
      <c r="T386">
        <f>L386/N386</f>
        <v>28.305555555555557</v>
      </c>
    </row>
    <row r="387" spans="1:20" x14ac:dyDescent="0.25">
      <c r="A387" t="s">
        <v>1099</v>
      </c>
      <c r="B387" t="s">
        <v>510</v>
      </c>
      <c r="C387" s="4">
        <v>9.461E-2</v>
      </c>
      <c r="D387" s="4">
        <v>0.29399999999999998</v>
      </c>
      <c r="E387" s="4">
        <v>2.5427000000000002E-2</v>
      </c>
      <c r="F387" s="4">
        <v>0.38600000000000001</v>
      </c>
      <c r="G387">
        <v>4.9199999999999999E-3</v>
      </c>
      <c r="H387">
        <f>VLOOKUP(A387,DB!A:I,2,FALSE)</f>
        <v>1000000</v>
      </c>
      <c r="I387">
        <f>VLOOKUP(A387,'RE@CD'!A:D,2,FALSE)</f>
        <v>200000</v>
      </c>
      <c r="J387">
        <f>VLOOKUP(A387,'RE@CD'!A:D,3,FALSE)</f>
        <v>80000</v>
      </c>
      <c r="K387">
        <f>VLOOKUP(A387,'RE@CD'!A:D,4,FALSE)</f>
        <v>125000</v>
      </c>
      <c r="L387">
        <f>VLOOKUP(A387,DB!A:I,3,FALSE)</f>
        <v>0.22090000000000001</v>
      </c>
      <c r="M387">
        <f>VLOOKUP(A387,DB!A:I,4,FALSE)</f>
        <v>-3.73E-2</v>
      </c>
      <c r="N387">
        <f>VLOOKUP(A387,DB!A:I,5,FALSE)</f>
        <v>4.5199999999999997E-3</v>
      </c>
      <c r="O387">
        <f>VLOOKUP(A387,DB!A:I,6,FALSE)</f>
        <v>3.5200000000000001E-3</v>
      </c>
      <c r="P387">
        <f>VLOOKUP(A387,DB!A:I,7,FALSE)</f>
        <v>1E-3</v>
      </c>
      <c r="Q387">
        <f>VLOOKUP(A387,DB!A:I,8,FALSE)</f>
        <v>0.68279999999999996</v>
      </c>
      <c r="R387">
        <f>VLOOKUP(A387,DB!A:I,9,FALSE)</f>
        <v>0.87280000000000002</v>
      </c>
      <c r="S387">
        <f>N387 *SQRT(H387)</f>
        <v>4.5199999999999996</v>
      </c>
      <c r="T387">
        <f>L387/N387</f>
        <v>48.87168141592921</v>
      </c>
    </row>
    <row r="388" spans="1:20" x14ac:dyDescent="0.25">
      <c r="A388" t="s">
        <v>1129</v>
      </c>
      <c r="B388" t="s">
        <v>540</v>
      </c>
      <c r="C388" s="4">
        <v>9.0079000000000006E-2</v>
      </c>
      <c r="D388" s="4">
        <v>0.28199999999999997</v>
      </c>
      <c r="E388" s="4">
        <v>2.3706000000000001E-2</v>
      </c>
      <c r="F388" s="4">
        <v>0.42199999999999999</v>
      </c>
      <c r="G388">
        <v>3.1099999999999999E-3</v>
      </c>
      <c r="H388">
        <f>VLOOKUP(A388,DB!A:I,2,FALSE)</f>
        <v>1950000</v>
      </c>
      <c r="I388">
        <f>VLOOKUP(A388,'RE@CD'!A:D,2,FALSE)</f>
        <v>175000</v>
      </c>
      <c r="J388">
        <f>VLOOKUP(A388,'RE@CD'!A:D,3,FALSE)</f>
        <v>50000</v>
      </c>
      <c r="K388">
        <f>VLOOKUP(A388,'RE@CD'!A:D,4,FALSE)</f>
        <v>125000</v>
      </c>
      <c r="L388">
        <f>VLOOKUP(A388,DB!A:I,3,FALSE)</f>
        <v>0.33910000000000001</v>
      </c>
      <c r="M388">
        <f>VLOOKUP(A388,DB!A:I,4,FALSE)</f>
        <v>-7.3400000000000007E-2</v>
      </c>
      <c r="N388">
        <f>VLOOKUP(A388,DB!A:I,5,FALSE)</f>
        <v>4.5199999999999997E-3</v>
      </c>
      <c r="O388">
        <f>VLOOKUP(A388,DB!A:I,6,FALSE)</f>
        <v>3.8800000000000002E-3</v>
      </c>
      <c r="P388">
        <f>VLOOKUP(A388,DB!A:I,7,FALSE)</f>
        <v>6.4999999999999997E-4</v>
      </c>
      <c r="Q388">
        <f>VLOOKUP(A388,DB!A:I,8,FALSE)</f>
        <v>0.59530000000000005</v>
      </c>
      <c r="R388">
        <f>VLOOKUP(A388,DB!A:I,9,FALSE)</f>
        <v>0.69220000000000004</v>
      </c>
      <c r="S388">
        <f>N388 *SQRT(H388)</f>
        <v>6.3118364997835608</v>
      </c>
      <c r="T388">
        <f>L388/N388</f>
        <v>75.022123893805315</v>
      </c>
    </row>
    <row r="389" spans="1:20" x14ac:dyDescent="0.25">
      <c r="A389" t="s">
        <v>1167</v>
      </c>
      <c r="B389" t="s">
        <v>577</v>
      </c>
      <c r="C389" s="4">
        <v>9.0909000000000004E-2</v>
      </c>
      <c r="D389" s="4">
        <v>0.35</v>
      </c>
      <c r="E389" s="4">
        <v>3.0300000000000001E-2</v>
      </c>
      <c r="F389" s="4">
        <v>0.59199999999999997</v>
      </c>
      <c r="G389">
        <v>2.2499999999999998E-3</v>
      </c>
      <c r="H389">
        <f>VLOOKUP(A389,DB!A:I,2,FALSE)</f>
        <v>3000000</v>
      </c>
      <c r="I389">
        <f>VLOOKUP(A389,'RE@CD'!A:D,2,FALSE)</f>
        <v>350000</v>
      </c>
      <c r="J389">
        <f>VLOOKUP(A389,'RE@CD'!A:D,3,FALSE)</f>
        <v>90000</v>
      </c>
      <c r="K389">
        <f>VLOOKUP(A389,'RE@CD'!A:D,4,FALSE)</f>
        <v>275000</v>
      </c>
      <c r="L389">
        <f>VLOOKUP(A389,DB!A:I,3,FALSE)</f>
        <v>0.41010000000000002</v>
      </c>
      <c r="M389">
        <f>VLOOKUP(A389,DB!A:I,4,FALSE)</f>
        <v>-0.1099</v>
      </c>
      <c r="N389">
        <f>VLOOKUP(A389,DB!A:I,5,FALSE)</f>
        <v>4.5199999999999997E-3</v>
      </c>
      <c r="O389">
        <f>VLOOKUP(A389,DB!A:I,6,FALSE)</f>
        <v>4.0299999999999997E-3</v>
      </c>
      <c r="P389">
        <f>VLOOKUP(A389,DB!A:I,7,FALSE)</f>
        <v>4.8999999999999998E-4</v>
      </c>
      <c r="Q389">
        <f>VLOOKUP(A389,DB!A:I,8,FALSE)</f>
        <v>0.77939999999999998</v>
      </c>
      <c r="R389">
        <f>VLOOKUP(A389,DB!A:I,9,FALSE)</f>
        <v>0.30180000000000001</v>
      </c>
      <c r="S389">
        <f>N389 *SQRT(H389)</f>
        <v>7.828869650211324</v>
      </c>
      <c r="T389">
        <f>L389/N389</f>
        <v>90.730088495575231</v>
      </c>
    </row>
    <row r="390" spans="1:20" x14ac:dyDescent="0.25">
      <c r="A390" t="s">
        <v>758</v>
      </c>
      <c r="B390" t="s">
        <v>173</v>
      </c>
      <c r="C390" s="4">
        <v>0.125252</v>
      </c>
      <c r="D390" s="4">
        <v>0.32800000000000001</v>
      </c>
      <c r="E390" s="4">
        <v>1.1407E-2</v>
      </c>
      <c r="F390" s="4">
        <v>0.23899999999999999</v>
      </c>
      <c r="G390">
        <v>3.7000000000000002E-3</v>
      </c>
      <c r="H390">
        <f>VLOOKUP(A390,DB!A:I,2,FALSE)</f>
        <v>2500000</v>
      </c>
      <c r="I390">
        <f>VLOOKUP(A390,'RE@CD'!A:D,2,FALSE)</f>
        <v>275000</v>
      </c>
      <c r="J390">
        <f>VLOOKUP(A390,'RE@CD'!A:D,3,FALSE)</f>
        <v>90000</v>
      </c>
      <c r="K390">
        <f>VLOOKUP(A390,'RE@CD'!A:D,4,FALSE)</f>
        <v>200000</v>
      </c>
      <c r="L390">
        <f>VLOOKUP(A390,DB!A:I,3,FALSE)</f>
        <v>9.9599999999999994E-2</v>
      </c>
      <c r="M390">
        <f>VLOOKUP(A390,DB!A:I,4,FALSE)</f>
        <v>-1.1599999999999999E-2</v>
      </c>
      <c r="N390">
        <f>VLOOKUP(A390,DB!A:I,5,FALSE)</f>
        <v>4.5100000000000001E-3</v>
      </c>
      <c r="O390">
        <f>VLOOKUP(A390,DB!A:I,6,FALSE)</f>
        <v>3.8800000000000002E-3</v>
      </c>
      <c r="P390">
        <f>VLOOKUP(A390,DB!A:I,7,FALSE)</f>
        <v>6.3000000000000003E-4</v>
      </c>
      <c r="Q390">
        <f>VLOOKUP(A390,DB!A:I,8,FALSE)</f>
        <v>0.55259999999999998</v>
      </c>
      <c r="R390">
        <f>VLOOKUP(A390,DB!A:I,9,FALSE)</f>
        <v>0.67220000000000002</v>
      </c>
      <c r="S390">
        <f>N390 *SQRT(H390)</f>
        <v>7.130936123679696</v>
      </c>
      <c r="T390">
        <f>L390/N390</f>
        <v>22.084257206208424</v>
      </c>
    </row>
    <row r="391" spans="1:20" x14ac:dyDescent="0.25">
      <c r="A391" t="s">
        <v>763</v>
      </c>
      <c r="B391" t="s">
        <v>178</v>
      </c>
      <c r="C391" s="4">
        <v>0.16881399999999999</v>
      </c>
      <c r="D391" s="4">
        <v>0.45</v>
      </c>
      <c r="E391" s="4">
        <v>1.6222E-2</v>
      </c>
      <c r="F391" s="4">
        <v>0.35499999999999998</v>
      </c>
      <c r="G391">
        <v>1.6900000000000001E-3</v>
      </c>
      <c r="H391">
        <f>VLOOKUP(A391,DB!A:I,2,FALSE)</f>
        <v>3000000</v>
      </c>
      <c r="I391">
        <f>VLOOKUP(A391,'RE@CD'!A:D,2,FALSE)</f>
        <v>650000</v>
      </c>
      <c r="J391">
        <f>VLOOKUP(A391,'RE@CD'!A:D,3,FALSE)</f>
        <v>350000</v>
      </c>
      <c r="K391">
        <f>VLOOKUP(A391,'RE@CD'!A:D,4,FALSE)</f>
        <v>450000</v>
      </c>
      <c r="L391">
        <f>VLOOKUP(A391,DB!A:I,3,FALSE)</f>
        <v>0.28510000000000002</v>
      </c>
      <c r="M391">
        <f>VLOOKUP(A391,DB!A:I,4,FALSE)</f>
        <v>-6.25E-2</v>
      </c>
      <c r="N391">
        <f>VLOOKUP(A391,DB!A:I,5,FALSE)</f>
        <v>4.5100000000000001E-3</v>
      </c>
      <c r="O391">
        <f>VLOOKUP(A391,DB!A:I,6,FALSE)</f>
        <v>3.4399999999999999E-3</v>
      </c>
      <c r="P391">
        <f>VLOOKUP(A391,DB!A:I,7,FALSE)</f>
        <v>1.07E-3</v>
      </c>
      <c r="Q391">
        <f>VLOOKUP(A391,DB!A:I,8,FALSE)</f>
        <v>0.64939999999999998</v>
      </c>
      <c r="R391">
        <f>VLOOKUP(A391,DB!A:I,9,FALSE)</f>
        <v>0.70720000000000005</v>
      </c>
      <c r="S391">
        <f>N391 *SQRT(H391)</f>
        <v>7.811549142135636</v>
      </c>
      <c r="T391">
        <f>L391/N391</f>
        <v>63.215077605321511</v>
      </c>
    </row>
    <row r="392" spans="1:20" x14ac:dyDescent="0.25">
      <c r="A392" t="s">
        <v>1023</v>
      </c>
      <c r="B392" t="s">
        <v>434</v>
      </c>
      <c r="C392" s="4">
        <v>0.111447</v>
      </c>
      <c r="D392" s="4">
        <v>0.33400000000000002</v>
      </c>
      <c r="E392" s="4">
        <v>2.8192999999999999E-2</v>
      </c>
      <c r="F392" s="4">
        <v>0.38</v>
      </c>
      <c r="G392">
        <v>1.8699999999999999E-3</v>
      </c>
      <c r="H392">
        <f>VLOOKUP(A392,DB!A:I,2,FALSE)</f>
        <v>1250000</v>
      </c>
      <c r="I392">
        <f>VLOOKUP(A392,'RE@CD'!A:D,2,FALSE)</f>
        <v>275000</v>
      </c>
      <c r="J392">
        <f>VLOOKUP(A392,'RE@CD'!A:D,3,FALSE)</f>
        <v>100000</v>
      </c>
      <c r="K392">
        <f>VLOOKUP(A392,'RE@CD'!A:D,4,FALSE)</f>
        <v>175000</v>
      </c>
      <c r="L392">
        <f>VLOOKUP(A392,DB!A:I,3,FALSE)</f>
        <v>0.14099999999999999</v>
      </c>
      <c r="M392">
        <f>VLOOKUP(A392,DB!A:I,4,FALSE)</f>
        <v>-1.23E-2</v>
      </c>
      <c r="N392">
        <f>VLOOKUP(A392,DB!A:I,5,FALSE)</f>
        <v>4.5100000000000001E-3</v>
      </c>
      <c r="O392">
        <f>VLOOKUP(A392,DB!A:I,6,FALSE)</f>
        <v>3.4499999999999999E-3</v>
      </c>
      <c r="P392">
        <f>VLOOKUP(A392,DB!A:I,7,FALSE)</f>
        <v>1.06E-3</v>
      </c>
      <c r="Q392">
        <f>VLOOKUP(A392,DB!A:I,8,FALSE)</f>
        <v>0.63749999999999996</v>
      </c>
      <c r="R392">
        <f>VLOOKUP(A392,DB!A:I,9,FALSE)</f>
        <v>0.91200000000000003</v>
      </c>
      <c r="S392">
        <f>N392 *SQRT(H392)</f>
        <v>5.0423332892620261</v>
      </c>
      <c r="T392">
        <f>L392/N392</f>
        <v>31.26385809312638</v>
      </c>
    </row>
    <row r="393" spans="1:20" x14ac:dyDescent="0.25">
      <c r="A393" t="s">
        <v>1063</v>
      </c>
      <c r="B393" t="s">
        <v>474</v>
      </c>
      <c r="C393" s="4">
        <v>0.15018699999999999</v>
      </c>
      <c r="D393" s="4">
        <v>0.46200000000000002</v>
      </c>
      <c r="E393" s="4">
        <v>2.9529E-2</v>
      </c>
      <c r="F393" s="4">
        <v>0.71399999999999997</v>
      </c>
      <c r="G393">
        <v>7.9399999999999991E-3</v>
      </c>
      <c r="H393">
        <f>VLOOKUP(A393,DB!A:I,2,FALSE)</f>
        <v>3000000</v>
      </c>
      <c r="I393">
        <f>VLOOKUP(A393,'RE@CD'!A:D,2,FALSE)</f>
        <v>825000</v>
      </c>
      <c r="J393">
        <f>VLOOKUP(A393,'RE@CD'!A:D,3,FALSE)</f>
        <v>500000</v>
      </c>
      <c r="K393">
        <f>VLOOKUP(A393,'RE@CD'!A:D,4,FALSE)</f>
        <v>675000</v>
      </c>
      <c r="L393">
        <f>VLOOKUP(A393,DB!A:I,3,FALSE)</f>
        <v>0.46329999999999999</v>
      </c>
      <c r="M393">
        <f>VLOOKUP(A393,DB!A:I,4,FALSE)</f>
        <v>-0.12870000000000001</v>
      </c>
      <c r="N393">
        <f>VLOOKUP(A393,DB!A:I,5,FALSE)</f>
        <v>4.4999999999999997E-3</v>
      </c>
      <c r="O393">
        <f>VLOOKUP(A393,DB!A:I,6,FALSE)</f>
        <v>3.3300000000000001E-3</v>
      </c>
      <c r="P393">
        <f>VLOOKUP(A393,DB!A:I,7,FALSE)</f>
        <v>1.16E-3</v>
      </c>
      <c r="Q393">
        <f>VLOOKUP(A393,DB!A:I,8,FALSE)</f>
        <v>0.79369999999999996</v>
      </c>
      <c r="R393">
        <f>VLOOKUP(A393,DB!A:I,9,FALSE)</f>
        <v>0.57499999999999996</v>
      </c>
      <c r="S393">
        <f>N393 *SQRT(H393)</f>
        <v>7.7942286340599471</v>
      </c>
      <c r="T393">
        <f>L393/N393</f>
        <v>102.95555555555556</v>
      </c>
    </row>
    <row r="394" spans="1:20" x14ac:dyDescent="0.25">
      <c r="A394" t="s">
        <v>1090</v>
      </c>
      <c r="B394" t="s">
        <v>501</v>
      </c>
      <c r="C394" s="4">
        <v>9.0286000000000005E-2</v>
      </c>
      <c r="D394" s="4">
        <v>0.28599999999999998</v>
      </c>
      <c r="E394" s="4">
        <v>2.5862E-2</v>
      </c>
      <c r="F394" s="4">
        <v>0.55100000000000005</v>
      </c>
      <c r="G394" s="1">
        <v>8.0000000000000007E-5</v>
      </c>
      <c r="H394">
        <f>VLOOKUP(A394,DB!A:I,2,FALSE)</f>
        <v>2700000</v>
      </c>
      <c r="I394">
        <f>VLOOKUP(A394,'RE@CD'!A:D,2,FALSE)</f>
        <v>200000</v>
      </c>
      <c r="J394">
        <f>VLOOKUP(A394,'RE@CD'!A:D,3,FALSE)</f>
        <v>50000</v>
      </c>
      <c r="K394">
        <f>VLOOKUP(A394,'RE@CD'!A:D,4,FALSE)</f>
        <v>125000</v>
      </c>
      <c r="L394">
        <f>VLOOKUP(A394,DB!A:I,3,FALSE)</f>
        <v>0.38450000000000001</v>
      </c>
      <c r="M394">
        <f>VLOOKUP(A394,DB!A:I,4,FALSE)</f>
        <v>-9.06E-2</v>
      </c>
      <c r="N394">
        <f>VLOOKUP(A394,DB!A:I,5,FALSE)</f>
        <v>4.4999999999999997E-3</v>
      </c>
      <c r="O394">
        <f>VLOOKUP(A394,DB!A:I,6,FALSE)</f>
        <v>4.0000000000000001E-3</v>
      </c>
      <c r="P394">
        <f>VLOOKUP(A394,DB!A:I,7,FALSE)</f>
        <v>5.0000000000000001E-4</v>
      </c>
      <c r="Q394">
        <f>VLOOKUP(A394,DB!A:I,8,FALSE)</f>
        <v>0.62470000000000003</v>
      </c>
      <c r="R394">
        <f>VLOOKUP(A394,DB!A:I,9,FALSE)</f>
        <v>0.4798</v>
      </c>
      <c r="S394">
        <f>N394 *SQRT(H394)</f>
        <v>7.3942545263197426</v>
      </c>
      <c r="T394">
        <f>L394/N394</f>
        <v>85.444444444444457</v>
      </c>
    </row>
    <row r="395" spans="1:20" x14ac:dyDescent="0.25">
      <c r="A395" t="s">
        <v>702</v>
      </c>
      <c r="B395" t="s">
        <v>117</v>
      </c>
      <c r="C395" s="4">
        <v>0.12631200000000001</v>
      </c>
      <c r="D395" s="4">
        <v>0.30399999999999999</v>
      </c>
      <c r="E395" s="4">
        <v>1.7552000000000002E-2</v>
      </c>
      <c r="F395" s="4">
        <v>0.183</v>
      </c>
      <c r="G395">
        <v>2.6199999999999999E-3</v>
      </c>
      <c r="H395">
        <f>VLOOKUP(A395,DB!A:I,2,FALSE)</f>
        <v>3000000</v>
      </c>
      <c r="I395">
        <f>VLOOKUP(A395,'RE@CD'!A:D,2,FALSE)</f>
        <v>575000</v>
      </c>
      <c r="J395">
        <f>VLOOKUP(A395,'RE@CD'!A:D,3,FALSE)</f>
        <v>100000</v>
      </c>
      <c r="K395">
        <f>VLOOKUP(A395,'RE@CD'!A:D,4,FALSE)</f>
        <v>400000</v>
      </c>
      <c r="L395">
        <f>VLOOKUP(A395,DB!A:I,3,FALSE)</f>
        <v>-8.6099999999999996E-2</v>
      </c>
      <c r="M395">
        <f>VLOOKUP(A395,DB!A:I,4,FALSE)</f>
        <v>5.45E-2</v>
      </c>
      <c r="N395">
        <f>VLOOKUP(A395,DB!A:I,5,FALSE)</f>
        <v>4.4900000000000001E-3</v>
      </c>
      <c r="O395">
        <f>VLOOKUP(A395,DB!A:I,6,FALSE)</f>
        <v>3.7299999999999998E-3</v>
      </c>
      <c r="P395">
        <f>VLOOKUP(A395,DB!A:I,7,FALSE)</f>
        <v>7.6000000000000004E-4</v>
      </c>
      <c r="Q395">
        <f>VLOOKUP(A395,DB!A:I,8,FALSE)</f>
        <v>0.37919999999999998</v>
      </c>
      <c r="R395">
        <f>VLOOKUP(A395,DB!A:I,9,FALSE)</f>
        <v>0.82120000000000004</v>
      </c>
      <c r="S395">
        <f>N395 *SQRT(H395)</f>
        <v>7.7769081259842583</v>
      </c>
      <c r="T395">
        <f>L395/N395</f>
        <v>-19.175946547884188</v>
      </c>
    </row>
    <row r="396" spans="1:20" x14ac:dyDescent="0.25">
      <c r="A396" t="s">
        <v>747</v>
      </c>
      <c r="B396" t="s">
        <v>162</v>
      </c>
      <c r="C396" s="4">
        <v>0.151229</v>
      </c>
      <c r="D396" s="4">
        <v>0.41899999999999998</v>
      </c>
      <c r="E396" s="4">
        <v>4.2368999999999997E-2</v>
      </c>
      <c r="F396" s="4">
        <v>0.41899999999999998</v>
      </c>
      <c r="G396">
        <v>2.5799999999999998E-3</v>
      </c>
      <c r="H396">
        <f>VLOOKUP(A396,DB!A:I,2,FALSE)</f>
        <v>3000000</v>
      </c>
      <c r="I396">
        <f>VLOOKUP(A396,'RE@CD'!A:D,2,FALSE)</f>
        <v>450000</v>
      </c>
      <c r="J396">
        <f>VLOOKUP(A396,'RE@CD'!A:D,3,FALSE)</f>
        <v>200000</v>
      </c>
      <c r="K396">
        <f>VLOOKUP(A396,'RE@CD'!A:D,4,FALSE)</f>
        <v>300000</v>
      </c>
      <c r="L396">
        <f>VLOOKUP(A396,DB!A:I,3,FALSE)</f>
        <v>0.60809999999999997</v>
      </c>
      <c r="M396">
        <f>VLOOKUP(A396,DB!A:I,4,FALSE)</f>
        <v>-0.13159999999999999</v>
      </c>
      <c r="N396">
        <f>VLOOKUP(A396,DB!A:I,5,FALSE)</f>
        <v>4.4900000000000001E-3</v>
      </c>
      <c r="O396">
        <f>VLOOKUP(A396,DB!A:I,6,FALSE)</f>
        <v>3.5000000000000001E-3</v>
      </c>
      <c r="P396">
        <f>VLOOKUP(A396,DB!A:I,7,FALSE)</f>
        <v>9.8999999999999999E-4</v>
      </c>
      <c r="Q396">
        <f>VLOOKUP(A396,DB!A:I,8,FALSE)</f>
        <v>0.62090000000000001</v>
      </c>
      <c r="R396">
        <f>VLOOKUP(A396,DB!A:I,9,FALSE)</f>
        <v>0.69569999999999999</v>
      </c>
      <c r="S396">
        <f>N396 *SQRT(H396)</f>
        <v>7.7769081259842583</v>
      </c>
      <c r="T396">
        <f>L396/N396</f>
        <v>135.43429844097994</v>
      </c>
    </row>
    <row r="397" spans="1:20" x14ac:dyDescent="0.25">
      <c r="A397" t="s">
        <v>989</v>
      </c>
      <c r="B397" t="s">
        <v>400</v>
      </c>
      <c r="C397" s="4">
        <v>0.119801</v>
      </c>
      <c r="D397" s="4">
        <v>0.35</v>
      </c>
      <c r="E397" s="4">
        <v>2.9406000000000002E-2</v>
      </c>
      <c r="F397" s="4">
        <v>0.5</v>
      </c>
      <c r="G397">
        <v>4.0699999999999998E-3</v>
      </c>
      <c r="H397">
        <f>VLOOKUP(A397,DB!A:I,2,FALSE)</f>
        <v>3000000</v>
      </c>
      <c r="I397">
        <f>VLOOKUP(A397,'RE@CD'!A:D,2,FALSE)</f>
        <v>275000</v>
      </c>
      <c r="J397">
        <f>VLOOKUP(A397,'RE@CD'!A:D,3,FALSE)</f>
        <v>100000</v>
      </c>
      <c r="K397">
        <f>VLOOKUP(A397,'RE@CD'!A:D,4,FALSE)</f>
        <v>175000</v>
      </c>
      <c r="L397">
        <f>VLOOKUP(A397,DB!A:I,3,FALSE)</f>
        <v>0.4204</v>
      </c>
      <c r="M397">
        <f>VLOOKUP(A397,DB!A:I,4,FALSE)</f>
        <v>-9.0499999999999997E-2</v>
      </c>
      <c r="N397">
        <f>VLOOKUP(A397,DB!A:I,5,FALSE)</f>
        <v>4.4900000000000001E-3</v>
      </c>
      <c r="O397">
        <f>VLOOKUP(A397,DB!A:I,6,FALSE)</f>
        <v>3.8500000000000001E-3</v>
      </c>
      <c r="P397">
        <f>VLOOKUP(A397,DB!A:I,7,FALSE)</f>
        <v>6.3000000000000003E-4</v>
      </c>
      <c r="Q397">
        <f>VLOOKUP(A397,DB!A:I,8,FALSE)</f>
        <v>0.60599999999999998</v>
      </c>
      <c r="R397">
        <f>VLOOKUP(A397,DB!A:I,9,FALSE)</f>
        <v>0.55630000000000002</v>
      </c>
      <c r="S397">
        <f>N397 *SQRT(H397)</f>
        <v>7.7769081259842583</v>
      </c>
      <c r="T397">
        <f>L397/N397</f>
        <v>93.630289532293986</v>
      </c>
    </row>
    <row r="398" spans="1:20" x14ac:dyDescent="0.25">
      <c r="A398" t="s">
        <v>1076</v>
      </c>
      <c r="B398" t="s">
        <v>487</v>
      </c>
      <c r="C398" s="4">
        <v>0.109975</v>
      </c>
      <c r="D398" s="4">
        <v>0.30399999999999999</v>
      </c>
      <c r="E398" s="4">
        <v>1.7486000000000002E-2</v>
      </c>
      <c r="F398" s="4">
        <v>0.39700000000000002</v>
      </c>
      <c r="G398">
        <v>6.4599999999999996E-3</v>
      </c>
      <c r="H398">
        <f>VLOOKUP(A398,DB!A:I,2,FALSE)</f>
        <v>3000000</v>
      </c>
      <c r="I398">
        <f>VLOOKUP(A398,'RE@CD'!A:D,2,FALSE)</f>
        <v>200000</v>
      </c>
      <c r="J398">
        <f>VLOOKUP(A398,'RE@CD'!A:D,3,FALSE)</f>
        <v>80000</v>
      </c>
      <c r="K398">
        <f>VLOOKUP(A398,'RE@CD'!A:D,4,FALSE)</f>
        <v>150000</v>
      </c>
      <c r="L398">
        <f>VLOOKUP(A398,DB!A:I,3,FALSE)</f>
        <v>0.27810000000000001</v>
      </c>
      <c r="M398">
        <f>VLOOKUP(A398,DB!A:I,4,FALSE)</f>
        <v>-6.13E-2</v>
      </c>
      <c r="N398">
        <f>VLOOKUP(A398,DB!A:I,5,FALSE)</f>
        <v>4.4900000000000001E-3</v>
      </c>
      <c r="O398">
        <f>VLOOKUP(A398,DB!A:I,6,FALSE)</f>
        <v>3.8899999999999998E-3</v>
      </c>
      <c r="P398">
        <f>VLOOKUP(A398,DB!A:I,7,FALSE)</f>
        <v>5.9999999999999995E-4</v>
      </c>
      <c r="Q398">
        <f>VLOOKUP(A398,DB!A:I,8,FALSE)</f>
        <v>0.54649999999999999</v>
      </c>
      <c r="R398">
        <f>VLOOKUP(A398,DB!A:I,9,FALSE)</f>
        <v>0.624</v>
      </c>
      <c r="S398">
        <f>N398 *SQRT(H398)</f>
        <v>7.7769081259842583</v>
      </c>
      <c r="T398">
        <f>L398/N398</f>
        <v>61.937639198218264</v>
      </c>
    </row>
    <row r="399" spans="1:20" x14ac:dyDescent="0.25">
      <c r="A399" t="s">
        <v>1120</v>
      </c>
      <c r="B399" t="s">
        <v>531</v>
      </c>
      <c r="C399" s="4">
        <v>8.7521000000000002E-2</v>
      </c>
      <c r="D399" s="4">
        <v>0.27700000000000002</v>
      </c>
      <c r="E399" s="4">
        <v>2.0226000000000001E-2</v>
      </c>
      <c r="F399" s="4">
        <v>0.376</v>
      </c>
      <c r="G399">
        <v>3.62E-3</v>
      </c>
      <c r="H399">
        <f>VLOOKUP(A399,DB!A:I,2,FALSE)</f>
        <v>3000000</v>
      </c>
      <c r="I399">
        <f>VLOOKUP(A399,'RE@CD'!A:D,2,FALSE)</f>
        <v>150000</v>
      </c>
      <c r="J399">
        <f>VLOOKUP(A399,'RE@CD'!A:D,3,FALSE)</f>
        <v>50000</v>
      </c>
      <c r="K399">
        <f>VLOOKUP(A399,'RE@CD'!A:D,4,FALSE)</f>
        <v>100000</v>
      </c>
      <c r="L399">
        <f>VLOOKUP(A399,DB!A:I,3,FALSE)</f>
        <v>0.27650000000000002</v>
      </c>
      <c r="M399">
        <f>VLOOKUP(A399,DB!A:I,4,FALSE)</f>
        <v>-5.9200000000000003E-2</v>
      </c>
      <c r="N399">
        <f>VLOOKUP(A399,DB!A:I,5,FALSE)</f>
        <v>4.4900000000000001E-3</v>
      </c>
      <c r="O399">
        <f>VLOOKUP(A399,DB!A:I,6,FALSE)</f>
        <v>4.0299999999999997E-3</v>
      </c>
      <c r="P399">
        <f>VLOOKUP(A399,DB!A:I,7,FALSE)</f>
        <v>4.6999999999999999E-4</v>
      </c>
      <c r="Q399">
        <f>VLOOKUP(A399,DB!A:I,8,FALSE)</f>
        <v>0.49880000000000002</v>
      </c>
      <c r="R399">
        <f>VLOOKUP(A399,DB!A:I,9,FALSE)</f>
        <v>0.62290000000000001</v>
      </c>
      <c r="S399">
        <f>N399 *SQRT(H399)</f>
        <v>7.7769081259842583</v>
      </c>
      <c r="T399">
        <f>L399/N399</f>
        <v>61.581291759465486</v>
      </c>
    </row>
    <row r="400" spans="1:20" x14ac:dyDescent="0.25">
      <c r="A400" t="s">
        <v>942</v>
      </c>
      <c r="B400" t="s">
        <v>353</v>
      </c>
      <c r="C400" s="4">
        <v>0.10066</v>
      </c>
      <c r="D400" s="4">
        <v>0.33900000000000002</v>
      </c>
      <c r="E400" s="4">
        <v>0</v>
      </c>
      <c r="F400" s="4">
        <v>0.999</v>
      </c>
      <c r="G400">
        <v>8.6300000000000005E-3</v>
      </c>
      <c r="H400">
        <f>VLOOKUP(A400,DB!A:I,2,FALSE)</f>
        <v>3000000</v>
      </c>
      <c r="I400">
        <f>VLOOKUP(A400,'RE@CD'!A:D,2,FALSE)</f>
        <v>175000</v>
      </c>
      <c r="J400">
        <f>VLOOKUP(A400,'RE@CD'!A:D,3,FALSE)</f>
        <v>50000</v>
      </c>
      <c r="K400">
        <f>VLOOKUP(A400,'RE@CD'!A:D,4,FALSE)</f>
        <v>100000</v>
      </c>
      <c r="L400">
        <f>VLOOKUP(A400,DB!A:I,3,FALSE)</f>
        <v>-1E-4</v>
      </c>
      <c r="M400">
        <f>VLOOKUP(A400,DB!A:I,4,FALSE)</f>
        <v>0</v>
      </c>
      <c r="N400">
        <f>VLOOKUP(A400,DB!A:I,5,FALSE)</f>
        <v>4.47E-3</v>
      </c>
      <c r="O400">
        <f>VLOOKUP(A400,DB!A:I,6,FALSE)</f>
        <v>4.0200000000000001E-3</v>
      </c>
      <c r="P400">
        <f>VLOOKUP(A400,DB!A:I,7,FALSE)</f>
        <v>4.4999999999999999E-4</v>
      </c>
      <c r="Q400">
        <f>VLOOKUP(A400,DB!A:I,8,FALSE)</f>
        <v>0.5595</v>
      </c>
      <c r="R400">
        <f>VLOOKUP(A400,DB!A:I,9,FALSE)</f>
        <v>0.56000000000000005</v>
      </c>
      <c r="S400">
        <f>N400 *SQRT(H400)</f>
        <v>7.7422671098328815</v>
      </c>
      <c r="T400">
        <f>L400/N400</f>
        <v>-2.2371364653243849E-2</v>
      </c>
    </row>
    <row r="401" spans="1:20" x14ac:dyDescent="0.25">
      <c r="A401" t="s">
        <v>676</v>
      </c>
      <c r="B401" t="s">
        <v>91</v>
      </c>
      <c r="C401" s="4">
        <v>8.5912000000000002E-2</v>
      </c>
      <c r="D401" s="4">
        <v>0.315</v>
      </c>
      <c r="E401" s="4">
        <v>2.2669000000000002E-2</v>
      </c>
      <c r="F401" s="4">
        <v>0.38200000000000001</v>
      </c>
      <c r="G401">
        <v>3.8700000000000002E-3</v>
      </c>
      <c r="H401">
        <f>VLOOKUP(A401,DB!A:I,2,FALSE)</f>
        <v>1200000</v>
      </c>
      <c r="I401">
        <f>VLOOKUP(A401,'RE@CD'!A:D,2,FALSE)</f>
        <v>175000</v>
      </c>
      <c r="J401">
        <f>VLOOKUP(A401,'RE@CD'!A:D,3,FALSE)</f>
        <v>60000</v>
      </c>
      <c r="K401">
        <f>VLOOKUP(A401,'RE@CD'!A:D,4,FALSE)</f>
        <v>125000</v>
      </c>
      <c r="L401">
        <f>VLOOKUP(A401,DB!A:I,3,FALSE)</f>
        <v>0.12820000000000001</v>
      </c>
      <c r="M401">
        <f>VLOOKUP(A401,DB!A:I,4,FALSE)</f>
        <v>-1.6400000000000001E-2</v>
      </c>
      <c r="N401">
        <f>VLOOKUP(A401,DB!A:I,5,FALSE)</f>
        <v>4.45E-3</v>
      </c>
      <c r="O401">
        <f>VLOOKUP(A401,DB!A:I,6,FALSE)</f>
        <v>3.6700000000000001E-3</v>
      </c>
      <c r="P401">
        <f>VLOOKUP(A401,DB!A:I,7,FALSE)</f>
        <v>7.7999999999999999E-4</v>
      </c>
      <c r="Q401">
        <f>VLOOKUP(A401,DB!A:I,8,FALSE)</f>
        <v>0.6099</v>
      </c>
      <c r="R401">
        <f>VLOOKUP(A401,DB!A:I,9,FALSE)</f>
        <v>0.87419999999999998</v>
      </c>
      <c r="S401">
        <f>N401 *SQRT(H401)</f>
        <v>4.8747307617959788</v>
      </c>
      <c r="T401">
        <f>L401/N401</f>
        <v>28.808988764044948</v>
      </c>
    </row>
    <row r="402" spans="1:20" x14ac:dyDescent="0.25">
      <c r="A402" t="s">
        <v>847</v>
      </c>
      <c r="B402" t="s">
        <v>262</v>
      </c>
      <c r="C402" s="4">
        <v>0.12</v>
      </c>
      <c r="D402" s="4">
        <v>0.3</v>
      </c>
      <c r="E402" s="4">
        <v>0</v>
      </c>
      <c r="F402" s="4">
        <v>0.01</v>
      </c>
      <c r="G402">
        <v>1.5559999999999999E-2</v>
      </c>
      <c r="H402">
        <f>VLOOKUP(A402,DB!A:I,2,FALSE)</f>
        <v>3000000</v>
      </c>
      <c r="I402">
        <f>VLOOKUP(A402,'RE@CD'!A:D,2,FALSE)</f>
        <v>300000</v>
      </c>
      <c r="J402">
        <f>VLOOKUP(A402,'RE@CD'!A:D,3,FALSE)</f>
        <v>100000</v>
      </c>
      <c r="K402">
        <f>VLOOKUP(A402,'RE@CD'!A:D,4,FALSE)</f>
        <v>200000</v>
      </c>
      <c r="L402">
        <f>VLOOKUP(A402,DB!A:I,3,FALSE)</f>
        <v>0</v>
      </c>
      <c r="M402">
        <f>VLOOKUP(A402,DB!A:I,4,FALSE)</f>
        <v>0</v>
      </c>
      <c r="N402">
        <f>VLOOKUP(A402,DB!A:I,5,FALSE)</f>
        <v>4.45E-3</v>
      </c>
      <c r="O402">
        <f>VLOOKUP(A402,DB!A:I,6,FALSE)</f>
        <v>3.8999999999999998E-3</v>
      </c>
      <c r="P402">
        <f>VLOOKUP(A402,DB!A:I,7,FALSE)</f>
        <v>5.5999999999999995E-4</v>
      </c>
      <c r="Q402">
        <f>VLOOKUP(A402,DB!A:I,8,FALSE)</f>
        <v>0.56840000000000002</v>
      </c>
      <c r="R402">
        <f>VLOOKUP(A402,DB!A:I,9,FALSE)</f>
        <v>0.56850000000000001</v>
      </c>
      <c r="S402">
        <f>N402 *SQRT(H402)</f>
        <v>7.7076260936815038</v>
      </c>
      <c r="T402">
        <f>L402/N402</f>
        <v>0</v>
      </c>
    </row>
    <row r="403" spans="1:20" x14ac:dyDescent="0.25">
      <c r="A403" t="s">
        <v>923</v>
      </c>
      <c r="B403" t="s">
        <v>337</v>
      </c>
      <c r="C403" s="4">
        <v>0.19273100000000001</v>
      </c>
      <c r="D403" s="4">
        <v>0.40200000000000002</v>
      </c>
      <c r="E403" s="4">
        <v>3.6567000000000002E-2</v>
      </c>
      <c r="F403" s="4">
        <v>0.69099999999999995</v>
      </c>
      <c r="G403">
        <v>7.6800000000000002E-3</v>
      </c>
      <c r="H403">
        <f>VLOOKUP(A403,DB!A:I,2,FALSE)</f>
        <v>3000000</v>
      </c>
      <c r="I403">
        <f>VLOOKUP(A403,'RE@CD'!A:D,2,FALSE)</f>
        <v>875000</v>
      </c>
      <c r="J403">
        <f>VLOOKUP(A403,'RE@CD'!A:D,3,FALSE)</f>
        <v>750000</v>
      </c>
      <c r="K403">
        <f>VLOOKUP(A403,'RE@CD'!A:D,4,FALSE)</f>
        <v>750000</v>
      </c>
      <c r="L403">
        <f>VLOOKUP(A403,DB!A:I,3,FALSE)</f>
        <v>0.59279999999999999</v>
      </c>
      <c r="M403">
        <f>VLOOKUP(A403,DB!A:I,4,FALSE)</f>
        <v>-0.14080000000000001</v>
      </c>
      <c r="N403">
        <f>VLOOKUP(A403,DB!A:I,5,FALSE)</f>
        <v>4.45E-3</v>
      </c>
      <c r="O403">
        <f>VLOOKUP(A403,DB!A:I,6,FALSE)</f>
        <v>3.3E-3</v>
      </c>
      <c r="P403">
        <f>VLOOKUP(A403,DB!A:I,7,FALSE)</f>
        <v>1.16E-3</v>
      </c>
      <c r="Q403">
        <f>VLOOKUP(A403,DB!A:I,8,FALSE)</f>
        <v>0.69059999999999999</v>
      </c>
      <c r="R403">
        <f>VLOOKUP(A403,DB!A:I,9,FALSE)</f>
        <v>0.65239999999999998</v>
      </c>
      <c r="S403">
        <f>N403 *SQRT(H403)</f>
        <v>7.7076260936815038</v>
      </c>
      <c r="T403">
        <f>L403/N403</f>
        <v>133.2134831460674</v>
      </c>
    </row>
    <row r="404" spans="1:20" x14ac:dyDescent="0.25">
      <c r="A404" t="s">
        <v>924</v>
      </c>
      <c r="B404" t="s">
        <v>338</v>
      </c>
      <c r="C404" s="4">
        <v>0.16725999999999999</v>
      </c>
      <c r="D404" s="4">
        <v>0.435</v>
      </c>
      <c r="E404" s="4">
        <v>2.4001000000000001E-2</v>
      </c>
      <c r="F404" s="4">
        <v>0.40300000000000002</v>
      </c>
      <c r="G404">
        <v>9.11E-3</v>
      </c>
      <c r="H404">
        <f>VLOOKUP(A404,DB!A:I,2,FALSE)</f>
        <v>3000000</v>
      </c>
      <c r="I404">
        <f>VLOOKUP(A404,'RE@CD'!A:D,2,FALSE)</f>
        <v>1000000</v>
      </c>
      <c r="J404">
        <f>VLOOKUP(A404,'RE@CD'!A:D,3,FALSE)</f>
        <v>450000</v>
      </c>
      <c r="K404">
        <f>VLOOKUP(A404,'RE@CD'!A:D,4,FALSE)</f>
        <v>725000</v>
      </c>
      <c r="L404">
        <f>VLOOKUP(A404,DB!A:I,3,FALSE)</f>
        <v>0.30180000000000001</v>
      </c>
      <c r="M404">
        <f>VLOOKUP(A404,DB!A:I,4,FALSE)</f>
        <v>-0.06</v>
      </c>
      <c r="N404">
        <f>VLOOKUP(A404,DB!A:I,5,FALSE)</f>
        <v>4.45E-3</v>
      </c>
      <c r="O404">
        <f>VLOOKUP(A404,DB!A:I,6,FALSE)</f>
        <v>3.0100000000000001E-3</v>
      </c>
      <c r="P404">
        <f>VLOOKUP(A404,DB!A:I,7,FALSE)</f>
        <v>1.4400000000000001E-3</v>
      </c>
      <c r="Q404">
        <f>VLOOKUP(A404,DB!A:I,8,FALSE)</f>
        <v>0.67369999999999997</v>
      </c>
      <c r="R404">
        <f>VLOOKUP(A404,DB!A:I,9,FALSE)</f>
        <v>0.77129999999999999</v>
      </c>
      <c r="S404">
        <f>N404 *SQRT(H404)</f>
        <v>7.7076260936815038</v>
      </c>
      <c r="T404">
        <f>L404/N404</f>
        <v>67.820224719101134</v>
      </c>
    </row>
    <row r="405" spans="1:20" x14ac:dyDescent="0.25">
      <c r="A405" t="s">
        <v>988</v>
      </c>
      <c r="B405" t="s">
        <v>399</v>
      </c>
      <c r="C405" s="4">
        <v>0.109851</v>
      </c>
      <c r="D405" s="4">
        <v>0.35</v>
      </c>
      <c r="E405" s="4">
        <v>2.9440000000000001E-2</v>
      </c>
      <c r="F405" s="4">
        <v>0.5</v>
      </c>
      <c r="G405">
        <v>3.2399999999999998E-3</v>
      </c>
      <c r="H405">
        <f>VLOOKUP(A405,DB!A:I,2,FALSE)</f>
        <v>3000000</v>
      </c>
      <c r="I405">
        <f>VLOOKUP(A405,'RE@CD'!A:D,2,FALSE)</f>
        <v>250000</v>
      </c>
      <c r="J405">
        <f>VLOOKUP(A405,'RE@CD'!A:D,3,FALSE)</f>
        <v>100000</v>
      </c>
      <c r="K405">
        <f>VLOOKUP(A405,'RE@CD'!A:D,4,FALSE)</f>
        <v>175000</v>
      </c>
      <c r="L405">
        <f>VLOOKUP(A405,DB!A:I,3,FALSE)</f>
        <v>0.41560000000000002</v>
      </c>
      <c r="M405">
        <f>VLOOKUP(A405,DB!A:I,4,FALSE)</f>
        <v>-8.9200000000000002E-2</v>
      </c>
      <c r="N405">
        <f>VLOOKUP(A405,DB!A:I,5,FALSE)</f>
        <v>4.4400000000000004E-3</v>
      </c>
      <c r="O405">
        <f>VLOOKUP(A405,DB!A:I,6,FALSE)</f>
        <v>3.8700000000000002E-3</v>
      </c>
      <c r="P405">
        <f>VLOOKUP(A405,DB!A:I,7,FALSE)</f>
        <v>5.8E-4</v>
      </c>
      <c r="Q405">
        <f>VLOOKUP(A405,DB!A:I,8,FALSE)</f>
        <v>0.6169</v>
      </c>
      <c r="R405">
        <f>VLOOKUP(A405,DB!A:I,9,FALSE)</f>
        <v>0.53910000000000002</v>
      </c>
      <c r="S405">
        <f>N405 *SQRT(H405)</f>
        <v>7.6903055856058158</v>
      </c>
      <c r="T405">
        <f>L405/N405</f>
        <v>93.603603603603602</v>
      </c>
    </row>
    <row r="406" spans="1:20" x14ac:dyDescent="0.25">
      <c r="A406" t="s">
        <v>852</v>
      </c>
      <c r="B406" t="s">
        <v>267</v>
      </c>
      <c r="C406" s="4">
        <v>8.9929999999999996E-2</v>
      </c>
      <c r="D406" s="4">
        <v>0.28699999999999998</v>
      </c>
      <c r="E406" s="4">
        <v>1.4902E-2</v>
      </c>
      <c r="F406" s="4">
        <v>0.25900000000000001</v>
      </c>
      <c r="G406">
        <v>4.5300000000000002E-3</v>
      </c>
      <c r="H406">
        <f>VLOOKUP(A406,DB!A:I,2,FALSE)</f>
        <v>2400000</v>
      </c>
      <c r="I406">
        <f>VLOOKUP(A406,'RE@CD'!A:D,2,FALSE)</f>
        <v>175000</v>
      </c>
      <c r="J406">
        <f>VLOOKUP(A406,'RE@CD'!A:D,3,FALSE)</f>
        <v>50000</v>
      </c>
      <c r="K406">
        <f>VLOOKUP(A406,'RE@CD'!A:D,4,FALSE)</f>
        <v>90000</v>
      </c>
      <c r="L406">
        <f>VLOOKUP(A406,DB!A:I,3,FALSE)</f>
        <v>5.9400000000000001E-2</v>
      </c>
      <c r="M406">
        <f>VLOOKUP(A406,DB!A:I,4,FALSE)</f>
        <v>1.1999999999999999E-3</v>
      </c>
      <c r="N406">
        <f>VLOOKUP(A406,DB!A:I,5,FALSE)</f>
        <v>4.4299999999999999E-3</v>
      </c>
      <c r="O406">
        <f>VLOOKUP(A406,DB!A:I,6,FALSE)</f>
        <v>3.9500000000000004E-3</v>
      </c>
      <c r="P406">
        <f>VLOOKUP(A406,DB!A:I,7,FALSE)</f>
        <v>4.8000000000000001E-4</v>
      </c>
      <c r="Q406">
        <f>VLOOKUP(A406,DB!A:I,8,FALSE)</f>
        <v>0.47689999999999999</v>
      </c>
      <c r="R406">
        <f>VLOOKUP(A406,DB!A:I,9,FALSE)</f>
        <v>0.72440000000000004</v>
      </c>
      <c r="S406">
        <f>N406 *SQRT(H406)</f>
        <v>6.8629264894795421</v>
      </c>
      <c r="T406">
        <f>L406/N406</f>
        <v>13.408577878103838</v>
      </c>
    </row>
    <row r="407" spans="1:20" x14ac:dyDescent="0.25">
      <c r="A407" t="s">
        <v>970</v>
      </c>
      <c r="B407" t="s">
        <v>381</v>
      </c>
      <c r="C407" s="4">
        <v>7.9580999999999999E-2</v>
      </c>
      <c r="D407" s="4">
        <v>0.32500000000000001</v>
      </c>
      <c r="E407" s="4">
        <v>1.4716999999999999E-2</v>
      </c>
      <c r="F407" s="4">
        <v>0.5</v>
      </c>
      <c r="G407">
        <v>2.3800000000000002E-3</v>
      </c>
      <c r="H407">
        <f>VLOOKUP(A407,DB!A:I,2,FALSE)</f>
        <v>1550000</v>
      </c>
      <c r="I407">
        <f>VLOOKUP(A407,'RE@CD'!A:D,2,FALSE)</f>
        <v>175000</v>
      </c>
      <c r="J407">
        <f>VLOOKUP(A407,'RE@CD'!A:D,3,FALSE)</f>
        <v>50000</v>
      </c>
      <c r="K407">
        <f>VLOOKUP(A407,'RE@CD'!A:D,4,FALSE)</f>
        <v>100000</v>
      </c>
      <c r="L407">
        <f>VLOOKUP(A407,DB!A:I,3,FALSE)</f>
        <v>0.19800000000000001</v>
      </c>
      <c r="M407">
        <f>VLOOKUP(A407,DB!A:I,4,FALSE)</f>
        <v>-4.3200000000000002E-2</v>
      </c>
      <c r="N407">
        <f>VLOOKUP(A407,DB!A:I,5,FALSE)</f>
        <v>4.4299999999999999E-3</v>
      </c>
      <c r="O407">
        <f>VLOOKUP(A407,DB!A:I,6,FALSE)</f>
        <v>3.9100000000000003E-3</v>
      </c>
      <c r="P407">
        <f>VLOOKUP(A407,DB!A:I,7,FALSE)</f>
        <v>5.1999999999999995E-4</v>
      </c>
      <c r="Q407">
        <f>VLOOKUP(A407,DB!A:I,8,FALSE)</f>
        <v>0.65400000000000003</v>
      </c>
      <c r="R407">
        <f>VLOOKUP(A407,DB!A:I,9,FALSE)</f>
        <v>0.70579999999999998</v>
      </c>
      <c r="S407">
        <f>N407 *SQRT(H407)</f>
        <v>5.515305521909009</v>
      </c>
      <c r="T407">
        <f>L407/N407</f>
        <v>44.695259593679459</v>
      </c>
    </row>
    <row r="408" spans="1:20" x14ac:dyDescent="0.25">
      <c r="A408" t="s">
        <v>981</v>
      </c>
      <c r="B408" t="s">
        <v>392</v>
      </c>
      <c r="C408" s="4">
        <v>0.119611</v>
      </c>
      <c r="D408" s="4">
        <v>0.35</v>
      </c>
      <c r="E408" s="4">
        <v>2.4676E-2</v>
      </c>
      <c r="F408" s="4">
        <v>0.5</v>
      </c>
      <c r="G408">
        <v>4.9500000000000004E-3</v>
      </c>
      <c r="H408">
        <f>VLOOKUP(A408,DB!A:I,2,FALSE)</f>
        <v>2900000</v>
      </c>
      <c r="I408">
        <f>VLOOKUP(A408,'RE@CD'!A:D,2,FALSE)</f>
        <v>275000</v>
      </c>
      <c r="J408">
        <f>VLOOKUP(A408,'RE@CD'!A:D,3,FALSE)</f>
        <v>100000</v>
      </c>
      <c r="K408">
        <f>VLOOKUP(A408,'RE@CD'!A:D,4,FALSE)</f>
        <v>175000</v>
      </c>
      <c r="L408">
        <f>VLOOKUP(A408,DB!A:I,3,FALSE)</f>
        <v>0.35070000000000001</v>
      </c>
      <c r="M408">
        <f>VLOOKUP(A408,DB!A:I,4,FALSE)</f>
        <v>-7.5600000000000001E-2</v>
      </c>
      <c r="N408">
        <f>VLOOKUP(A408,DB!A:I,5,FALSE)</f>
        <v>4.4299999999999999E-3</v>
      </c>
      <c r="O408">
        <f>VLOOKUP(A408,DB!A:I,6,FALSE)</f>
        <v>3.8300000000000001E-3</v>
      </c>
      <c r="P408">
        <f>VLOOKUP(A408,DB!A:I,7,FALSE)</f>
        <v>5.9999999999999995E-4</v>
      </c>
      <c r="Q408">
        <f>VLOOKUP(A408,DB!A:I,8,FALSE)</f>
        <v>0.60509999999999997</v>
      </c>
      <c r="R408">
        <f>VLOOKUP(A408,DB!A:I,9,FALSE)</f>
        <v>0.58009999999999995</v>
      </c>
      <c r="S408">
        <f>N408 *SQRT(H408)</f>
        <v>7.5440181601053951</v>
      </c>
      <c r="T408">
        <f>L408/N408</f>
        <v>79.164785553047409</v>
      </c>
    </row>
    <row r="409" spans="1:20" x14ac:dyDescent="0.25">
      <c r="A409" t="s">
        <v>857</v>
      </c>
      <c r="B409" t="s">
        <v>272</v>
      </c>
      <c r="C409" s="4">
        <v>0.119759</v>
      </c>
      <c r="D409" s="4">
        <v>0.3</v>
      </c>
      <c r="E409" s="4">
        <v>2.9655000000000001E-2</v>
      </c>
      <c r="F409" s="4">
        <v>0.25</v>
      </c>
      <c r="G409">
        <v>1.2E-4</v>
      </c>
      <c r="H409">
        <f>VLOOKUP(A409,DB!A:I,2,FALSE)</f>
        <v>650000</v>
      </c>
      <c r="I409">
        <f>VLOOKUP(A409,'RE@CD'!A:D,2,FALSE)</f>
        <v>300000</v>
      </c>
      <c r="J409">
        <f>VLOOKUP(A409,'RE@CD'!A:D,3,FALSE)</f>
        <v>80000</v>
      </c>
      <c r="K409">
        <f>VLOOKUP(A409,'RE@CD'!A:D,4,FALSE)</f>
        <v>70000</v>
      </c>
      <c r="L409">
        <f>VLOOKUP(A409,DB!A:I,3,FALSE)</f>
        <v>0.10150000000000001</v>
      </c>
      <c r="M409">
        <f>VLOOKUP(A409,DB!A:I,4,FALSE)</f>
        <v>8.0999999999999996E-3</v>
      </c>
      <c r="N409">
        <f>VLOOKUP(A409,DB!A:I,5,FALSE)</f>
        <v>7.1799999999999998E-3</v>
      </c>
      <c r="O409">
        <f>VLOOKUP(A409,DB!A:I,6,FALSE)</f>
        <v>5.47E-3</v>
      </c>
      <c r="P409">
        <f>VLOOKUP(A409,DB!A:I,7,FALSE)</f>
        <v>1.7099999999999999E-3</v>
      </c>
      <c r="Q409">
        <f>VLOOKUP(A409,DB!A:I,8,FALSE)</f>
        <v>0.3629</v>
      </c>
      <c r="R409">
        <f>VLOOKUP(A409,DB!A:I,9,FALSE)</f>
        <v>0.85960000000000003</v>
      </c>
      <c r="S409">
        <f>N409 *SQRT(H409)</f>
        <v>5.7887010632783582</v>
      </c>
      <c r="T409">
        <f>L409/N409</f>
        <v>14.136490250696379</v>
      </c>
    </row>
    <row r="410" spans="1:20" x14ac:dyDescent="0.25">
      <c r="A410" t="s">
        <v>995</v>
      </c>
      <c r="B410" t="s">
        <v>406</v>
      </c>
      <c r="C410" s="4">
        <v>9.9641999999999994E-2</v>
      </c>
      <c r="D410" s="4">
        <v>0.35</v>
      </c>
      <c r="E410" s="4">
        <v>3.4465999999999997E-2</v>
      </c>
      <c r="F410" s="4">
        <v>0.5</v>
      </c>
      <c r="G410">
        <v>2.3700000000000001E-3</v>
      </c>
      <c r="H410">
        <f>VLOOKUP(A410,DB!A:I,2,FALSE)</f>
        <v>3000000</v>
      </c>
      <c r="I410">
        <f>VLOOKUP(A410,'RE@CD'!A:D,2,FALSE)</f>
        <v>225000</v>
      </c>
      <c r="J410">
        <f>VLOOKUP(A410,'RE@CD'!A:D,3,FALSE)</f>
        <v>100000</v>
      </c>
      <c r="K410">
        <f>VLOOKUP(A410,'RE@CD'!A:D,4,FALSE)</f>
        <v>175000</v>
      </c>
      <c r="L410">
        <f>VLOOKUP(A410,DB!A:I,3,FALSE)</f>
        <v>0.48809999999999998</v>
      </c>
      <c r="M410">
        <f>VLOOKUP(A410,DB!A:I,4,FALSE)</f>
        <v>-0.106</v>
      </c>
      <c r="N410">
        <f>VLOOKUP(A410,DB!A:I,5,FALSE)</f>
        <v>4.4099999999999999E-3</v>
      </c>
      <c r="O410">
        <f>VLOOKUP(A410,DB!A:I,6,FALSE)</f>
        <v>3.8500000000000001E-3</v>
      </c>
      <c r="P410">
        <f>VLOOKUP(A410,DB!A:I,7,FALSE)</f>
        <v>5.5999999999999995E-4</v>
      </c>
      <c r="Q410">
        <f>VLOOKUP(A410,DB!A:I,8,FALSE)</f>
        <v>0.62229999999999996</v>
      </c>
      <c r="R410">
        <f>VLOOKUP(A410,DB!A:I,9,FALSE)</f>
        <v>0.53280000000000005</v>
      </c>
      <c r="S410">
        <f>N410 *SQRT(H410)</f>
        <v>7.6383440613787483</v>
      </c>
      <c r="T410">
        <f>L410/N410</f>
        <v>110.68027210884354</v>
      </c>
    </row>
    <row r="411" spans="1:20" x14ac:dyDescent="0.25">
      <c r="A411" t="s">
        <v>1037</v>
      </c>
      <c r="B411" t="s">
        <v>448</v>
      </c>
      <c r="C411" s="4">
        <v>8.4984000000000004E-2</v>
      </c>
      <c r="D411" s="4">
        <v>0.28999999999999998</v>
      </c>
      <c r="E411" s="4">
        <v>1.7791999999999999E-2</v>
      </c>
      <c r="F411" s="4">
        <v>0.38200000000000001</v>
      </c>
      <c r="G411">
        <v>1.7600000000000001E-3</v>
      </c>
      <c r="H411">
        <f>VLOOKUP(A411,DB!A:I,2,FALSE)</f>
        <v>1800000</v>
      </c>
      <c r="I411">
        <f>VLOOKUP(A411,'RE@CD'!A:D,2,FALSE)</f>
        <v>150000</v>
      </c>
      <c r="J411">
        <f>VLOOKUP(A411,'RE@CD'!A:D,3,FALSE)</f>
        <v>50000</v>
      </c>
      <c r="K411">
        <f>VLOOKUP(A411,'RE@CD'!A:D,4,FALSE)</f>
        <v>100000</v>
      </c>
      <c r="L411">
        <f>VLOOKUP(A411,DB!A:I,3,FALSE)</f>
        <v>0.1424</v>
      </c>
      <c r="M411">
        <f>VLOOKUP(A411,DB!A:I,4,FALSE)</f>
        <v>-2.3199999999999998E-2</v>
      </c>
      <c r="N411">
        <f>VLOOKUP(A411,DB!A:I,5,FALSE)</f>
        <v>4.4099999999999999E-3</v>
      </c>
      <c r="O411">
        <f>VLOOKUP(A411,DB!A:I,6,FALSE)</f>
        <v>3.9100000000000003E-3</v>
      </c>
      <c r="P411">
        <f>VLOOKUP(A411,DB!A:I,7,FALSE)</f>
        <v>5.0000000000000001E-4</v>
      </c>
      <c r="Q411">
        <f>VLOOKUP(A411,DB!A:I,8,FALSE)</f>
        <v>0.60880000000000001</v>
      </c>
      <c r="R411">
        <f>VLOOKUP(A411,DB!A:I,9,FALSE)</f>
        <v>0.68279999999999996</v>
      </c>
      <c r="S411">
        <f>N411 *SQRT(H411)</f>
        <v>5.9166358684644438</v>
      </c>
      <c r="T411">
        <f>L411/N411</f>
        <v>32.290249433106574</v>
      </c>
    </row>
    <row r="412" spans="1:20" x14ac:dyDescent="0.25">
      <c r="A412" t="s">
        <v>936</v>
      </c>
      <c r="B412" t="s">
        <v>347</v>
      </c>
      <c r="C412" s="4">
        <v>0.14094999999999999</v>
      </c>
      <c r="D412" s="4">
        <v>0.435</v>
      </c>
      <c r="E412" s="4">
        <v>4.3517E-2</v>
      </c>
      <c r="F412" s="4">
        <v>0.435</v>
      </c>
      <c r="G412">
        <v>2.4099999999999998E-3</v>
      </c>
      <c r="H412">
        <f>VLOOKUP(A412,DB!A:I,2,FALSE)</f>
        <v>2500000</v>
      </c>
      <c r="I412">
        <f>VLOOKUP(A412,'RE@CD'!A:D,2,FALSE)</f>
        <v>550000</v>
      </c>
      <c r="J412">
        <f>VLOOKUP(A412,'RE@CD'!A:D,3,FALSE)</f>
        <v>300000</v>
      </c>
      <c r="K412">
        <f>VLOOKUP(A412,'RE@CD'!A:D,4,FALSE)</f>
        <v>400000</v>
      </c>
      <c r="L412">
        <f>VLOOKUP(A412,DB!A:I,3,FALSE)</f>
        <v>0.30930000000000002</v>
      </c>
      <c r="M412">
        <f>VLOOKUP(A412,DB!A:I,4,FALSE)</f>
        <v>-5.04E-2</v>
      </c>
      <c r="N412">
        <f>VLOOKUP(A412,DB!A:I,5,FALSE)</f>
        <v>4.4000000000000003E-3</v>
      </c>
      <c r="O412">
        <f>VLOOKUP(A412,DB!A:I,6,FALSE)</f>
        <v>3.4499999999999999E-3</v>
      </c>
      <c r="P412">
        <f>VLOOKUP(A412,DB!A:I,7,FALSE)</f>
        <v>9.5E-4</v>
      </c>
      <c r="Q412">
        <f>VLOOKUP(A412,DB!A:I,8,FALSE)</f>
        <v>0.65739999999999998</v>
      </c>
      <c r="R412">
        <f>VLOOKUP(A412,DB!A:I,9,FALSE)</f>
        <v>0.70879999999999999</v>
      </c>
      <c r="S412">
        <f>N412 *SQRT(H412)</f>
        <v>6.957010852370435</v>
      </c>
      <c r="T412">
        <f>L412/N412</f>
        <v>70.295454545454547</v>
      </c>
    </row>
    <row r="413" spans="1:20" x14ac:dyDescent="0.25">
      <c r="A413" t="s">
        <v>609</v>
      </c>
      <c r="B413" t="s">
        <v>24</v>
      </c>
      <c r="C413" s="4">
        <v>7.2901999999999995E-2</v>
      </c>
      <c r="D413" s="4">
        <v>0.246</v>
      </c>
      <c r="E413" s="4">
        <v>1.9424E-2</v>
      </c>
      <c r="F413" s="4">
        <v>0.34399999999999997</v>
      </c>
      <c r="G413">
        <v>4.4099999999999999E-3</v>
      </c>
      <c r="H413">
        <f>VLOOKUP(A413,DB!A:I,2,FALSE)</f>
        <v>1050000</v>
      </c>
      <c r="I413">
        <f>VLOOKUP(A413,'RE@CD'!A:D,2,FALSE)</f>
        <v>125000</v>
      </c>
      <c r="J413">
        <f>VLOOKUP(A413,'RE@CD'!A:D,3,FALSE)</f>
        <v>50000</v>
      </c>
      <c r="K413">
        <f>VLOOKUP(A413,'RE@CD'!A:D,4,FALSE)</f>
        <v>80000</v>
      </c>
      <c r="L413">
        <f>VLOOKUP(A413,DB!A:I,3,FALSE)</f>
        <v>0.18609999999999999</v>
      </c>
      <c r="M413">
        <f>VLOOKUP(A413,DB!A:I,4,FALSE)</f>
        <v>-3.1699999999999999E-2</v>
      </c>
      <c r="N413">
        <f>VLOOKUP(A413,DB!A:I,5,FALSE)</f>
        <v>4.3899999999999998E-3</v>
      </c>
      <c r="O413">
        <f>VLOOKUP(A413,DB!A:I,6,FALSE)</f>
        <v>3.5599999999999998E-3</v>
      </c>
      <c r="P413">
        <f>VLOOKUP(A413,DB!A:I,7,FALSE)</f>
        <v>8.4000000000000003E-4</v>
      </c>
      <c r="Q413">
        <f>VLOOKUP(A413,DB!A:I,8,FALSE)</f>
        <v>0.624</v>
      </c>
      <c r="R413">
        <f>VLOOKUP(A413,DB!A:I,9,FALSE)</f>
        <v>0.92810000000000004</v>
      </c>
      <c r="S413">
        <f>N413 *SQRT(H413)</f>
        <v>4.4984113862562634</v>
      </c>
      <c r="T413">
        <f>L413/N413</f>
        <v>42.391799544419136</v>
      </c>
    </row>
    <row r="414" spans="1:20" x14ac:dyDescent="0.25">
      <c r="A414" t="s">
        <v>693</v>
      </c>
      <c r="B414" t="s">
        <v>108</v>
      </c>
      <c r="C414" s="4">
        <v>0.114691</v>
      </c>
      <c r="D414" s="4">
        <v>0.36899999999999999</v>
      </c>
      <c r="E414" s="4">
        <v>2.4846E-2</v>
      </c>
      <c r="F414" s="4">
        <v>0.377</v>
      </c>
      <c r="G414">
        <v>4.9399999999999999E-3</v>
      </c>
      <c r="H414">
        <f>VLOOKUP(A414,DB!A:I,2,FALSE)</f>
        <v>1500000</v>
      </c>
      <c r="I414">
        <f>VLOOKUP(A414,'RE@CD'!A:D,2,FALSE)</f>
        <v>325000</v>
      </c>
      <c r="J414">
        <f>VLOOKUP(A414,'RE@CD'!A:D,3,FALSE)</f>
        <v>100000</v>
      </c>
      <c r="K414">
        <f>VLOOKUP(A414,'RE@CD'!A:D,4,FALSE)</f>
        <v>175000</v>
      </c>
      <c r="L414">
        <f>VLOOKUP(A414,DB!A:I,3,FALSE)</f>
        <v>0.1009</v>
      </c>
      <c r="M414">
        <f>VLOOKUP(A414,DB!A:I,4,FALSE)</f>
        <v>-3.7000000000000002E-3</v>
      </c>
      <c r="N414">
        <f>VLOOKUP(A414,DB!A:I,5,FALSE)</f>
        <v>4.3899999999999998E-3</v>
      </c>
      <c r="O414">
        <f>VLOOKUP(A414,DB!A:I,6,FALSE)</f>
        <v>3.47E-3</v>
      </c>
      <c r="P414">
        <f>VLOOKUP(A414,DB!A:I,7,FALSE)</f>
        <v>9.2000000000000003E-4</v>
      </c>
      <c r="Q414">
        <f>VLOOKUP(A414,DB!A:I,8,FALSE)</f>
        <v>0.60650000000000004</v>
      </c>
      <c r="R414">
        <f>VLOOKUP(A414,DB!A:I,9,FALSE)</f>
        <v>0.87409999999999999</v>
      </c>
      <c r="S414">
        <f>N414 *SQRT(H414)</f>
        <v>5.3766299854090756</v>
      </c>
      <c r="T414">
        <f>L414/N414</f>
        <v>22.984054669703873</v>
      </c>
    </row>
    <row r="415" spans="1:20" x14ac:dyDescent="0.25">
      <c r="A415" t="s">
        <v>791</v>
      </c>
      <c r="B415" t="s">
        <v>206</v>
      </c>
      <c r="C415" s="4">
        <v>0.14621799999999999</v>
      </c>
      <c r="D415" s="4">
        <v>0.376</v>
      </c>
      <c r="E415" s="4">
        <v>4.2564999999999999E-2</v>
      </c>
      <c r="F415" s="4">
        <v>0.41599999999999998</v>
      </c>
      <c r="G415">
        <v>2.47E-3</v>
      </c>
      <c r="H415">
        <f>VLOOKUP(A415,DB!A:I,2,FALSE)</f>
        <v>3000000</v>
      </c>
      <c r="I415">
        <f>VLOOKUP(A415,'RE@CD'!A:D,2,FALSE)</f>
        <v>450000</v>
      </c>
      <c r="J415">
        <f>VLOOKUP(A415,'RE@CD'!A:D,3,FALSE)</f>
        <v>200000</v>
      </c>
      <c r="K415">
        <f>VLOOKUP(A415,'RE@CD'!A:D,4,FALSE)</f>
        <v>300000</v>
      </c>
      <c r="L415">
        <f>VLOOKUP(A415,DB!A:I,3,FALSE)</f>
        <v>0.60040000000000004</v>
      </c>
      <c r="M415">
        <f>VLOOKUP(A415,DB!A:I,4,FALSE)</f>
        <v>-0.12889999999999999</v>
      </c>
      <c r="N415">
        <f>VLOOKUP(A415,DB!A:I,5,FALSE)</f>
        <v>4.3899999999999998E-3</v>
      </c>
      <c r="O415">
        <f>VLOOKUP(A415,DB!A:I,6,FALSE)</f>
        <v>3.4399999999999999E-3</v>
      </c>
      <c r="P415">
        <f>VLOOKUP(A415,DB!A:I,7,FALSE)</f>
        <v>9.6000000000000002E-4</v>
      </c>
      <c r="Q415">
        <f>VLOOKUP(A415,DB!A:I,8,FALSE)</f>
        <v>0.62219999999999998</v>
      </c>
      <c r="R415">
        <f>VLOOKUP(A415,DB!A:I,9,FALSE)</f>
        <v>0.70899999999999996</v>
      </c>
      <c r="S415">
        <f>N415 *SQRT(H415)</f>
        <v>7.6037030452273706</v>
      </c>
      <c r="T415">
        <f>L415/N415</f>
        <v>136.76537585421414</v>
      </c>
    </row>
    <row r="416" spans="1:20" x14ac:dyDescent="0.25">
      <c r="A416" t="s">
        <v>974</v>
      </c>
      <c r="B416" t="s">
        <v>385</v>
      </c>
      <c r="C416" s="4">
        <v>0.119731</v>
      </c>
      <c r="D416" s="4">
        <v>0.35</v>
      </c>
      <c r="E416" s="4">
        <v>1.9623999999999999E-2</v>
      </c>
      <c r="F416" s="4">
        <v>0.5</v>
      </c>
      <c r="G416">
        <v>5.6699999999999997E-3</v>
      </c>
      <c r="H416">
        <f>VLOOKUP(A416,DB!A:I,2,FALSE)</f>
        <v>3000000</v>
      </c>
      <c r="I416">
        <f>VLOOKUP(A416,'RE@CD'!A:D,2,FALSE)</f>
        <v>275000</v>
      </c>
      <c r="J416">
        <f>VLOOKUP(A416,'RE@CD'!A:D,3,FALSE)</f>
        <v>100000</v>
      </c>
      <c r="K416">
        <f>VLOOKUP(A416,'RE@CD'!A:D,4,FALSE)</f>
        <v>175000</v>
      </c>
      <c r="L416">
        <f>VLOOKUP(A416,DB!A:I,3,FALSE)</f>
        <v>0.27850000000000003</v>
      </c>
      <c r="M416">
        <f>VLOOKUP(A416,DB!A:I,4,FALSE)</f>
        <v>-5.96E-2</v>
      </c>
      <c r="N416">
        <f>VLOOKUP(A416,DB!A:I,5,FALSE)</f>
        <v>4.3899999999999998E-3</v>
      </c>
      <c r="O416">
        <f>VLOOKUP(A416,DB!A:I,6,FALSE)</f>
        <v>3.82E-3</v>
      </c>
      <c r="P416">
        <f>VLOOKUP(A416,DB!A:I,7,FALSE)</f>
        <v>5.6999999999999998E-4</v>
      </c>
      <c r="Q416">
        <f>VLOOKUP(A416,DB!A:I,8,FALSE)</f>
        <v>0.5978</v>
      </c>
      <c r="R416">
        <f>VLOOKUP(A416,DB!A:I,9,FALSE)</f>
        <v>0.57950000000000002</v>
      </c>
      <c r="S416">
        <f>N416 *SQRT(H416)</f>
        <v>7.6037030452273706</v>
      </c>
      <c r="T416">
        <f>L416/N416</f>
        <v>63.439635535307524</v>
      </c>
    </row>
    <row r="417" spans="1:20" x14ac:dyDescent="0.25">
      <c r="A417" t="s">
        <v>634</v>
      </c>
      <c r="B417" t="s">
        <v>49</v>
      </c>
      <c r="C417" s="4">
        <v>0.15003</v>
      </c>
      <c r="D417" s="4">
        <v>0.40200000000000002</v>
      </c>
      <c r="E417" s="4">
        <v>4.1168999999999997E-2</v>
      </c>
      <c r="F417" s="4">
        <v>0.371</v>
      </c>
      <c r="G417">
        <v>4.96E-3</v>
      </c>
      <c r="H417">
        <f>VLOOKUP(A417,DB!A:I,2,FALSE)</f>
        <v>2700000</v>
      </c>
      <c r="I417">
        <f>VLOOKUP(A417,'RE@CD'!A:D,2,FALSE)</f>
        <v>600000</v>
      </c>
      <c r="J417">
        <f>VLOOKUP(A417,'RE@CD'!A:D,3,FALSE)</f>
        <v>350000</v>
      </c>
      <c r="K417">
        <f>VLOOKUP(A417,'RE@CD'!A:D,4,FALSE)</f>
        <v>375000</v>
      </c>
      <c r="L417">
        <f>VLOOKUP(A417,DB!A:I,3,FALSE)</f>
        <v>0.4133</v>
      </c>
      <c r="M417">
        <f>VLOOKUP(A417,DB!A:I,4,FALSE)</f>
        <v>-6.88E-2</v>
      </c>
      <c r="N417">
        <f>VLOOKUP(A417,DB!A:I,5,FALSE)</f>
        <v>4.3800000000000002E-3</v>
      </c>
      <c r="O417">
        <f>VLOOKUP(A417,DB!A:I,6,FALSE)</f>
        <v>3.4499999999999999E-3</v>
      </c>
      <c r="P417">
        <f>VLOOKUP(A417,DB!A:I,7,FALSE)</f>
        <v>9.3000000000000005E-4</v>
      </c>
      <c r="Q417">
        <f>VLOOKUP(A417,DB!A:I,8,FALSE)</f>
        <v>0.58399999999999996</v>
      </c>
      <c r="R417">
        <f>VLOOKUP(A417,DB!A:I,9,FALSE)</f>
        <v>0.74119999999999997</v>
      </c>
      <c r="S417">
        <f>N417 *SQRT(H417)</f>
        <v>7.1970744056178839</v>
      </c>
      <c r="T417">
        <f>L417/N417</f>
        <v>94.3607305936073</v>
      </c>
    </row>
    <row r="418" spans="1:20" x14ac:dyDescent="0.25">
      <c r="A418" t="s">
        <v>866</v>
      </c>
      <c r="B418" t="s">
        <v>281</v>
      </c>
      <c r="C418" s="4">
        <v>0.15542</v>
      </c>
      <c r="D418" s="4">
        <v>0.434</v>
      </c>
      <c r="E418" s="4">
        <v>2.1114999999999998E-2</v>
      </c>
      <c r="F418" s="4">
        <v>0.80400000000000005</v>
      </c>
      <c r="G418">
        <v>1.97E-3</v>
      </c>
      <c r="H418">
        <f>VLOOKUP(A418,DB!A:I,2,FALSE)</f>
        <v>1800000</v>
      </c>
      <c r="I418">
        <f>VLOOKUP(A418,'RE@CD'!A:D,2,FALSE)</f>
        <v>525000</v>
      </c>
      <c r="J418">
        <f>VLOOKUP(A418,'RE@CD'!A:D,3,FALSE)</f>
        <v>275000</v>
      </c>
      <c r="K418">
        <f>VLOOKUP(A418,'RE@CD'!A:D,4,FALSE)</f>
        <v>525000</v>
      </c>
      <c r="L418">
        <f>VLOOKUP(A418,DB!A:I,3,FALSE)</f>
        <v>0.46579999999999999</v>
      </c>
      <c r="M418">
        <f>VLOOKUP(A418,DB!A:I,4,FALSE)</f>
        <v>-0.11119999999999999</v>
      </c>
      <c r="N418">
        <f>VLOOKUP(A418,DB!A:I,5,FALSE)</f>
        <v>4.3800000000000002E-3</v>
      </c>
      <c r="O418">
        <f>VLOOKUP(A418,DB!A:I,6,FALSE)</f>
        <v>3.29E-3</v>
      </c>
      <c r="P418">
        <f>VLOOKUP(A418,DB!A:I,7,FALSE)</f>
        <v>1.08E-3</v>
      </c>
      <c r="Q418">
        <f>VLOOKUP(A418,DB!A:I,8,FALSE)</f>
        <v>0.76680000000000004</v>
      </c>
      <c r="R418">
        <f>VLOOKUP(A418,DB!A:I,9,FALSE)</f>
        <v>0.72350000000000003</v>
      </c>
      <c r="S418">
        <f>N418 *SQRT(H418)</f>
        <v>5.8763866448694477</v>
      </c>
      <c r="T418">
        <f>L418/N418</f>
        <v>106.34703196347031</v>
      </c>
    </row>
    <row r="419" spans="1:20" x14ac:dyDescent="0.25">
      <c r="A419" t="s">
        <v>694</v>
      </c>
      <c r="B419" t="s">
        <v>109</v>
      </c>
      <c r="C419" s="4">
        <v>9.3834000000000001E-2</v>
      </c>
      <c r="D419" s="4">
        <v>0.28100000000000003</v>
      </c>
      <c r="E419" s="4">
        <v>1.856E-2</v>
      </c>
      <c r="F419" s="4">
        <v>0.32</v>
      </c>
      <c r="G419">
        <v>4.9199999999999999E-3</v>
      </c>
      <c r="H419">
        <f>VLOOKUP(A419,DB!A:I,2,FALSE)</f>
        <v>1350000</v>
      </c>
      <c r="I419">
        <f>VLOOKUP(A419,'RE@CD'!A:D,2,FALSE)</f>
        <v>175000</v>
      </c>
      <c r="J419">
        <f>VLOOKUP(A419,'RE@CD'!A:D,3,FALSE)</f>
        <v>60000</v>
      </c>
      <c r="K419">
        <f>VLOOKUP(A419,'RE@CD'!A:D,4,FALSE)</f>
        <v>100000</v>
      </c>
      <c r="L419">
        <f>VLOOKUP(A419,DB!A:I,3,FALSE)</f>
        <v>7.6100000000000001E-2</v>
      </c>
      <c r="M419">
        <f>VLOOKUP(A419,DB!A:I,4,FALSE)</f>
        <v>-8.0000000000000004E-4</v>
      </c>
      <c r="N419">
        <f>VLOOKUP(A419,DB!A:I,5,FALSE)</f>
        <v>4.3699999999999998E-3</v>
      </c>
      <c r="O419">
        <f>VLOOKUP(A419,DB!A:I,6,FALSE)</f>
        <v>3.62E-3</v>
      </c>
      <c r="P419">
        <f>VLOOKUP(A419,DB!A:I,7,FALSE)</f>
        <v>7.5000000000000002E-4</v>
      </c>
      <c r="Q419">
        <f>VLOOKUP(A419,DB!A:I,8,FALSE)</f>
        <v>0.5665</v>
      </c>
      <c r="R419">
        <f>VLOOKUP(A419,DB!A:I,9,FALSE)</f>
        <v>0.87890000000000001</v>
      </c>
      <c r="S419">
        <f>N419 *SQRT(H419)</f>
        <v>5.0774811668779236</v>
      </c>
      <c r="T419">
        <f>L419/N419</f>
        <v>17.414187643020597</v>
      </c>
    </row>
    <row r="420" spans="1:20" x14ac:dyDescent="0.25">
      <c r="A420" t="s">
        <v>612</v>
      </c>
      <c r="B420" t="s">
        <v>27</v>
      </c>
      <c r="C420" s="4">
        <v>6.8960999999999995E-2</v>
      </c>
      <c r="D420" s="4">
        <v>0.23499999999999999</v>
      </c>
      <c r="E420" s="4">
        <v>1.8530000000000001E-2</v>
      </c>
      <c r="F420" s="4">
        <v>0.318</v>
      </c>
      <c r="G420">
        <v>4.3200000000000001E-3</v>
      </c>
      <c r="H420">
        <f>VLOOKUP(A420,DB!A:I,2,FALSE)</f>
        <v>1050000</v>
      </c>
      <c r="I420">
        <f>VLOOKUP(A420,'RE@CD'!A:D,2,FALSE)</f>
        <v>125000</v>
      </c>
      <c r="J420">
        <f>VLOOKUP(A420,'RE@CD'!A:D,3,FALSE)</f>
        <v>50000</v>
      </c>
      <c r="K420">
        <f>VLOOKUP(A420,'RE@CD'!A:D,4,FALSE)</f>
        <v>70000</v>
      </c>
      <c r="L420">
        <f>VLOOKUP(A420,DB!A:I,3,FALSE)</f>
        <v>0.16819999999999999</v>
      </c>
      <c r="M420">
        <f>VLOOKUP(A420,DB!A:I,4,FALSE)</f>
        <v>-2.7300000000000001E-2</v>
      </c>
      <c r="N420">
        <f>VLOOKUP(A420,DB!A:I,5,FALSE)</f>
        <v>4.3600000000000002E-3</v>
      </c>
      <c r="O420">
        <f>VLOOKUP(A420,DB!A:I,6,FALSE)</f>
        <v>3.5599999999999998E-3</v>
      </c>
      <c r="P420">
        <f>VLOOKUP(A420,DB!A:I,7,FALSE)</f>
        <v>8.0000000000000004E-4</v>
      </c>
      <c r="Q420">
        <f>VLOOKUP(A420,DB!A:I,8,FALSE)</f>
        <v>0.61240000000000006</v>
      </c>
      <c r="R420">
        <f>VLOOKUP(A420,DB!A:I,9,FALSE)</f>
        <v>0.93740000000000001</v>
      </c>
      <c r="S420">
        <f>N420 *SQRT(H420)</f>
        <v>4.4676705339583851</v>
      </c>
      <c r="T420">
        <f>L420/N420</f>
        <v>38.577981651376142</v>
      </c>
    </row>
    <row r="421" spans="1:20" x14ac:dyDescent="0.25">
      <c r="A421" t="s">
        <v>788</v>
      </c>
      <c r="B421" t="s">
        <v>203</v>
      </c>
      <c r="C421" s="4">
        <v>0.14741899999999999</v>
      </c>
      <c r="D421" s="4">
        <v>0.41799999999999998</v>
      </c>
      <c r="E421" s="4">
        <v>4.2645000000000002E-2</v>
      </c>
      <c r="F421" s="4">
        <v>0.41799999999999998</v>
      </c>
      <c r="G421">
        <v>2.64E-3</v>
      </c>
      <c r="H421">
        <f>VLOOKUP(A421,DB!A:I,2,FALSE)</f>
        <v>3000000</v>
      </c>
      <c r="I421">
        <f>VLOOKUP(A421,'RE@CD'!A:D,2,FALSE)</f>
        <v>500000</v>
      </c>
      <c r="J421">
        <f>VLOOKUP(A421,'RE@CD'!A:D,3,FALSE)</f>
        <v>175000</v>
      </c>
      <c r="K421">
        <f>VLOOKUP(A421,'RE@CD'!A:D,4,FALSE)</f>
        <v>325000</v>
      </c>
      <c r="L421">
        <f>VLOOKUP(A421,DB!A:I,3,FALSE)</f>
        <v>0.58699999999999997</v>
      </c>
      <c r="M421">
        <f>VLOOKUP(A421,DB!A:I,4,FALSE)</f>
        <v>-0.1246</v>
      </c>
      <c r="N421">
        <f>VLOOKUP(A421,DB!A:I,5,FALSE)</f>
        <v>4.3499999999999997E-3</v>
      </c>
      <c r="O421">
        <f>VLOOKUP(A421,DB!A:I,6,FALSE)</f>
        <v>3.32E-3</v>
      </c>
      <c r="P421">
        <f>VLOOKUP(A421,DB!A:I,7,FALSE)</f>
        <v>1.0300000000000001E-3</v>
      </c>
      <c r="Q421">
        <f>VLOOKUP(A421,DB!A:I,8,FALSE)</f>
        <v>0.62329999999999997</v>
      </c>
      <c r="R421">
        <f>VLOOKUP(A421,DB!A:I,9,FALSE)</f>
        <v>0.75539999999999996</v>
      </c>
      <c r="S421">
        <f>N421 *SQRT(H421)</f>
        <v>7.5344210129246152</v>
      </c>
      <c r="T421">
        <f>L421/N421</f>
        <v>134.94252873563218</v>
      </c>
    </row>
    <row r="422" spans="1:20" x14ac:dyDescent="0.25">
      <c r="A422" t="s">
        <v>610</v>
      </c>
      <c r="B422" t="s">
        <v>25</v>
      </c>
      <c r="C422" s="4">
        <v>6.4742999999999995E-2</v>
      </c>
      <c r="D422" s="4">
        <v>0.222</v>
      </c>
      <c r="E422" s="4">
        <v>1.8346999999999999E-2</v>
      </c>
      <c r="F422" s="4">
        <v>0.31900000000000001</v>
      </c>
      <c r="G422">
        <v>4.0200000000000001E-3</v>
      </c>
      <c r="H422">
        <f>VLOOKUP(A422,DB!A:I,2,FALSE)</f>
        <v>1050000</v>
      </c>
      <c r="I422">
        <f>VLOOKUP(A422,'RE@CD'!A:D,2,FALSE)</f>
        <v>100000</v>
      </c>
      <c r="J422">
        <f>VLOOKUP(A422,'RE@CD'!A:D,3,FALSE)</f>
        <v>50000</v>
      </c>
      <c r="K422">
        <f>VLOOKUP(A422,'RE@CD'!A:D,4,FALSE)</f>
        <v>60000</v>
      </c>
      <c r="L422">
        <f>VLOOKUP(A422,DB!A:I,3,FALSE)</f>
        <v>0.17069999999999999</v>
      </c>
      <c r="M422">
        <f>VLOOKUP(A422,DB!A:I,4,FALSE)</f>
        <v>-2.81E-2</v>
      </c>
      <c r="N422">
        <f>VLOOKUP(A422,DB!A:I,5,FALSE)</f>
        <v>4.3400000000000001E-3</v>
      </c>
      <c r="O422">
        <f>VLOOKUP(A422,DB!A:I,6,FALSE)</f>
        <v>3.5599999999999998E-3</v>
      </c>
      <c r="P422">
        <f>VLOOKUP(A422,DB!A:I,7,FALSE)</f>
        <v>7.9000000000000001E-4</v>
      </c>
      <c r="Q422">
        <f>VLOOKUP(A422,DB!A:I,8,FALSE)</f>
        <v>0.61</v>
      </c>
      <c r="R422">
        <f>VLOOKUP(A422,DB!A:I,9,FALSE)</f>
        <v>0.94489999999999996</v>
      </c>
      <c r="S422">
        <f>N422 *SQRT(H422)</f>
        <v>4.4471766324264657</v>
      </c>
      <c r="T422">
        <f>L422/N422</f>
        <v>39.331797235023039</v>
      </c>
    </row>
    <row r="423" spans="1:20" x14ac:dyDescent="0.25">
      <c r="A423" t="s">
        <v>808</v>
      </c>
      <c r="B423" t="s">
        <v>223</v>
      </c>
      <c r="C423" s="4">
        <v>8.4445000000000006E-2</v>
      </c>
      <c r="D423" s="4">
        <v>0.28000000000000003</v>
      </c>
      <c r="E423" s="4">
        <v>3.3170999999999999E-2</v>
      </c>
      <c r="F423" s="4">
        <v>0.51500000000000001</v>
      </c>
      <c r="G423">
        <v>3.8999999999999998E-3</v>
      </c>
      <c r="H423">
        <f>VLOOKUP(A423,DB!A:I,2,FALSE)</f>
        <v>2200000</v>
      </c>
      <c r="I423">
        <f>VLOOKUP(A423,'RE@CD'!A:D,2,FALSE)</f>
        <v>225000</v>
      </c>
      <c r="J423">
        <f>VLOOKUP(A423,'RE@CD'!A:D,3,FALSE)</f>
        <v>60000</v>
      </c>
      <c r="K423">
        <f>VLOOKUP(A423,'RE@CD'!A:D,4,FALSE)</f>
        <v>175000</v>
      </c>
      <c r="L423">
        <f>VLOOKUP(A423,DB!A:I,3,FALSE)</f>
        <v>0.49220000000000003</v>
      </c>
      <c r="M423">
        <f>VLOOKUP(A423,DB!A:I,4,FALSE)</f>
        <v>-0.1167</v>
      </c>
      <c r="N423">
        <f>VLOOKUP(A423,DB!A:I,5,FALSE)</f>
        <v>4.3400000000000001E-3</v>
      </c>
      <c r="O423">
        <f>VLOOKUP(A423,DB!A:I,6,FALSE)</f>
        <v>3.79E-3</v>
      </c>
      <c r="P423">
        <f>VLOOKUP(A423,DB!A:I,7,FALSE)</f>
        <v>5.5999999999999995E-4</v>
      </c>
      <c r="Q423">
        <f>VLOOKUP(A423,DB!A:I,8,FALSE)</f>
        <v>0.70120000000000005</v>
      </c>
      <c r="R423">
        <f>VLOOKUP(A423,DB!A:I,9,FALSE)</f>
        <v>0.55089999999999995</v>
      </c>
      <c r="S423">
        <f>N423 *SQRT(H423)</f>
        <v>6.4372602867990363</v>
      </c>
      <c r="T423">
        <f>L423/N423</f>
        <v>113.41013824884793</v>
      </c>
    </row>
    <row r="424" spans="1:20" x14ac:dyDescent="0.25">
      <c r="A424" t="s">
        <v>813</v>
      </c>
      <c r="B424" t="s">
        <v>228</v>
      </c>
      <c r="C424" s="4">
        <v>0.15572</v>
      </c>
      <c r="D424" s="4">
        <v>0.373</v>
      </c>
      <c r="E424" s="4">
        <v>4.6692999999999998E-2</v>
      </c>
      <c r="F424" s="4">
        <v>0.46500000000000002</v>
      </c>
      <c r="G424">
        <v>2.8E-3</v>
      </c>
      <c r="H424">
        <f>VLOOKUP(A424,DB!A:I,2,FALSE)</f>
        <v>3000000</v>
      </c>
      <c r="I424">
        <f>VLOOKUP(A424,'RE@CD'!A:D,2,FALSE)</f>
        <v>525000</v>
      </c>
      <c r="J424">
        <f>VLOOKUP(A424,'RE@CD'!A:D,3,FALSE)</f>
        <v>250000</v>
      </c>
      <c r="K424">
        <f>VLOOKUP(A424,'RE@CD'!A:D,4,FALSE)</f>
        <v>375000</v>
      </c>
      <c r="L424">
        <f>VLOOKUP(A424,DB!A:I,3,FALSE)</f>
        <v>0.62590000000000001</v>
      </c>
      <c r="M424">
        <f>VLOOKUP(A424,DB!A:I,4,FALSE)</f>
        <v>-0.13519999999999999</v>
      </c>
      <c r="N424">
        <f>VLOOKUP(A424,DB!A:I,5,FALSE)</f>
        <v>4.3400000000000001E-3</v>
      </c>
      <c r="O424">
        <f>VLOOKUP(A424,DB!A:I,6,FALSE)</f>
        <v>3.32E-3</v>
      </c>
      <c r="P424">
        <f>VLOOKUP(A424,DB!A:I,7,FALSE)</f>
        <v>1.01E-3</v>
      </c>
      <c r="Q424">
        <f>VLOOKUP(A424,DB!A:I,8,FALSE)</f>
        <v>0.6593</v>
      </c>
      <c r="R424">
        <f>VLOOKUP(A424,DB!A:I,9,FALSE)</f>
        <v>0.68569999999999998</v>
      </c>
      <c r="S424">
        <f>N424 *SQRT(H424)</f>
        <v>7.5171005048489272</v>
      </c>
      <c r="T424">
        <f>L424/N424</f>
        <v>144.21658986175115</v>
      </c>
    </row>
    <row r="425" spans="1:20" x14ac:dyDescent="0.25">
      <c r="A425" t="s">
        <v>855</v>
      </c>
      <c r="B425" t="s">
        <v>270</v>
      </c>
      <c r="C425" s="4">
        <v>7.0000000000000007E-2</v>
      </c>
      <c r="D425" s="4">
        <v>0.28699999999999998</v>
      </c>
      <c r="E425" s="4">
        <v>1.9859000000000002E-2</v>
      </c>
      <c r="F425" s="4">
        <v>0.25900000000000001</v>
      </c>
      <c r="G425">
        <v>2.6700000000000001E-3</v>
      </c>
      <c r="H425">
        <f>VLOOKUP(A425,DB!A:I,2,FALSE)</f>
        <v>1800000</v>
      </c>
      <c r="I425">
        <f>VLOOKUP(A425,'RE@CD'!A:D,2,FALSE)</f>
        <v>125000</v>
      </c>
      <c r="J425">
        <f>VLOOKUP(A425,'RE@CD'!A:D,3,FALSE)</f>
        <v>50000</v>
      </c>
      <c r="K425">
        <f>VLOOKUP(A425,'RE@CD'!A:D,4,FALSE)</f>
        <v>80000</v>
      </c>
      <c r="L425">
        <f>VLOOKUP(A425,DB!A:I,3,FALSE)</f>
        <v>7.7399999999999997E-2</v>
      </c>
      <c r="M425">
        <f>VLOOKUP(A425,DB!A:I,4,FALSE)</f>
        <v>1.5E-3</v>
      </c>
      <c r="N425">
        <f>VLOOKUP(A425,DB!A:I,5,FALSE)</f>
        <v>4.3400000000000001E-3</v>
      </c>
      <c r="O425">
        <f>VLOOKUP(A425,DB!A:I,6,FALSE)</f>
        <v>3.82E-3</v>
      </c>
      <c r="P425">
        <f>VLOOKUP(A425,DB!A:I,7,FALSE)</f>
        <v>5.2999999999999998E-4</v>
      </c>
      <c r="Q425">
        <f>VLOOKUP(A425,DB!A:I,8,FALSE)</f>
        <v>0.49390000000000001</v>
      </c>
      <c r="R425">
        <f>VLOOKUP(A425,DB!A:I,9,FALSE)</f>
        <v>0.81679999999999997</v>
      </c>
      <c r="S425">
        <f>N425 *SQRT(H425)</f>
        <v>5.8227210134094527</v>
      </c>
      <c r="T425">
        <f>L425/N425</f>
        <v>17.834101382488477</v>
      </c>
    </row>
    <row r="426" spans="1:20" x14ac:dyDescent="0.25">
      <c r="A426" t="s">
        <v>969</v>
      </c>
      <c r="B426" t="s">
        <v>380</v>
      </c>
      <c r="C426" s="4">
        <v>0.119591</v>
      </c>
      <c r="D426" s="4">
        <v>0.35</v>
      </c>
      <c r="E426" s="4">
        <v>1.4746E-2</v>
      </c>
      <c r="F426" s="4">
        <v>0.5</v>
      </c>
      <c r="G426">
        <v>5.7099999999999998E-3</v>
      </c>
      <c r="H426">
        <f>VLOOKUP(A426,DB!A:I,2,FALSE)</f>
        <v>3000000</v>
      </c>
      <c r="I426">
        <f>VLOOKUP(A426,'RE@CD'!A:D,2,FALSE)</f>
        <v>250000</v>
      </c>
      <c r="J426">
        <f>VLOOKUP(A426,'RE@CD'!A:D,3,FALSE)</f>
        <v>100000</v>
      </c>
      <c r="K426">
        <f>VLOOKUP(A426,'RE@CD'!A:D,4,FALSE)</f>
        <v>175000</v>
      </c>
      <c r="L426">
        <f>VLOOKUP(A426,DB!A:I,3,FALSE)</f>
        <v>0.2114</v>
      </c>
      <c r="M426">
        <f>VLOOKUP(A426,DB!A:I,4,FALSE)</f>
        <v>-4.5199999999999997E-2</v>
      </c>
      <c r="N426">
        <f>VLOOKUP(A426,DB!A:I,5,FALSE)</f>
        <v>4.3400000000000001E-3</v>
      </c>
      <c r="O426">
        <f>VLOOKUP(A426,DB!A:I,6,FALSE)</f>
        <v>3.8E-3</v>
      </c>
      <c r="P426">
        <f>VLOOKUP(A426,DB!A:I,7,FALSE)</f>
        <v>5.4000000000000001E-4</v>
      </c>
      <c r="Q426">
        <f>VLOOKUP(A426,DB!A:I,8,FALSE)</f>
        <v>0.59740000000000004</v>
      </c>
      <c r="R426">
        <f>VLOOKUP(A426,DB!A:I,9,FALSE)</f>
        <v>0.58620000000000005</v>
      </c>
      <c r="S426">
        <f>N426 *SQRT(H426)</f>
        <v>7.5171005048489272</v>
      </c>
      <c r="T426">
        <f>L426/N426</f>
        <v>48.70967741935484</v>
      </c>
    </row>
    <row r="427" spans="1:20" x14ac:dyDescent="0.25">
      <c r="A427" t="s">
        <v>977</v>
      </c>
      <c r="B427" t="s">
        <v>388</v>
      </c>
      <c r="C427" s="4">
        <v>8.9701000000000003E-2</v>
      </c>
      <c r="D427" s="4">
        <v>0.35</v>
      </c>
      <c r="E427" s="4">
        <v>1.9359999999999999E-2</v>
      </c>
      <c r="F427" s="4">
        <v>0.5</v>
      </c>
      <c r="G427">
        <v>3.7100000000000002E-3</v>
      </c>
      <c r="H427">
        <f>VLOOKUP(A427,DB!A:I,2,FALSE)</f>
        <v>2400000</v>
      </c>
      <c r="I427">
        <f>VLOOKUP(A427,'RE@CD'!A:D,2,FALSE)</f>
        <v>200000</v>
      </c>
      <c r="J427">
        <f>VLOOKUP(A427,'RE@CD'!A:D,3,FALSE)</f>
        <v>50000</v>
      </c>
      <c r="K427">
        <f>VLOOKUP(A427,'RE@CD'!A:D,4,FALSE)</f>
        <v>150000</v>
      </c>
      <c r="L427">
        <f>VLOOKUP(A427,DB!A:I,3,FALSE)</f>
        <v>0.28189999999999998</v>
      </c>
      <c r="M427">
        <f>VLOOKUP(A427,DB!A:I,4,FALSE)</f>
        <v>-6.1499999999999999E-2</v>
      </c>
      <c r="N427">
        <f>VLOOKUP(A427,DB!A:I,5,FALSE)</f>
        <v>4.3400000000000001E-3</v>
      </c>
      <c r="O427">
        <f>VLOOKUP(A427,DB!A:I,6,FALSE)</f>
        <v>3.9199999999999999E-3</v>
      </c>
      <c r="P427">
        <f>VLOOKUP(A427,DB!A:I,7,FALSE)</f>
        <v>4.2000000000000002E-4</v>
      </c>
      <c r="Q427">
        <f>VLOOKUP(A427,DB!A:I,8,FALSE)</f>
        <v>0.66890000000000005</v>
      </c>
      <c r="R427">
        <f>VLOOKUP(A427,DB!A:I,9,FALSE)</f>
        <v>0.53310000000000002</v>
      </c>
      <c r="S427">
        <f>N427 *SQRT(H427)</f>
        <v>6.7234990890160757</v>
      </c>
      <c r="T427">
        <f>L427/N427</f>
        <v>64.953917050691246</v>
      </c>
    </row>
    <row r="428" spans="1:20" x14ac:dyDescent="0.25">
      <c r="A428" t="s">
        <v>1110</v>
      </c>
      <c r="B428" t="s">
        <v>521</v>
      </c>
      <c r="C428" s="4">
        <v>0.1086</v>
      </c>
      <c r="D428" s="4">
        <v>0.35299999999999998</v>
      </c>
      <c r="E428" s="4">
        <v>3.7045000000000002E-2</v>
      </c>
      <c r="F428" s="4">
        <v>0.45200000000000001</v>
      </c>
      <c r="G428">
        <v>1.2999999999999999E-3</v>
      </c>
      <c r="H428">
        <f>VLOOKUP(A428,DB!A:I,2,FALSE)</f>
        <v>3000000</v>
      </c>
      <c r="I428">
        <f>VLOOKUP(A428,'RE@CD'!A:D,2,FALSE)</f>
        <v>350000</v>
      </c>
      <c r="J428">
        <f>VLOOKUP(A428,'RE@CD'!A:D,3,FALSE)</f>
        <v>175000</v>
      </c>
      <c r="K428">
        <f>VLOOKUP(A428,'RE@CD'!A:D,4,FALSE)</f>
        <v>250000</v>
      </c>
      <c r="L428">
        <f>VLOOKUP(A428,DB!A:I,3,FALSE)</f>
        <v>0.3553</v>
      </c>
      <c r="M428">
        <f>VLOOKUP(A428,DB!A:I,4,FALSE)</f>
        <v>-6.9599999999999995E-2</v>
      </c>
      <c r="N428">
        <f>VLOOKUP(A428,DB!A:I,5,FALSE)</f>
        <v>4.3400000000000001E-3</v>
      </c>
      <c r="O428">
        <f>VLOOKUP(A428,DB!A:I,6,FALSE)</f>
        <v>3.8E-3</v>
      </c>
      <c r="P428">
        <f>VLOOKUP(A428,DB!A:I,7,FALSE)</f>
        <v>5.4000000000000001E-4</v>
      </c>
      <c r="Q428">
        <f>VLOOKUP(A428,DB!A:I,8,FALSE)</f>
        <v>0.70540000000000003</v>
      </c>
      <c r="R428">
        <f>VLOOKUP(A428,DB!A:I,9,FALSE)</f>
        <v>0.42220000000000002</v>
      </c>
      <c r="S428">
        <f>N428 *SQRT(H428)</f>
        <v>7.5171005048489272</v>
      </c>
      <c r="T428">
        <f>L428/N428</f>
        <v>81.866359447004612</v>
      </c>
    </row>
    <row r="429" spans="1:20" x14ac:dyDescent="0.25">
      <c r="A429" t="s">
        <v>1157</v>
      </c>
      <c r="B429" t="s">
        <v>567</v>
      </c>
      <c r="C429" s="4">
        <v>0.100018</v>
      </c>
      <c r="D429" s="4">
        <v>0.33500000000000002</v>
      </c>
      <c r="E429" s="4">
        <v>3.7841E-2</v>
      </c>
      <c r="F429" s="4">
        <v>0.47099999999999997</v>
      </c>
      <c r="G429">
        <v>6.2500000000000003E-3</v>
      </c>
      <c r="H429">
        <f>VLOOKUP(A429,DB!A:I,2,FALSE)</f>
        <v>2600000</v>
      </c>
      <c r="I429">
        <f>VLOOKUP(A429,'RE@CD'!A:D,2,FALSE)</f>
        <v>250000</v>
      </c>
      <c r="J429">
        <f>VLOOKUP(A429,'RE@CD'!A:D,3,FALSE)</f>
        <v>125000</v>
      </c>
      <c r="K429">
        <f>VLOOKUP(A429,'RE@CD'!A:D,4,FALSE)</f>
        <v>175000</v>
      </c>
      <c r="L429">
        <f>VLOOKUP(A429,DB!A:I,3,FALSE)</f>
        <v>0.54279999999999995</v>
      </c>
      <c r="M429">
        <f>VLOOKUP(A429,DB!A:I,4,FALSE)</f>
        <v>-0.123</v>
      </c>
      <c r="N429">
        <f>VLOOKUP(A429,DB!A:I,5,FALSE)</f>
        <v>4.3400000000000001E-3</v>
      </c>
      <c r="O429">
        <f>VLOOKUP(A429,DB!A:I,6,FALSE)</f>
        <v>3.6600000000000001E-3</v>
      </c>
      <c r="P429">
        <f>VLOOKUP(A429,DB!A:I,7,FALSE)</f>
        <v>6.8000000000000005E-4</v>
      </c>
      <c r="Q429">
        <f>VLOOKUP(A429,DB!A:I,8,FALSE)</f>
        <v>0.68330000000000002</v>
      </c>
      <c r="R429">
        <f>VLOOKUP(A429,DB!A:I,9,FALSE)</f>
        <v>0.55869999999999997</v>
      </c>
      <c r="S429">
        <f>N429 *SQRT(H429)</f>
        <v>6.9980397255231406</v>
      </c>
      <c r="T429">
        <f>L429/N429</f>
        <v>125.06912442396312</v>
      </c>
    </row>
    <row r="430" spans="1:20" x14ac:dyDescent="0.25">
      <c r="A430" t="s">
        <v>679</v>
      </c>
      <c r="B430" t="s">
        <v>94</v>
      </c>
      <c r="C430" s="4">
        <v>0.102746</v>
      </c>
      <c r="D430" s="4">
        <v>0.31</v>
      </c>
      <c r="E430" s="4">
        <v>1.2806E-2</v>
      </c>
      <c r="F430" s="4">
        <v>0.28999999999999998</v>
      </c>
      <c r="G430">
        <v>4.7099999999999998E-3</v>
      </c>
      <c r="H430">
        <f>VLOOKUP(A430,DB!A:I,2,FALSE)</f>
        <v>1450000</v>
      </c>
      <c r="I430">
        <f>VLOOKUP(A430,'RE@CD'!A:D,2,FALSE)</f>
        <v>275000</v>
      </c>
      <c r="J430">
        <f>VLOOKUP(A430,'RE@CD'!A:D,3,FALSE)</f>
        <v>70000</v>
      </c>
      <c r="K430">
        <f>VLOOKUP(A430,'RE@CD'!A:D,4,FALSE)</f>
        <v>150000</v>
      </c>
      <c r="L430">
        <f>VLOOKUP(A430,DB!A:I,3,FALSE)</f>
        <v>-0.1052</v>
      </c>
      <c r="M430">
        <f>VLOOKUP(A430,DB!A:I,4,FALSE)</f>
        <v>4.6800000000000001E-2</v>
      </c>
      <c r="N430">
        <f>VLOOKUP(A430,DB!A:I,5,FALSE)</f>
        <v>4.3299999999999996E-3</v>
      </c>
      <c r="O430">
        <f>VLOOKUP(A430,DB!A:I,6,FALSE)</f>
        <v>3.5599999999999998E-3</v>
      </c>
      <c r="P430">
        <f>VLOOKUP(A430,DB!A:I,7,FALSE)</f>
        <v>7.6999999999999996E-4</v>
      </c>
      <c r="Q430">
        <f>VLOOKUP(A430,DB!A:I,8,FALSE)</f>
        <v>0.52029999999999998</v>
      </c>
      <c r="R430">
        <f>VLOOKUP(A430,DB!A:I,9,FALSE)</f>
        <v>0.90490000000000004</v>
      </c>
      <c r="S430">
        <f>N430 *SQRT(H430)</f>
        <v>5.2140104526170639</v>
      </c>
      <c r="T430">
        <f>L430/N430</f>
        <v>-24.295612009237878</v>
      </c>
    </row>
    <row r="431" spans="1:20" x14ac:dyDescent="0.25">
      <c r="A431" t="s">
        <v>849</v>
      </c>
      <c r="B431" t="s">
        <v>264</v>
      </c>
      <c r="C431" s="4">
        <v>0.09</v>
      </c>
      <c r="D431" s="4">
        <v>0.28699999999999998</v>
      </c>
      <c r="E431" s="4">
        <v>0</v>
      </c>
      <c r="F431" s="4">
        <v>0.76800000000000002</v>
      </c>
      <c r="G431">
        <v>3.7799999999999999E-3</v>
      </c>
      <c r="H431">
        <f>VLOOKUP(A431,DB!A:I,2,FALSE)</f>
        <v>1950000</v>
      </c>
      <c r="I431">
        <f>VLOOKUP(A431,'RE@CD'!A:D,2,FALSE)</f>
        <v>175000</v>
      </c>
      <c r="J431">
        <f>VLOOKUP(A431,'RE@CD'!A:D,3,FALSE)</f>
        <v>50000</v>
      </c>
      <c r="K431">
        <f>VLOOKUP(A431,'RE@CD'!A:D,4,FALSE)</f>
        <v>90000</v>
      </c>
      <c r="L431">
        <f>VLOOKUP(A431,DB!A:I,3,FALSE)</f>
        <v>0</v>
      </c>
      <c r="M431">
        <f>VLOOKUP(A431,DB!A:I,4,FALSE)</f>
        <v>0</v>
      </c>
      <c r="N431">
        <f>VLOOKUP(A431,DB!A:I,5,FALSE)</f>
        <v>4.3299999999999996E-3</v>
      </c>
      <c r="O431">
        <f>VLOOKUP(A431,DB!A:I,6,FALSE)</f>
        <v>3.8600000000000001E-3</v>
      </c>
      <c r="P431">
        <f>VLOOKUP(A431,DB!A:I,7,FALSE)</f>
        <v>4.6999999999999999E-4</v>
      </c>
      <c r="Q431">
        <f>VLOOKUP(A431,DB!A:I,8,FALSE)</f>
        <v>0.64390000000000003</v>
      </c>
      <c r="R431">
        <f>VLOOKUP(A431,DB!A:I,9,FALSE)</f>
        <v>0.64380000000000004</v>
      </c>
      <c r="S431">
        <f>N431 *SQRT(H431)</f>
        <v>6.0465159389519512</v>
      </c>
      <c r="T431">
        <f>L431/N431</f>
        <v>0</v>
      </c>
    </row>
    <row r="432" spans="1:20" x14ac:dyDescent="0.25">
      <c r="A432" t="s">
        <v>851</v>
      </c>
      <c r="B432" t="s">
        <v>266</v>
      </c>
      <c r="C432" s="4">
        <v>8.9911000000000005E-2</v>
      </c>
      <c r="D432" s="4">
        <v>0.28699999999999998</v>
      </c>
      <c r="E432" s="4">
        <v>9.9340000000000001E-3</v>
      </c>
      <c r="F432" s="4">
        <v>0.25900000000000001</v>
      </c>
      <c r="G432">
        <v>4.5300000000000002E-3</v>
      </c>
      <c r="H432">
        <f>VLOOKUP(A432,DB!A:I,2,FALSE)</f>
        <v>2600000</v>
      </c>
      <c r="I432">
        <f>VLOOKUP(A432,'RE@CD'!A:D,2,FALSE)</f>
        <v>150000</v>
      </c>
      <c r="J432">
        <f>VLOOKUP(A432,'RE@CD'!A:D,3,FALSE)</f>
        <v>50000</v>
      </c>
      <c r="K432">
        <f>VLOOKUP(A432,'RE@CD'!A:D,4,FALSE)</f>
        <v>100000</v>
      </c>
      <c r="L432">
        <f>VLOOKUP(A432,DB!A:I,3,FALSE)</f>
        <v>3.9399999999999998E-2</v>
      </c>
      <c r="M432">
        <f>VLOOKUP(A432,DB!A:I,4,FALSE)</f>
        <v>8.0000000000000004E-4</v>
      </c>
      <c r="N432">
        <f>VLOOKUP(A432,DB!A:I,5,FALSE)</f>
        <v>4.3299999999999996E-3</v>
      </c>
      <c r="O432">
        <f>VLOOKUP(A432,DB!A:I,6,FALSE)</f>
        <v>3.8999999999999998E-3</v>
      </c>
      <c r="P432">
        <f>VLOOKUP(A432,DB!A:I,7,FALSE)</f>
        <v>4.2999999999999999E-4</v>
      </c>
      <c r="Q432">
        <f>VLOOKUP(A432,DB!A:I,8,FALSE)</f>
        <v>0.50219999999999998</v>
      </c>
      <c r="R432">
        <f>VLOOKUP(A432,DB!A:I,9,FALSE)</f>
        <v>0.6925</v>
      </c>
      <c r="S432">
        <f>N432 *SQRT(H432)</f>
        <v>6.9819152100265427</v>
      </c>
      <c r="T432">
        <f>L432/N432</f>
        <v>9.0993071593533497</v>
      </c>
    </row>
    <row r="433" spans="1:20" x14ac:dyDescent="0.25">
      <c r="A433" t="s">
        <v>987</v>
      </c>
      <c r="B433" t="s">
        <v>398</v>
      </c>
      <c r="C433" s="4">
        <v>9.9850999999999995E-2</v>
      </c>
      <c r="D433" s="4">
        <v>0.35</v>
      </c>
      <c r="E433" s="4">
        <v>2.9443E-2</v>
      </c>
      <c r="F433" s="4">
        <v>0.5</v>
      </c>
      <c r="G433">
        <v>2.65E-3</v>
      </c>
      <c r="H433">
        <f>VLOOKUP(A433,DB!A:I,2,FALSE)</f>
        <v>2900000</v>
      </c>
      <c r="I433">
        <f>VLOOKUP(A433,'RE@CD'!A:D,2,FALSE)</f>
        <v>250000</v>
      </c>
      <c r="J433">
        <f>VLOOKUP(A433,'RE@CD'!A:D,3,FALSE)</f>
        <v>100000</v>
      </c>
      <c r="K433">
        <f>VLOOKUP(A433,'RE@CD'!A:D,4,FALSE)</f>
        <v>175000</v>
      </c>
      <c r="L433">
        <f>VLOOKUP(A433,DB!A:I,3,FALSE)</f>
        <v>0.41849999999999998</v>
      </c>
      <c r="M433">
        <f>VLOOKUP(A433,DB!A:I,4,FALSE)</f>
        <v>-9.0800000000000006E-2</v>
      </c>
      <c r="N433">
        <f>VLOOKUP(A433,DB!A:I,5,FALSE)</f>
        <v>4.3299999999999996E-3</v>
      </c>
      <c r="O433">
        <f>VLOOKUP(A433,DB!A:I,6,FALSE)</f>
        <v>3.82E-3</v>
      </c>
      <c r="P433">
        <f>VLOOKUP(A433,DB!A:I,7,FALSE)</f>
        <v>5.1000000000000004E-4</v>
      </c>
      <c r="Q433">
        <f>VLOOKUP(A433,DB!A:I,8,FALSE)</f>
        <v>0.6321</v>
      </c>
      <c r="R433">
        <f>VLOOKUP(A433,DB!A:I,9,FALSE)</f>
        <v>0.54500000000000004</v>
      </c>
      <c r="S433">
        <f>N433 *SQRT(H433)</f>
        <v>7.3737242964461309</v>
      </c>
      <c r="T433">
        <f>L433/N433</f>
        <v>96.651270207852193</v>
      </c>
    </row>
    <row r="434" spans="1:20" x14ac:dyDescent="0.25">
      <c r="A434" t="s">
        <v>1071</v>
      </c>
      <c r="B434" t="s">
        <v>482</v>
      </c>
      <c r="C434" s="4">
        <v>0.10000100000000001</v>
      </c>
      <c r="D434" s="4">
        <v>0.31</v>
      </c>
      <c r="E434" s="4">
        <v>1.5188E-2</v>
      </c>
      <c r="F434" s="4">
        <v>0.36</v>
      </c>
      <c r="G434">
        <v>6.7999999999999996E-3</v>
      </c>
      <c r="H434">
        <f>VLOOKUP(A434,DB!A:I,2,FALSE)</f>
        <v>1850000</v>
      </c>
      <c r="I434">
        <f>VLOOKUP(A434,'RE@CD'!A:D,2,FALSE)</f>
        <v>200000</v>
      </c>
      <c r="J434">
        <f>VLOOKUP(A434,'RE@CD'!A:D,3,FALSE)</f>
        <v>50000</v>
      </c>
      <c r="K434">
        <f>VLOOKUP(A434,'RE@CD'!A:D,4,FALSE)</f>
        <v>150000</v>
      </c>
      <c r="L434">
        <f>VLOOKUP(A434,DB!A:I,3,FALSE)</f>
        <v>0.20039999999999999</v>
      </c>
      <c r="M434">
        <f>VLOOKUP(A434,DB!A:I,4,FALSE)</f>
        <v>-4.0899999999999999E-2</v>
      </c>
      <c r="N434">
        <f>VLOOKUP(A434,DB!A:I,5,FALSE)</f>
        <v>4.3299999999999996E-3</v>
      </c>
      <c r="O434">
        <f>VLOOKUP(A434,DB!A:I,6,FALSE)</f>
        <v>3.65E-3</v>
      </c>
      <c r="P434">
        <f>VLOOKUP(A434,DB!A:I,7,FALSE)</f>
        <v>6.8000000000000005E-4</v>
      </c>
      <c r="Q434">
        <f>VLOOKUP(A434,DB!A:I,8,FALSE)</f>
        <v>0.61129999999999995</v>
      </c>
      <c r="R434">
        <f>VLOOKUP(A434,DB!A:I,9,FALSE)</f>
        <v>0.76119999999999999</v>
      </c>
      <c r="S434">
        <f>N434 *SQRT(H434)</f>
        <v>5.889436730282446</v>
      </c>
      <c r="T434">
        <f>L434/N434</f>
        <v>46.28175519630485</v>
      </c>
    </row>
    <row r="435" spans="1:20" x14ac:dyDescent="0.25">
      <c r="A435" t="s">
        <v>1092</v>
      </c>
      <c r="B435" t="s">
        <v>503</v>
      </c>
      <c r="C435" s="4">
        <v>8.9308999999999999E-2</v>
      </c>
      <c r="D435" s="4">
        <v>0.29899999999999999</v>
      </c>
      <c r="E435" s="4">
        <v>1.2885000000000001E-2</v>
      </c>
      <c r="F435" s="4">
        <v>0.40200000000000002</v>
      </c>
      <c r="G435">
        <v>5.5300000000000002E-3</v>
      </c>
      <c r="H435">
        <f>VLOOKUP(A435,DB!A:I,2,FALSE)</f>
        <v>2900000</v>
      </c>
      <c r="I435">
        <f>VLOOKUP(A435,'RE@CD'!A:D,2,FALSE)</f>
        <v>200000</v>
      </c>
      <c r="J435">
        <f>VLOOKUP(A435,'RE@CD'!A:D,3,FALSE)</f>
        <v>50000</v>
      </c>
      <c r="K435">
        <f>VLOOKUP(A435,'RE@CD'!A:D,4,FALSE)</f>
        <v>125000</v>
      </c>
      <c r="L435">
        <f>VLOOKUP(A435,DB!A:I,3,FALSE)</f>
        <v>0.25009999999999999</v>
      </c>
      <c r="M435">
        <f>VLOOKUP(A435,DB!A:I,4,FALSE)</f>
        <v>-6.1199999999999997E-2</v>
      </c>
      <c r="N435">
        <f>VLOOKUP(A435,DB!A:I,5,FALSE)</f>
        <v>4.3299999999999996E-3</v>
      </c>
      <c r="O435">
        <f>VLOOKUP(A435,DB!A:I,6,FALSE)</f>
        <v>3.8600000000000001E-3</v>
      </c>
      <c r="P435">
        <f>VLOOKUP(A435,DB!A:I,7,FALSE)</f>
        <v>4.6999999999999999E-4</v>
      </c>
      <c r="Q435">
        <f>VLOOKUP(A435,DB!A:I,8,FALSE)</f>
        <v>0.55640000000000001</v>
      </c>
      <c r="R435">
        <f>VLOOKUP(A435,DB!A:I,9,FALSE)</f>
        <v>0.62360000000000004</v>
      </c>
      <c r="S435">
        <f>N435 *SQRT(H435)</f>
        <v>7.3737242964461309</v>
      </c>
      <c r="T435">
        <f>L435/N435</f>
        <v>57.759815242494227</v>
      </c>
    </row>
    <row r="436" spans="1:20" x14ac:dyDescent="0.25">
      <c r="A436" t="s">
        <v>1164</v>
      </c>
      <c r="B436" t="s">
        <v>574</v>
      </c>
      <c r="C436" s="4">
        <v>0.14684800000000001</v>
      </c>
      <c r="D436" s="4">
        <v>0.47299999999999998</v>
      </c>
      <c r="E436" s="4">
        <v>4.1362999999999997E-2</v>
      </c>
      <c r="F436" s="4">
        <v>0.72099999999999997</v>
      </c>
      <c r="G436">
        <v>3.6900000000000001E-3</v>
      </c>
      <c r="H436">
        <f>VLOOKUP(A436,DB!A:I,2,FALSE)</f>
        <v>3000000</v>
      </c>
      <c r="I436">
        <f>VLOOKUP(A436,'RE@CD'!A:D,2,FALSE)</f>
        <v>875000</v>
      </c>
      <c r="J436">
        <f>VLOOKUP(A436,'RE@CD'!A:D,3,FALSE)</f>
        <v>500000</v>
      </c>
      <c r="K436">
        <f>VLOOKUP(A436,'RE@CD'!A:D,4,FALSE)</f>
        <v>700000</v>
      </c>
      <c r="L436">
        <f>VLOOKUP(A436,DB!A:I,3,FALSE)</f>
        <v>0.78690000000000004</v>
      </c>
      <c r="M436">
        <f>VLOOKUP(A436,DB!A:I,4,FALSE)</f>
        <v>-0.18729999999999999</v>
      </c>
      <c r="N436">
        <f>VLOOKUP(A436,DB!A:I,5,FALSE)</f>
        <v>4.3299999999999996E-3</v>
      </c>
      <c r="O436">
        <f>VLOOKUP(A436,DB!A:I,6,FALSE)</f>
        <v>2.9299999999999999E-3</v>
      </c>
      <c r="P436">
        <f>VLOOKUP(A436,DB!A:I,7,FALSE)</f>
        <v>1.4E-3</v>
      </c>
      <c r="Q436">
        <f>VLOOKUP(A436,DB!A:I,8,FALSE)</f>
        <v>0.81869999999999998</v>
      </c>
      <c r="R436">
        <f>VLOOKUP(A436,DB!A:I,9,FALSE)</f>
        <v>0.64139999999999997</v>
      </c>
      <c r="S436">
        <f>N436 *SQRT(H436)</f>
        <v>7.4997799967732375</v>
      </c>
      <c r="T436">
        <f>L436/N436</f>
        <v>181.7321016166282</v>
      </c>
    </row>
    <row r="437" spans="1:20" x14ac:dyDescent="0.25">
      <c r="A437" t="s">
        <v>722</v>
      </c>
      <c r="B437" t="s">
        <v>137</v>
      </c>
      <c r="C437" s="4">
        <v>0.12107999999999999</v>
      </c>
      <c r="D437" s="4">
        <v>0.371</v>
      </c>
      <c r="E437" s="4">
        <v>1.6483000000000001E-2</v>
      </c>
      <c r="F437" s="4">
        <v>0.28000000000000003</v>
      </c>
      <c r="G437">
        <v>3.5599999999999998E-3</v>
      </c>
      <c r="H437">
        <f>VLOOKUP(A437,DB!A:I,2,FALSE)</f>
        <v>3000000</v>
      </c>
      <c r="I437">
        <f>VLOOKUP(A437,'RE@CD'!A:D,2,FALSE)</f>
        <v>300000</v>
      </c>
      <c r="J437">
        <f>VLOOKUP(A437,'RE@CD'!A:D,3,FALSE)</f>
        <v>80000</v>
      </c>
      <c r="K437">
        <f>VLOOKUP(A437,'RE@CD'!A:D,4,FALSE)</f>
        <v>200000</v>
      </c>
      <c r="L437">
        <f>VLOOKUP(A437,DB!A:I,3,FALSE)</f>
        <v>8.48E-2</v>
      </c>
      <c r="M437">
        <f>VLOOKUP(A437,DB!A:I,4,FALSE)</f>
        <v>5.9999999999999995E-4</v>
      </c>
      <c r="N437">
        <f>VLOOKUP(A437,DB!A:I,5,FALSE)</f>
        <v>4.3099999999999996E-3</v>
      </c>
      <c r="O437">
        <f>VLOOKUP(A437,DB!A:I,6,FALSE)</f>
        <v>3.6900000000000001E-3</v>
      </c>
      <c r="P437">
        <f>VLOOKUP(A437,DB!A:I,7,FALSE)</f>
        <v>6.0999999999999997E-4</v>
      </c>
      <c r="Q437">
        <f>VLOOKUP(A437,DB!A:I,8,FALSE)</f>
        <v>0.51690000000000003</v>
      </c>
      <c r="R437">
        <f>VLOOKUP(A437,DB!A:I,9,FALSE)</f>
        <v>0.70860000000000001</v>
      </c>
      <c r="S437">
        <f>N437 *SQRT(H437)</f>
        <v>7.4651389806218598</v>
      </c>
      <c r="T437">
        <f>L437/N437</f>
        <v>19.675174013921115</v>
      </c>
    </row>
    <row r="438" spans="1:20" x14ac:dyDescent="0.25">
      <c r="A438" t="s">
        <v>1048</v>
      </c>
      <c r="B438" t="s">
        <v>459</v>
      </c>
      <c r="C438" s="4">
        <v>0.12997300000000001</v>
      </c>
      <c r="D438" s="4">
        <v>0.22500000000000001</v>
      </c>
      <c r="E438" s="4">
        <v>3.5164000000000001E-2</v>
      </c>
      <c r="F438" s="4">
        <v>0.22500000000000001</v>
      </c>
      <c r="G438">
        <v>2.47E-3</v>
      </c>
      <c r="H438">
        <f>VLOOKUP(A438,DB!A:I,2,FALSE)</f>
        <v>800000</v>
      </c>
      <c r="I438">
        <f>VLOOKUP(A438,'RE@CD'!A:D,2,FALSE)</f>
        <v>300000</v>
      </c>
      <c r="J438">
        <f>VLOOKUP(A438,'RE@CD'!A:D,3,FALSE)</f>
        <v>80000</v>
      </c>
      <c r="K438">
        <f>VLOOKUP(A438,'RE@CD'!A:D,4,FALSE)</f>
        <v>80000</v>
      </c>
      <c r="L438">
        <f>VLOOKUP(A438,DB!A:I,3,FALSE)</f>
        <v>0.1792</v>
      </c>
      <c r="M438">
        <f>VLOOKUP(A438,DB!A:I,4,FALSE)</f>
        <v>2.0000000000000001E-4</v>
      </c>
      <c r="N438">
        <f>VLOOKUP(A438,DB!A:I,5,FALSE)</f>
        <v>6.9699999999999996E-3</v>
      </c>
      <c r="O438">
        <f>VLOOKUP(A438,DB!A:I,6,FALSE)</f>
        <v>5.1000000000000004E-3</v>
      </c>
      <c r="P438">
        <f>VLOOKUP(A438,DB!A:I,7,FALSE)</f>
        <v>1.8600000000000001E-3</v>
      </c>
      <c r="Q438">
        <f>VLOOKUP(A438,DB!A:I,8,FALSE)</f>
        <v>0.35980000000000001</v>
      </c>
      <c r="R438">
        <f>VLOOKUP(A438,DB!A:I,9,FALSE)</f>
        <v>0.77139999999999997</v>
      </c>
      <c r="S438">
        <f>N438 *SQRT(H438)</f>
        <v>6.2341575212694131</v>
      </c>
      <c r="T438">
        <f>L438/N438</f>
        <v>25.710186513629843</v>
      </c>
    </row>
    <row r="439" spans="1:20" x14ac:dyDescent="0.25">
      <c r="A439" t="s">
        <v>1065</v>
      </c>
      <c r="B439" t="s">
        <v>476</v>
      </c>
      <c r="C439" s="4">
        <v>0.12545500000000001</v>
      </c>
      <c r="D439" s="4">
        <v>0.34100000000000003</v>
      </c>
      <c r="E439" s="4">
        <v>2.4063000000000001E-2</v>
      </c>
      <c r="F439" s="4">
        <v>0.495</v>
      </c>
      <c r="G439">
        <v>7.0400000000000003E-3</v>
      </c>
      <c r="H439">
        <f>VLOOKUP(A439,DB!A:I,2,FALSE)</f>
        <v>3000000</v>
      </c>
      <c r="I439">
        <f>VLOOKUP(A439,'RE@CD'!A:D,2,FALSE)</f>
        <v>275000</v>
      </c>
      <c r="J439">
        <f>VLOOKUP(A439,'RE@CD'!A:D,3,FALSE)</f>
        <v>125000</v>
      </c>
      <c r="K439">
        <f>VLOOKUP(A439,'RE@CD'!A:D,4,FALSE)</f>
        <v>175000</v>
      </c>
      <c r="L439">
        <f>VLOOKUP(A439,DB!A:I,3,FALSE)</f>
        <v>0.3448</v>
      </c>
      <c r="M439">
        <f>VLOOKUP(A439,DB!A:I,4,FALSE)</f>
        <v>-7.6700000000000004E-2</v>
      </c>
      <c r="N439">
        <f>VLOOKUP(A439,DB!A:I,5,FALSE)</f>
        <v>4.3099999999999996E-3</v>
      </c>
      <c r="O439">
        <f>VLOOKUP(A439,DB!A:I,6,FALSE)</f>
        <v>3.7000000000000002E-3</v>
      </c>
      <c r="P439">
        <f>VLOOKUP(A439,DB!A:I,7,FALSE)</f>
        <v>6.0999999999999997E-4</v>
      </c>
      <c r="Q439">
        <f>VLOOKUP(A439,DB!A:I,8,FALSE)</f>
        <v>0.62949999999999995</v>
      </c>
      <c r="R439">
        <f>VLOOKUP(A439,DB!A:I,9,FALSE)</f>
        <v>0.58960000000000001</v>
      </c>
      <c r="S439">
        <f>N439 *SQRT(H439)</f>
        <v>7.4651389806218598</v>
      </c>
      <c r="T439">
        <f>L439/N439</f>
        <v>80</v>
      </c>
    </row>
    <row r="440" spans="1:20" x14ac:dyDescent="0.25">
      <c r="A440" t="s">
        <v>804</v>
      </c>
      <c r="B440" t="s">
        <v>219</v>
      </c>
      <c r="C440" s="4">
        <v>0.11895699999999999</v>
      </c>
      <c r="D440" s="4">
        <v>0.27700000000000002</v>
      </c>
      <c r="E440" s="4">
        <v>3.1423E-2</v>
      </c>
      <c r="F440" s="4">
        <v>0.23</v>
      </c>
      <c r="G440">
        <v>6.5199999999999998E-3</v>
      </c>
      <c r="H440">
        <f>VLOOKUP(A440,DB!A:I,2,FALSE)</f>
        <v>850000</v>
      </c>
      <c r="I440">
        <f>VLOOKUP(A440,'RE@CD'!A:D,2,FALSE)</f>
        <v>425000</v>
      </c>
      <c r="J440">
        <f>VLOOKUP(A440,'RE@CD'!A:D,3,FALSE)</f>
        <v>80000</v>
      </c>
      <c r="K440">
        <f>VLOOKUP(A440,'RE@CD'!A:D,4,FALSE)</f>
        <v>90000</v>
      </c>
      <c r="L440">
        <f>VLOOKUP(A440,DB!A:I,3,FALSE)</f>
        <v>7.0199999999999999E-2</v>
      </c>
      <c r="M440">
        <f>VLOOKUP(A440,DB!A:I,4,FALSE)</f>
        <v>2.3800000000000002E-2</v>
      </c>
      <c r="N440">
        <f>VLOOKUP(A440,DB!A:I,5,FALSE)</f>
        <v>6.3499999999999997E-3</v>
      </c>
      <c r="O440">
        <f>VLOOKUP(A440,DB!A:I,6,FALSE)</f>
        <v>4.7400000000000003E-3</v>
      </c>
      <c r="P440">
        <f>VLOOKUP(A440,DB!A:I,7,FALSE)</f>
        <v>1.6199999999999999E-3</v>
      </c>
      <c r="Q440">
        <f>VLOOKUP(A440,DB!A:I,8,FALSE)</f>
        <v>0.41160000000000002</v>
      </c>
      <c r="R440">
        <f>VLOOKUP(A440,DB!A:I,9,FALSE)</f>
        <v>0.84560000000000002</v>
      </c>
      <c r="S440">
        <f>N440 *SQRT(H440)</f>
        <v>5.8544107303809829</v>
      </c>
      <c r="T440">
        <f>L440/N440</f>
        <v>11.05511811023622</v>
      </c>
    </row>
    <row r="441" spans="1:20" x14ac:dyDescent="0.25">
      <c r="A441" t="s">
        <v>632</v>
      </c>
      <c r="B441" t="s">
        <v>47</v>
      </c>
      <c r="C441" s="4">
        <v>0.14999000000000001</v>
      </c>
      <c r="D441" s="4">
        <v>0.40200000000000002</v>
      </c>
      <c r="E441" s="4">
        <v>3.2807999999999997E-2</v>
      </c>
      <c r="F441" s="4">
        <v>0.435</v>
      </c>
      <c r="G441">
        <v>7.2300000000000003E-3</v>
      </c>
      <c r="H441">
        <f>VLOOKUP(A441,DB!A:I,2,FALSE)</f>
        <v>3000000</v>
      </c>
      <c r="I441">
        <f>VLOOKUP(A441,'RE@CD'!A:D,2,FALSE)</f>
        <v>525000</v>
      </c>
      <c r="J441">
        <f>VLOOKUP(A441,'RE@CD'!A:D,3,FALSE)</f>
        <v>200000</v>
      </c>
      <c r="K441">
        <f>VLOOKUP(A441,'RE@CD'!A:D,4,FALSE)</f>
        <v>375000</v>
      </c>
      <c r="L441">
        <f>VLOOKUP(A441,DB!A:I,3,FALSE)</f>
        <v>0.47489999999999999</v>
      </c>
      <c r="M441">
        <f>VLOOKUP(A441,DB!A:I,4,FALSE)</f>
        <v>-0.107</v>
      </c>
      <c r="N441">
        <f>VLOOKUP(A441,DB!A:I,5,FALSE)</f>
        <v>4.28E-3</v>
      </c>
      <c r="O441">
        <f>VLOOKUP(A441,DB!A:I,6,FALSE)</f>
        <v>3.4199999999999999E-3</v>
      </c>
      <c r="P441">
        <f>VLOOKUP(A441,DB!A:I,7,FALSE)</f>
        <v>8.5999999999999998E-4</v>
      </c>
      <c r="Q441">
        <f>VLOOKUP(A441,DB!A:I,8,FALSE)</f>
        <v>0.64239999999999997</v>
      </c>
      <c r="R441">
        <f>VLOOKUP(A441,DB!A:I,9,FALSE)</f>
        <v>0.70320000000000005</v>
      </c>
      <c r="S441">
        <f>N441 *SQRT(H441)</f>
        <v>7.4131774563947941</v>
      </c>
      <c r="T441">
        <f>L441/N441</f>
        <v>110.95794392523365</v>
      </c>
    </row>
    <row r="442" spans="1:20" x14ac:dyDescent="0.25">
      <c r="A442" t="s">
        <v>721</v>
      </c>
      <c r="B442" t="s">
        <v>136</v>
      </c>
      <c r="C442" s="4">
        <v>0.12236</v>
      </c>
      <c r="D442" s="4">
        <v>0.36899999999999999</v>
      </c>
      <c r="E442" s="4">
        <v>1.5417E-2</v>
      </c>
      <c r="F442" s="4">
        <v>0.27200000000000002</v>
      </c>
      <c r="G442">
        <v>2.31E-3</v>
      </c>
      <c r="H442">
        <f>VLOOKUP(A442,DB!A:I,2,FALSE)</f>
        <v>3000000</v>
      </c>
      <c r="I442">
        <f>VLOOKUP(A442,'RE@CD'!A:D,2,FALSE)</f>
        <v>300000</v>
      </c>
      <c r="J442">
        <f>VLOOKUP(A442,'RE@CD'!A:D,3,FALSE)</f>
        <v>80000</v>
      </c>
      <c r="K442">
        <f>VLOOKUP(A442,'RE@CD'!A:D,4,FALSE)</f>
        <v>225000</v>
      </c>
      <c r="L442">
        <f>VLOOKUP(A442,DB!A:I,3,FALSE)</f>
        <v>0.1041</v>
      </c>
      <c r="M442">
        <f>VLOOKUP(A442,DB!A:I,4,FALSE)</f>
        <v>-6.3E-3</v>
      </c>
      <c r="N442">
        <f>VLOOKUP(A442,DB!A:I,5,FALSE)</f>
        <v>4.28E-3</v>
      </c>
      <c r="O442">
        <f>VLOOKUP(A442,DB!A:I,6,FALSE)</f>
        <v>3.65E-3</v>
      </c>
      <c r="P442">
        <f>VLOOKUP(A442,DB!A:I,7,FALSE)</f>
        <v>6.2E-4</v>
      </c>
      <c r="Q442">
        <f>VLOOKUP(A442,DB!A:I,8,FALSE)</f>
        <v>0.51729999999999998</v>
      </c>
      <c r="R442">
        <f>VLOOKUP(A442,DB!A:I,9,FALSE)</f>
        <v>0.72629999999999995</v>
      </c>
      <c r="S442">
        <f>N442 *SQRT(H442)</f>
        <v>7.4131774563947941</v>
      </c>
      <c r="T442">
        <f>L442/N442</f>
        <v>24.322429906542055</v>
      </c>
    </row>
    <row r="443" spans="1:20" x14ac:dyDescent="0.25">
      <c r="A443" t="s">
        <v>750</v>
      </c>
      <c r="B443" t="s">
        <v>165</v>
      </c>
      <c r="C443" s="4">
        <v>0.13355</v>
      </c>
      <c r="D443" s="4">
        <v>0.38600000000000001</v>
      </c>
      <c r="E443" s="4">
        <v>4.3220000000000001E-2</v>
      </c>
      <c r="F443" s="4">
        <v>0.41099999999999998</v>
      </c>
      <c r="G443">
        <v>2.2899999999999999E-3</v>
      </c>
      <c r="H443">
        <f>VLOOKUP(A443,DB!A:I,2,FALSE)</f>
        <v>2900000</v>
      </c>
      <c r="I443">
        <f>VLOOKUP(A443,'RE@CD'!A:D,2,FALSE)</f>
        <v>375000</v>
      </c>
      <c r="J443">
        <f>VLOOKUP(A443,'RE@CD'!A:D,3,FALSE)</f>
        <v>150000</v>
      </c>
      <c r="K443">
        <f>VLOOKUP(A443,'RE@CD'!A:D,4,FALSE)</f>
        <v>250000</v>
      </c>
      <c r="L443">
        <f>VLOOKUP(A443,DB!A:I,3,FALSE)</f>
        <v>0.51149999999999995</v>
      </c>
      <c r="M443">
        <f>VLOOKUP(A443,DB!A:I,4,FALSE)</f>
        <v>-0.1022</v>
      </c>
      <c r="N443">
        <f>VLOOKUP(A443,DB!A:I,5,FALSE)</f>
        <v>4.28E-3</v>
      </c>
      <c r="O443">
        <f>VLOOKUP(A443,DB!A:I,6,FALSE)</f>
        <v>3.4299999999999999E-3</v>
      </c>
      <c r="P443">
        <f>VLOOKUP(A443,DB!A:I,7,FALSE)</f>
        <v>8.4999999999999995E-4</v>
      </c>
      <c r="Q443">
        <f>VLOOKUP(A443,DB!A:I,8,FALSE)</f>
        <v>0.61429999999999996</v>
      </c>
      <c r="R443">
        <f>VLOOKUP(A443,DB!A:I,9,FALSE)</f>
        <v>0.72499999999999998</v>
      </c>
      <c r="S443">
        <f>N443 *SQRT(H443)</f>
        <v>7.2885773646164989</v>
      </c>
      <c r="T443">
        <f>L443/N443</f>
        <v>119.50934579439252</v>
      </c>
    </row>
    <row r="444" spans="1:20" x14ac:dyDescent="0.25">
      <c r="A444" t="s">
        <v>816</v>
      </c>
      <c r="B444" t="s">
        <v>231</v>
      </c>
      <c r="C444" s="4">
        <v>0.16622799999999999</v>
      </c>
      <c r="D444" s="4">
        <v>0.44600000000000001</v>
      </c>
      <c r="E444" s="4">
        <v>2.7338999999999999E-2</v>
      </c>
      <c r="F444" s="4">
        <v>0.40699999999999997</v>
      </c>
      <c r="G444">
        <v>8.4600000000000005E-3</v>
      </c>
      <c r="H444">
        <f>VLOOKUP(A444,DB!A:I,2,FALSE)</f>
        <v>3000000</v>
      </c>
      <c r="I444">
        <f>VLOOKUP(A444,'RE@CD'!A:D,2,FALSE)</f>
        <v>750000</v>
      </c>
      <c r="J444">
        <f>VLOOKUP(A444,'RE@CD'!A:D,3,FALSE)</f>
        <v>275000</v>
      </c>
      <c r="K444">
        <f>VLOOKUP(A444,'RE@CD'!A:D,4,FALSE)</f>
        <v>550000</v>
      </c>
      <c r="L444">
        <f>VLOOKUP(A444,DB!A:I,3,FALSE)</f>
        <v>0.40799999999999997</v>
      </c>
      <c r="M444">
        <f>VLOOKUP(A444,DB!A:I,4,FALSE)</f>
        <v>-8.8099999999999998E-2</v>
      </c>
      <c r="N444">
        <f>VLOOKUP(A444,DB!A:I,5,FALSE)</f>
        <v>4.28E-3</v>
      </c>
      <c r="O444">
        <f>VLOOKUP(A444,DB!A:I,6,FALSE)</f>
        <v>3.1900000000000001E-3</v>
      </c>
      <c r="P444">
        <f>VLOOKUP(A444,DB!A:I,7,FALSE)</f>
        <v>1.09E-3</v>
      </c>
      <c r="Q444">
        <f>VLOOKUP(A444,DB!A:I,8,FALSE)</f>
        <v>0.66679999999999995</v>
      </c>
      <c r="R444">
        <f>VLOOKUP(A444,DB!A:I,9,FALSE)</f>
        <v>0.75449999999999995</v>
      </c>
      <c r="S444">
        <f>N444 *SQRT(H444)</f>
        <v>7.4131774563947941</v>
      </c>
      <c r="T444">
        <f>L444/N444</f>
        <v>95.327102803738313</v>
      </c>
    </row>
    <row r="445" spans="1:20" x14ac:dyDescent="0.25">
      <c r="A445" t="s">
        <v>979</v>
      </c>
      <c r="B445" t="s">
        <v>390</v>
      </c>
      <c r="C445" s="4">
        <v>9.9651000000000003E-2</v>
      </c>
      <c r="D445" s="4">
        <v>0.35</v>
      </c>
      <c r="E445" s="4">
        <v>2.4691999999999999E-2</v>
      </c>
      <c r="F445" s="4">
        <v>0.5</v>
      </c>
      <c r="G445">
        <v>3.2100000000000002E-3</v>
      </c>
      <c r="H445">
        <f>VLOOKUP(A445,DB!A:I,2,FALSE)</f>
        <v>3000000</v>
      </c>
      <c r="I445">
        <f>VLOOKUP(A445,'RE@CD'!A:D,2,FALSE)</f>
        <v>225000</v>
      </c>
      <c r="J445">
        <f>VLOOKUP(A445,'RE@CD'!A:D,3,FALSE)</f>
        <v>90000</v>
      </c>
      <c r="K445">
        <f>VLOOKUP(A445,'RE@CD'!A:D,4,FALSE)</f>
        <v>175000</v>
      </c>
      <c r="L445">
        <f>VLOOKUP(A445,DB!A:I,3,FALSE)</f>
        <v>0.35020000000000001</v>
      </c>
      <c r="M445">
        <f>VLOOKUP(A445,DB!A:I,4,FALSE)</f>
        <v>-7.6200000000000004E-2</v>
      </c>
      <c r="N445">
        <f>VLOOKUP(A445,DB!A:I,5,FALSE)</f>
        <v>4.28E-3</v>
      </c>
      <c r="O445">
        <f>VLOOKUP(A445,DB!A:I,6,FALSE)</f>
        <v>3.82E-3</v>
      </c>
      <c r="P445">
        <f>VLOOKUP(A445,DB!A:I,7,FALSE)</f>
        <v>4.6000000000000001E-4</v>
      </c>
      <c r="Q445">
        <f>VLOOKUP(A445,DB!A:I,8,FALSE)</f>
        <v>0.62539999999999996</v>
      </c>
      <c r="R445">
        <f>VLOOKUP(A445,DB!A:I,9,FALSE)</f>
        <v>0.54990000000000006</v>
      </c>
      <c r="S445">
        <f>N445 *SQRT(H445)</f>
        <v>7.4131774563947941</v>
      </c>
      <c r="T445">
        <f>L445/N445</f>
        <v>81.822429906542055</v>
      </c>
    </row>
    <row r="446" spans="1:20" x14ac:dyDescent="0.25">
      <c r="A446" t="s">
        <v>938</v>
      </c>
      <c r="B446" t="s">
        <v>349</v>
      </c>
      <c r="C446" s="4">
        <v>0.15107999999999999</v>
      </c>
      <c r="D446" s="4">
        <v>0.435</v>
      </c>
      <c r="E446" s="4">
        <v>4.3189999999999999E-2</v>
      </c>
      <c r="F446" s="4">
        <v>0.435</v>
      </c>
      <c r="G446">
        <v>6.0000000000000001E-3</v>
      </c>
      <c r="H446">
        <f>VLOOKUP(A446,DB!A:I,2,FALSE)</f>
        <v>2900000</v>
      </c>
      <c r="I446">
        <f>VLOOKUP(A446,'RE@CD'!A:D,2,FALSE)</f>
        <v>625000</v>
      </c>
      <c r="J446">
        <f>VLOOKUP(A446,'RE@CD'!A:D,3,FALSE)</f>
        <v>300000</v>
      </c>
      <c r="K446">
        <f>VLOOKUP(A446,'RE@CD'!A:D,4,FALSE)</f>
        <v>475000</v>
      </c>
      <c r="L446">
        <f>VLOOKUP(A446,DB!A:I,3,FALSE)</f>
        <v>0.38969999999999999</v>
      </c>
      <c r="M446">
        <f>VLOOKUP(A446,DB!A:I,4,FALSE)</f>
        <v>-7.9299999999999995E-2</v>
      </c>
      <c r="N446">
        <f>VLOOKUP(A446,DB!A:I,5,FALSE)</f>
        <v>4.2700000000000004E-3</v>
      </c>
      <c r="O446">
        <f>VLOOKUP(A446,DB!A:I,6,FALSE)</f>
        <v>3.3800000000000002E-3</v>
      </c>
      <c r="P446">
        <f>VLOOKUP(A446,DB!A:I,7,FALSE)</f>
        <v>8.8999999999999995E-4</v>
      </c>
      <c r="Q446">
        <f>VLOOKUP(A446,DB!A:I,8,FALSE)</f>
        <v>0.64470000000000005</v>
      </c>
      <c r="R446">
        <f>VLOOKUP(A446,DB!A:I,9,FALSE)</f>
        <v>0.71450000000000002</v>
      </c>
      <c r="S446">
        <f>N446 *SQRT(H446)</f>
        <v>7.2715479782505739</v>
      </c>
      <c r="T446">
        <f>L446/N446</f>
        <v>91.264637002341914</v>
      </c>
    </row>
    <row r="447" spans="1:20" x14ac:dyDescent="0.25">
      <c r="A447" t="s">
        <v>1034</v>
      </c>
      <c r="B447" t="s">
        <v>445</v>
      </c>
      <c r="C447" s="4">
        <v>8.6975999999999998E-2</v>
      </c>
      <c r="D447" s="4">
        <v>0.30099999999999999</v>
      </c>
      <c r="E447" s="4">
        <v>2.4003E-2</v>
      </c>
      <c r="F447" s="4">
        <v>0.44400000000000001</v>
      </c>
      <c r="G447">
        <v>1.83E-3</v>
      </c>
      <c r="H447">
        <f>VLOOKUP(A447,DB!A:I,2,FALSE)</f>
        <v>1200000</v>
      </c>
      <c r="I447">
        <f>VLOOKUP(A447,'RE@CD'!A:D,2,FALSE)</f>
        <v>175000</v>
      </c>
      <c r="J447">
        <f>VLOOKUP(A447,'RE@CD'!A:D,3,FALSE)</f>
        <v>50000</v>
      </c>
      <c r="K447">
        <f>VLOOKUP(A447,'RE@CD'!A:D,4,FALSE)</f>
        <v>125000</v>
      </c>
      <c r="L447">
        <f>VLOOKUP(A447,DB!A:I,3,FALSE)</f>
        <v>0.2762</v>
      </c>
      <c r="M447">
        <f>VLOOKUP(A447,DB!A:I,4,FALSE)</f>
        <v>-5.6899999999999999E-2</v>
      </c>
      <c r="N447">
        <f>VLOOKUP(A447,DB!A:I,5,FALSE)</f>
        <v>4.2700000000000004E-3</v>
      </c>
      <c r="O447">
        <f>VLOOKUP(A447,DB!A:I,6,FALSE)</f>
        <v>3.5200000000000001E-3</v>
      </c>
      <c r="P447">
        <f>VLOOKUP(A447,DB!A:I,7,FALSE)</f>
        <v>7.5000000000000002E-4</v>
      </c>
      <c r="Q447">
        <f>VLOOKUP(A447,DB!A:I,8,FALSE)</f>
        <v>0.71819999999999995</v>
      </c>
      <c r="R447">
        <f>VLOOKUP(A447,DB!A:I,9,FALSE)</f>
        <v>0.80349999999999999</v>
      </c>
      <c r="S447">
        <f>N447 *SQRT(H447)</f>
        <v>4.6775506410941192</v>
      </c>
      <c r="T447">
        <f>L447/N447</f>
        <v>64.683840749414514</v>
      </c>
    </row>
    <row r="448" spans="1:20" x14ac:dyDescent="0.25">
      <c r="A448" t="s">
        <v>982</v>
      </c>
      <c r="B448" t="s">
        <v>393</v>
      </c>
      <c r="C448" s="4">
        <v>7.9690999999999998E-2</v>
      </c>
      <c r="D448" s="4">
        <v>0.35</v>
      </c>
      <c r="E448" s="4">
        <v>2.4715999999999998E-2</v>
      </c>
      <c r="F448" s="4">
        <v>0.5</v>
      </c>
      <c r="G448">
        <v>2.0100000000000001E-3</v>
      </c>
      <c r="H448">
        <f>VLOOKUP(A448,DB!A:I,2,FALSE)</f>
        <v>1700000</v>
      </c>
      <c r="I448">
        <f>VLOOKUP(A448,'RE@CD'!A:D,2,FALSE)</f>
        <v>200000</v>
      </c>
      <c r="J448">
        <f>VLOOKUP(A448,'RE@CD'!A:D,3,FALSE)</f>
        <v>50000</v>
      </c>
      <c r="K448">
        <f>VLOOKUP(A448,'RE@CD'!A:D,4,FALSE)</f>
        <v>150000</v>
      </c>
      <c r="L448">
        <f>VLOOKUP(A448,DB!A:I,3,FALSE)</f>
        <v>0.34820000000000001</v>
      </c>
      <c r="M448">
        <f>VLOOKUP(A448,DB!A:I,4,FALSE)</f>
        <v>-7.6700000000000004E-2</v>
      </c>
      <c r="N448">
        <f>VLOOKUP(A448,DB!A:I,5,FALSE)</f>
        <v>4.2599999999999999E-3</v>
      </c>
      <c r="O448">
        <f>VLOOKUP(A448,DB!A:I,6,FALSE)</f>
        <v>3.7499999999999999E-3</v>
      </c>
      <c r="P448">
        <f>VLOOKUP(A448,DB!A:I,7,FALSE)</f>
        <v>5.1000000000000004E-4</v>
      </c>
      <c r="Q448">
        <f>VLOOKUP(A448,DB!A:I,8,FALSE)</f>
        <v>0.71799999999999997</v>
      </c>
      <c r="R448">
        <f>VLOOKUP(A448,DB!A:I,9,FALSE)</f>
        <v>0.64770000000000005</v>
      </c>
      <c r="S448">
        <f>N448 *SQRT(H448)</f>
        <v>5.5543604492326564</v>
      </c>
      <c r="T448">
        <f>L448/N448</f>
        <v>81.737089201877936</v>
      </c>
    </row>
    <row r="449" spans="1:20" x14ac:dyDescent="0.25">
      <c r="A449" t="s">
        <v>760</v>
      </c>
      <c r="B449" t="s">
        <v>175</v>
      </c>
      <c r="C449" s="4">
        <v>0.15672700000000001</v>
      </c>
      <c r="D449" s="4">
        <v>0.433</v>
      </c>
      <c r="E449" s="4">
        <v>1.5350000000000001E-2</v>
      </c>
      <c r="F449" s="4">
        <v>0.34</v>
      </c>
      <c r="G449">
        <v>2.0899999999999998E-3</v>
      </c>
      <c r="H449">
        <f>VLOOKUP(A449,DB!A:I,2,FALSE)</f>
        <v>3000000</v>
      </c>
      <c r="I449">
        <f>VLOOKUP(A449,'RE@CD'!A:D,2,FALSE)</f>
        <v>550000</v>
      </c>
      <c r="J449">
        <f>VLOOKUP(A449,'RE@CD'!A:D,3,FALSE)</f>
        <v>225000</v>
      </c>
      <c r="K449">
        <f>VLOOKUP(A449,'RE@CD'!A:D,4,FALSE)</f>
        <v>375000</v>
      </c>
      <c r="L449">
        <f>VLOOKUP(A449,DB!A:I,3,FALSE)</f>
        <v>0.1318</v>
      </c>
      <c r="M449">
        <f>VLOOKUP(A449,DB!A:I,4,FALSE)</f>
        <v>-1.9E-2</v>
      </c>
      <c r="N449">
        <f>VLOOKUP(A449,DB!A:I,5,FALSE)</f>
        <v>4.2500000000000003E-3</v>
      </c>
      <c r="O449">
        <f>VLOOKUP(A449,DB!A:I,6,FALSE)</f>
        <v>3.49E-3</v>
      </c>
      <c r="P449">
        <f>VLOOKUP(A449,DB!A:I,7,FALSE)</f>
        <v>7.6000000000000004E-4</v>
      </c>
      <c r="Q449">
        <f>VLOOKUP(A449,DB!A:I,8,FALSE)</f>
        <v>0.63090000000000002</v>
      </c>
      <c r="R449">
        <f>VLOOKUP(A449,DB!A:I,9,FALSE)</f>
        <v>0.70920000000000005</v>
      </c>
      <c r="S449">
        <f>N449 *SQRT(H449)</f>
        <v>7.3612159321677284</v>
      </c>
      <c r="T449">
        <f>L449/N449</f>
        <v>31.011764705882349</v>
      </c>
    </row>
    <row r="450" spans="1:20" x14ac:dyDescent="0.25">
      <c r="A450" t="s">
        <v>980</v>
      </c>
      <c r="B450" t="s">
        <v>391</v>
      </c>
      <c r="C450" s="4">
        <v>0.110002</v>
      </c>
      <c r="D450" s="4">
        <v>0.33900000000000002</v>
      </c>
      <c r="E450" s="4">
        <v>2.445E-2</v>
      </c>
      <c r="F450" s="4">
        <v>0.5</v>
      </c>
      <c r="G450">
        <v>2.7000000000000001E-3</v>
      </c>
      <c r="H450">
        <f>VLOOKUP(A450,DB!A:I,2,FALSE)</f>
        <v>3000000</v>
      </c>
      <c r="I450">
        <f>VLOOKUP(A450,'RE@CD'!A:D,2,FALSE)</f>
        <v>250000</v>
      </c>
      <c r="J450">
        <f>VLOOKUP(A450,'RE@CD'!A:D,3,FALSE)</f>
        <v>100000</v>
      </c>
      <c r="K450">
        <f>VLOOKUP(A450,'RE@CD'!A:D,4,FALSE)</f>
        <v>175000</v>
      </c>
      <c r="L450">
        <f>VLOOKUP(A450,DB!A:I,3,FALSE)</f>
        <v>0.35270000000000001</v>
      </c>
      <c r="M450">
        <f>VLOOKUP(A450,DB!A:I,4,FALSE)</f>
        <v>-7.6399999999999996E-2</v>
      </c>
      <c r="N450">
        <f>VLOOKUP(A450,DB!A:I,5,FALSE)</f>
        <v>4.2500000000000003E-3</v>
      </c>
      <c r="O450">
        <f>VLOOKUP(A450,DB!A:I,6,FALSE)</f>
        <v>3.7299999999999998E-3</v>
      </c>
      <c r="P450">
        <f>VLOOKUP(A450,DB!A:I,7,FALSE)</f>
        <v>5.2999999999999998E-4</v>
      </c>
      <c r="Q450">
        <f>VLOOKUP(A450,DB!A:I,8,FALSE)</f>
        <v>0.62150000000000005</v>
      </c>
      <c r="R450">
        <f>VLOOKUP(A450,DB!A:I,9,FALSE)</f>
        <v>0.58260000000000001</v>
      </c>
      <c r="S450">
        <f>N450 *SQRT(H450)</f>
        <v>7.3612159321677284</v>
      </c>
      <c r="T450">
        <f>L450/N450</f>
        <v>82.988235294117644</v>
      </c>
    </row>
    <row r="451" spans="1:20" x14ac:dyDescent="0.25">
      <c r="A451" t="s">
        <v>1139</v>
      </c>
      <c r="B451" t="s">
        <v>550</v>
      </c>
      <c r="C451" s="4">
        <v>8.9615E-2</v>
      </c>
      <c r="D451" s="4">
        <v>0.35199999999999998</v>
      </c>
      <c r="E451" s="4">
        <v>2.8149E-2</v>
      </c>
      <c r="F451" s="4">
        <v>0.44800000000000001</v>
      </c>
      <c r="G451">
        <v>4.3400000000000001E-3</v>
      </c>
      <c r="H451">
        <f>VLOOKUP(A451,DB!A:I,2,FALSE)</f>
        <v>1150000</v>
      </c>
      <c r="I451">
        <f>VLOOKUP(A451,'RE@CD'!A:D,2,FALSE)</f>
        <v>225000</v>
      </c>
      <c r="J451">
        <f>VLOOKUP(A451,'RE@CD'!A:D,3,FALSE)</f>
        <v>90000</v>
      </c>
      <c r="K451">
        <f>VLOOKUP(A451,'RE@CD'!A:D,4,FALSE)</f>
        <v>175000</v>
      </c>
      <c r="L451">
        <f>VLOOKUP(A451,DB!A:I,3,FALSE)</f>
        <v>0.29349999999999998</v>
      </c>
      <c r="M451">
        <f>VLOOKUP(A451,DB!A:I,4,FALSE)</f>
        <v>-0.06</v>
      </c>
      <c r="N451">
        <f>VLOOKUP(A451,DB!A:I,5,FALSE)</f>
        <v>4.2500000000000003E-3</v>
      </c>
      <c r="O451">
        <f>VLOOKUP(A451,DB!A:I,6,FALSE)</f>
        <v>3.3700000000000002E-3</v>
      </c>
      <c r="P451">
        <f>VLOOKUP(A451,DB!A:I,7,FALSE)</f>
        <v>8.8999999999999995E-4</v>
      </c>
      <c r="Q451">
        <f>VLOOKUP(A451,DB!A:I,8,FALSE)</f>
        <v>0.73809999999999998</v>
      </c>
      <c r="R451">
        <f>VLOOKUP(A451,DB!A:I,9,FALSE)</f>
        <v>0.84619999999999995</v>
      </c>
      <c r="S451">
        <f>N451 *SQRT(H451)</f>
        <v>4.557617250274534</v>
      </c>
      <c r="T451">
        <f>L451/N451</f>
        <v>69.058823529411754</v>
      </c>
    </row>
    <row r="452" spans="1:20" x14ac:dyDescent="0.25">
      <c r="A452" t="s">
        <v>677</v>
      </c>
      <c r="B452" t="s">
        <v>92</v>
      </c>
      <c r="C452" s="4">
        <v>8.4694000000000005E-2</v>
      </c>
      <c r="D452" s="4">
        <v>0.32400000000000001</v>
      </c>
      <c r="E452" s="4">
        <v>1.7014999999999999E-2</v>
      </c>
      <c r="F452" s="4">
        <v>0.375</v>
      </c>
      <c r="G452">
        <v>4.0299999999999997E-3</v>
      </c>
      <c r="H452">
        <f>VLOOKUP(A452,DB!A:I,2,FALSE)</f>
        <v>1250000</v>
      </c>
      <c r="I452">
        <f>VLOOKUP(A452,'RE@CD'!A:D,2,FALSE)</f>
        <v>175000</v>
      </c>
      <c r="J452">
        <f>VLOOKUP(A452,'RE@CD'!A:D,3,FALSE)</f>
        <v>50000</v>
      </c>
      <c r="K452">
        <f>VLOOKUP(A452,'RE@CD'!A:D,4,FALSE)</f>
        <v>125000</v>
      </c>
      <c r="L452">
        <f>VLOOKUP(A452,DB!A:I,3,FALSE)</f>
        <v>3.8899999999999997E-2</v>
      </c>
      <c r="M452">
        <f>VLOOKUP(A452,DB!A:I,4,FALSE)</f>
        <v>5.3E-3</v>
      </c>
      <c r="N452">
        <f>VLOOKUP(A452,DB!A:I,5,FALSE)</f>
        <v>4.2300000000000003E-3</v>
      </c>
      <c r="O452">
        <f>VLOOKUP(A452,DB!A:I,6,FALSE)</f>
        <v>3.5100000000000001E-3</v>
      </c>
      <c r="P452">
        <f>VLOOKUP(A452,DB!A:I,7,FALSE)</f>
        <v>7.2000000000000005E-4</v>
      </c>
      <c r="Q452">
        <f>VLOOKUP(A452,DB!A:I,8,FALSE)</f>
        <v>0.61199999999999999</v>
      </c>
      <c r="R452">
        <f>VLOOKUP(A452,DB!A:I,9,FALSE)</f>
        <v>0.90190000000000003</v>
      </c>
      <c r="S452">
        <f>N452 *SQRT(H452)</f>
        <v>4.7292837724120558</v>
      </c>
      <c r="T452">
        <f>L452/N452</f>
        <v>9.1962174940898329</v>
      </c>
    </row>
    <row r="453" spans="1:20" x14ac:dyDescent="0.25">
      <c r="A453" t="s">
        <v>922</v>
      </c>
      <c r="B453" t="s">
        <v>336</v>
      </c>
      <c r="C453" s="4">
        <v>0.14133999999999999</v>
      </c>
      <c r="D453" s="4">
        <v>0.371</v>
      </c>
      <c r="E453" s="4">
        <v>3.3897999999999998E-2</v>
      </c>
      <c r="F453" s="4">
        <v>0.53300000000000003</v>
      </c>
      <c r="G453">
        <v>1.226E-2</v>
      </c>
      <c r="H453">
        <f>VLOOKUP(A453,DB!A:I,2,FALSE)</f>
        <v>3000000</v>
      </c>
      <c r="I453">
        <f>VLOOKUP(A453,'RE@CD'!A:D,2,FALSE)</f>
        <v>450000</v>
      </c>
      <c r="J453">
        <f>VLOOKUP(A453,'RE@CD'!A:D,3,FALSE)</f>
        <v>200000</v>
      </c>
      <c r="K453">
        <f>VLOOKUP(A453,'RE@CD'!A:D,4,FALSE)</f>
        <v>325000</v>
      </c>
      <c r="L453">
        <f>VLOOKUP(A453,DB!A:I,3,FALSE)</f>
        <v>0.53500000000000003</v>
      </c>
      <c r="M453">
        <f>VLOOKUP(A453,DB!A:I,4,FALSE)</f>
        <v>-0.1278</v>
      </c>
      <c r="N453">
        <f>VLOOKUP(A453,DB!A:I,5,FALSE)</f>
        <v>4.2300000000000003E-3</v>
      </c>
      <c r="O453">
        <f>VLOOKUP(A453,DB!A:I,6,FALSE)</f>
        <v>3.5300000000000002E-3</v>
      </c>
      <c r="P453">
        <f>VLOOKUP(A453,DB!A:I,7,FALSE)</f>
        <v>6.9999999999999999E-4</v>
      </c>
      <c r="Q453">
        <f>VLOOKUP(A453,DB!A:I,8,FALSE)</f>
        <v>0.68210000000000004</v>
      </c>
      <c r="R453">
        <f>VLOOKUP(A453,DB!A:I,9,FALSE)</f>
        <v>0.56059999999999999</v>
      </c>
      <c r="S453">
        <f>N453 *SQRT(H453)</f>
        <v>7.3265749160163507</v>
      </c>
      <c r="T453">
        <f>L453/N453</f>
        <v>126.4775413711584</v>
      </c>
    </row>
    <row r="454" spans="1:20" x14ac:dyDescent="0.25">
      <c r="A454" t="s">
        <v>1116</v>
      </c>
      <c r="B454" t="s">
        <v>527</v>
      </c>
      <c r="C454" s="4">
        <v>8.4043000000000007E-2</v>
      </c>
      <c r="D454" s="4">
        <v>0.27800000000000002</v>
      </c>
      <c r="E454" s="4">
        <v>2.5965999999999999E-2</v>
      </c>
      <c r="F454" s="4">
        <v>0.27800000000000002</v>
      </c>
      <c r="G454">
        <v>4.3400000000000001E-3</v>
      </c>
      <c r="H454">
        <f>VLOOKUP(A454,DB!A:I,2,FALSE)</f>
        <v>550000</v>
      </c>
      <c r="I454">
        <f>VLOOKUP(A454,'RE@CD'!A:D,2,FALSE)</f>
        <v>175000</v>
      </c>
      <c r="J454">
        <f>VLOOKUP(A454,'RE@CD'!A:D,3,FALSE)</f>
        <v>80000</v>
      </c>
      <c r="K454">
        <f>VLOOKUP(A454,'RE@CD'!A:D,4,FALSE)</f>
        <v>80000</v>
      </c>
      <c r="L454">
        <f>VLOOKUP(A454,DB!A:I,3,FALSE)</f>
        <v>0.12640000000000001</v>
      </c>
      <c r="M454">
        <f>VLOOKUP(A454,DB!A:I,4,FALSE)</f>
        <v>1E-4</v>
      </c>
      <c r="N454">
        <f>VLOOKUP(A454,DB!A:I,5,FALSE)</f>
        <v>5.9699999999999996E-3</v>
      </c>
      <c r="O454">
        <f>VLOOKUP(A454,DB!A:I,6,FALSE)</f>
        <v>4.2900000000000004E-3</v>
      </c>
      <c r="P454">
        <f>VLOOKUP(A454,DB!A:I,7,FALSE)</f>
        <v>1.67E-3</v>
      </c>
      <c r="Q454">
        <f>VLOOKUP(A454,DB!A:I,8,FALSE)</f>
        <v>0.5776</v>
      </c>
      <c r="R454">
        <f>VLOOKUP(A454,DB!A:I,9,FALSE)</f>
        <v>0.9677</v>
      </c>
      <c r="S454">
        <f>N454 *SQRT(H454)</f>
        <v>4.4274704967961105</v>
      </c>
      <c r="T454">
        <f>L454/N454</f>
        <v>21.172529313232832</v>
      </c>
    </row>
    <row r="455" spans="1:20" x14ac:dyDescent="0.25">
      <c r="A455" t="s">
        <v>635</v>
      </c>
      <c r="B455" t="s">
        <v>50</v>
      </c>
      <c r="C455" s="4">
        <v>0.15942100000000001</v>
      </c>
      <c r="D455" s="4">
        <v>0.40200000000000002</v>
      </c>
      <c r="E455" s="4">
        <v>3.8322000000000002E-2</v>
      </c>
      <c r="F455" s="4">
        <v>0.40200000000000002</v>
      </c>
      <c r="G455">
        <v>6.0000000000000001E-3</v>
      </c>
      <c r="H455">
        <f>VLOOKUP(A455,DB!A:I,2,FALSE)</f>
        <v>3000000</v>
      </c>
      <c r="I455">
        <f>VLOOKUP(A455,'RE@CD'!A:D,2,FALSE)</f>
        <v>650000</v>
      </c>
      <c r="J455">
        <f>VLOOKUP(A455,'RE@CD'!A:D,3,FALSE)</f>
        <v>250000</v>
      </c>
      <c r="K455">
        <f>VLOOKUP(A455,'RE@CD'!A:D,4,FALSE)</f>
        <v>450000</v>
      </c>
      <c r="L455">
        <f>VLOOKUP(A455,DB!A:I,3,FALSE)</f>
        <v>0.45200000000000001</v>
      </c>
      <c r="M455">
        <f>VLOOKUP(A455,DB!A:I,4,FALSE)</f>
        <v>-9.0899999999999995E-2</v>
      </c>
      <c r="N455">
        <f>VLOOKUP(A455,DB!A:I,5,FALSE)</f>
        <v>4.2199999999999998E-3</v>
      </c>
      <c r="O455">
        <f>VLOOKUP(A455,DB!A:I,6,FALSE)</f>
        <v>3.2000000000000002E-3</v>
      </c>
      <c r="P455">
        <f>VLOOKUP(A455,DB!A:I,7,FALSE)</f>
        <v>1.01E-3</v>
      </c>
      <c r="Q455">
        <f>VLOOKUP(A455,DB!A:I,8,FALSE)</f>
        <v>0.62509999999999999</v>
      </c>
      <c r="R455">
        <f>VLOOKUP(A455,DB!A:I,9,FALSE)</f>
        <v>0.78259999999999996</v>
      </c>
      <c r="S455">
        <f>N455 *SQRT(H455)</f>
        <v>7.3092544079406609</v>
      </c>
      <c r="T455">
        <f>L455/N455</f>
        <v>107.1090047393365</v>
      </c>
    </row>
    <row r="456" spans="1:20" x14ac:dyDescent="0.25">
      <c r="A456" t="s">
        <v>605</v>
      </c>
      <c r="B456" t="s">
        <v>20</v>
      </c>
      <c r="C456" s="4">
        <v>8.7258000000000002E-2</v>
      </c>
      <c r="D456" s="4">
        <v>0.27600000000000002</v>
      </c>
      <c r="E456" s="4">
        <v>2.3786000000000002E-2</v>
      </c>
      <c r="F456" s="4">
        <v>0.36799999999999999</v>
      </c>
      <c r="G456">
        <v>6.6E-3</v>
      </c>
      <c r="H456">
        <f>VLOOKUP(A456,DB!A:I,2,FALSE)</f>
        <v>3000000</v>
      </c>
      <c r="I456">
        <f>VLOOKUP(A456,'RE@CD'!A:D,2,FALSE)</f>
        <v>150000</v>
      </c>
      <c r="J456">
        <f>VLOOKUP(A456,'RE@CD'!A:D,3,FALSE)</f>
        <v>60000</v>
      </c>
      <c r="K456">
        <f>VLOOKUP(A456,'RE@CD'!A:D,4,FALSE)</f>
        <v>100000</v>
      </c>
      <c r="L456">
        <f>VLOOKUP(A456,DB!A:I,3,FALSE)</f>
        <v>0.41310000000000002</v>
      </c>
      <c r="M456">
        <f>VLOOKUP(A456,DB!A:I,4,FALSE)</f>
        <v>-4.4600000000000001E-2</v>
      </c>
      <c r="N456">
        <f>VLOOKUP(A456,DB!A:I,5,FALSE)</f>
        <v>4.2100000000000002E-3</v>
      </c>
      <c r="O456">
        <f>VLOOKUP(A456,DB!A:I,6,FALSE)</f>
        <v>3.3899999999999998E-3</v>
      </c>
      <c r="P456">
        <f>VLOOKUP(A456,DB!A:I,7,FALSE)</f>
        <v>8.1999999999999998E-4</v>
      </c>
      <c r="Q456">
        <f>VLOOKUP(A456,DB!A:I,8,FALSE)</f>
        <v>0.4294</v>
      </c>
      <c r="R456">
        <f>VLOOKUP(A456,DB!A:I,9,FALSE)</f>
        <v>0.9627</v>
      </c>
      <c r="S456">
        <f>N456 *SQRT(H456)</f>
        <v>7.291933899864973</v>
      </c>
      <c r="T456">
        <f>L456/N456</f>
        <v>98.123515439429923</v>
      </c>
    </row>
    <row r="457" spans="1:20" x14ac:dyDescent="0.25">
      <c r="A457" t="s">
        <v>626</v>
      </c>
      <c r="B457" t="s">
        <v>41</v>
      </c>
      <c r="C457" s="4">
        <v>0.12864999999999999</v>
      </c>
      <c r="D457" s="4">
        <v>0.40200000000000002</v>
      </c>
      <c r="E457" s="4">
        <v>4.0564999999999997E-2</v>
      </c>
      <c r="F457" s="4">
        <v>0.435</v>
      </c>
      <c r="G457">
        <v>3.65E-3</v>
      </c>
      <c r="H457">
        <f>VLOOKUP(A457,DB!A:I,2,FALSE)</f>
        <v>2200000</v>
      </c>
      <c r="I457">
        <f>VLOOKUP(A457,'RE@CD'!A:D,2,FALSE)</f>
        <v>400000</v>
      </c>
      <c r="J457">
        <f>VLOOKUP(A457,'RE@CD'!A:D,3,FALSE)</f>
        <v>150000</v>
      </c>
      <c r="K457">
        <f>VLOOKUP(A457,'RE@CD'!A:D,4,FALSE)</f>
        <v>275000</v>
      </c>
      <c r="L457">
        <f>VLOOKUP(A457,DB!A:I,3,FALSE)</f>
        <v>0.3226</v>
      </c>
      <c r="M457">
        <f>VLOOKUP(A457,DB!A:I,4,FALSE)</f>
        <v>-5.8500000000000003E-2</v>
      </c>
      <c r="N457">
        <f>VLOOKUP(A457,DB!A:I,5,FALSE)</f>
        <v>4.2100000000000002E-3</v>
      </c>
      <c r="O457">
        <f>VLOOKUP(A457,DB!A:I,6,FALSE)</f>
        <v>3.4199999999999999E-3</v>
      </c>
      <c r="P457">
        <f>VLOOKUP(A457,DB!A:I,7,FALSE)</f>
        <v>7.9000000000000001E-4</v>
      </c>
      <c r="Q457">
        <f>VLOOKUP(A457,DB!A:I,8,FALSE)</f>
        <v>0.65469999999999995</v>
      </c>
      <c r="R457">
        <f>VLOOKUP(A457,DB!A:I,9,FALSE)</f>
        <v>0.76819999999999999</v>
      </c>
      <c r="S457">
        <f>N457 *SQRT(H457)</f>
        <v>6.2444391261345489</v>
      </c>
      <c r="T457">
        <f>L457/N457</f>
        <v>76.627078384798097</v>
      </c>
    </row>
    <row r="458" spans="1:20" x14ac:dyDescent="0.25">
      <c r="A458" t="s">
        <v>630</v>
      </c>
      <c r="B458" t="s">
        <v>45</v>
      </c>
      <c r="C458" s="4">
        <v>0.14463100000000001</v>
      </c>
      <c r="D458" s="4">
        <v>0.40300000000000002</v>
      </c>
      <c r="E458" s="4">
        <v>4.2118000000000003E-2</v>
      </c>
      <c r="F458" s="4">
        <v>0.46700000000000003</v>
      </c>
      <c r="G458">
        <v>7.8100000000000001E-3</v>
      </c>
      <c r="H458">
        <f>VLOOKUP(A458,DB!A:I,2,FALSE)</f>
        <v>3000000</v>
      </c>
      <c r="I458">
        <f>VLOOKUP(A458,'RE@CD'!A:D,2,FALSE)</f>
        <v>550000</v>
      </c>
      <c r="J458">
        <f>VLOOKUP(A458,'RE@CD'!A:D,3,FALSE)</f>
        <v>250000</v>
      </c>
      <c r="K458">
        <f>VLOOKUP(A458,'RE@CD'!A:D,4,FALSE)</f>
        <v>425000</v>
      </c>
      <c r="L458">
        <f>VLOOKUP(A458,DB!A:I,3,FALSE)</f>
        <v>0.42909999999999998</v>
      </c>
      <c r="M458">
        <f>VLOOKUP(A458,DB!A:I,4,FALSE)</f>
        <v>-8.8499999999999995E-2</v>
      </c>
      <c r="N458">
        <f>VLOOKUP(A458,DB!A:I,5,FALSE)</f>
        <v>4.2100000000000002E-3</v>
      </c>
      <c r="O458">
        <f>VLOOKUP(A458,DB!A:I,6,FALSE)</f>
        <v>3.3999999999999998E-3</v>
      </c>
      <c r="P458">
        <f>VLOOKUP(A458,DB!A:I,7,FALSE)</f>
        <v>8.0999999999999996E-4</v>
      </c>
      <c r="Q458">
        <f>VLOOKUP(A458,DB!A:I,8,FALSE)</f>
        <v>0.65529999999999999</v>
      </c>
      <c r="R458">
        <f>VLOOKUP(A458,DB!A:I,9,FALSE)</f>
        <v>0.67469999999999997</v>
      </c>
      <c r="S458">
        <f>N458 *SQRT(H458)</f>
        <v>7.291933899864973</v>
      </c>
      <c r="T458">
        <f>L458/N458</f>
        <v>101.92399049881234</v>
      </c>
    </row>
    <row r="459" spans="1:20" x14ac:dyDescent="0.25">
      <c r="A459" t="s">
        <v>818</v>
      </c>
      <c r="B459" t="s">
        <v>233</v>
      </c>
      <c r="C459" s="4">
        <v>0.139044</v>
      </c>
      <c r="D459" s="4">
        <v>0.375</v>
      </c>
      <c r="E459" s="4">
        <v>3.9734999999999999E-2</v>
      </c>
      <c r="F459" s="4">
        <v>0.47799999999999998</v>
      </c>
      <c r="G459">
        <v>7.5000000000000002E-4</v>
      </c>
      <c r="H459">
        <f>VLOOKUP(A459,DB!A:I,2,FALSE)</f>
        <v>2500000</v>
      </c>
      <c r="I459">
        <f>VLOOKUP(A459,'RE@CD'!A:D,2,FALSE)</f>
        <v>500000</v>
      </c>
      <c r="J459">
        <f>VLOOKUP(A459,'RE@CD'!A:D,3,FALSE)</f>
        <v>225000</v>
      </c>
      <c r="K459">
        <f>VLOOKUP(A459,'RE@CD'!A:D,4,FALSE)</f>
        <v>375000</v>
      </c>
      <c r="L459">
        <f>VLOOKUP(A459,DB!A:I,3,FALSE)</f>
        <v>0.59219999999999995</v>
      </c>
      <c r="M459">
        <f>VLOOKUP(A459,DB!A:I,4,FALSE)</f>
        <v>-0.13589999999999999</v>
      </c>
      <c r="N459">
        <f>VLOOKUP(A459,DB!A:I,5,FALSE)</f>
        <v>4.2100000000000002E-3</v>
      </c>
      <c r="O459">
        <f>VLOOKUP(A459,DB!A:I,6,FALSE)</f>
        <v>3.3700000000000002E-3</v>
      </c>
      <c r="P459">
        <f>VLOOKUP(A459,DB!A:I,7,FALSE)</f>
        <v>8.4000000000000003E-4</v>
      </c>
      <c r="Q459">
        <f>VLOOKUP(A459,DB!A:I,8,FALSE)</f>
        <v>0.67469999999999997</v>
      </c>
      <c r="R459">
        <f>VLOOKUP(A459,DB!A:I,9,FALSE)</f>
        <v>0.71819999999999995</v>
      </c>
      <c r="S459">
        <f>N459 *SQRT(H459)</f>
        <v>6.6565944746544394</v>
      </c>
      <c r="T459">
        <f>L459/N459</f>
        <v>140.66508313539191</v>
      </c>
    </row>
    <row r="460" spans="1:20" x14ac:dyDescent="0.25">
      <c r="A460" t="s">
        <v>968</v>
      </c>
      <c r="B460" t="s">
        <v>379</v>
      </c>
      <c r="C460" s="4">
        <v>0.110001</v>
      </c>
      <c r="D460" s="4">
        <v>0.33900000000000002</v>
      </c>
      <c r="E460" s="4">
        <v>1.464E-2</v>
      </c>
      <c r="F460" s="4">
        <v>0.5</v>
      </c>
      <c r="G460">
        <v>4.3600000000000002E-3</v>
      </c>
      <c r="H460">
        <f>VLOOKUP(A460,DB!A:I,2,FALSE)</f>
        <v>3000000</v>
      </c>
      <c r="I460">
        <f>VLOOKUP(A460,'RE@CD'!A:D,2,FALSE)</f>
        <v>225000</v>
      </c>
      <c r="J460">
        <f>VLOOKUP(A460,'RE@CD'!A:D,3,FALSE)</f>
        <v>90000</v>
      </c>
      <c r="K460">
        <f>VLOOKUP(A460,'RE@CD'!A:D,4,FALSE)</f>
        <v>175000</v>
      </c>
      <c r="L460">
        <f>VLOOKUP(A460,DB!A:I,3,FALSE)</f>
        <v>0.21129999999999999</v>
      </c>
      <c r="M460">
        <f>VLOOKUP(A460,DB!A:I,4,FALSE)</f>
        <v>-4.5699999999999998E-2</v>
      </c>
      <c r="N460">
        <f>VLOOKUP(A460,DB!A:I,5,FALSE)</f>
        <v>4.2100000000000002E-3</v>
      </c>
      <c r="O460">
        <f>VLOOKUP(A460,DB!A:I,6,FALSE)</f>
        <v>3.7299999999999998E-3</v>
      </c>
      <c r="P460">
        <f>VLOOKUP(A460,DB!A:I,7,FALSE)</f>
        <v>4.8000000000000001E-4</v>
      </c>
      <c r="Q460">
        <f>VLOOKUP(A460,DB!A:I,8,FALSE)</f>
        <v>0.60119999999999996</v>
      </c>
      <c r="R460">
        <f>VLOOKUP(A460,DB!A:I,9,FALSE)</f>
        <v>0.60509999999999997</v>
      </c>
      <c r="S460">
        <f>N460 *SQRT(H460)</f>
        <v>7.291933899864973</v>
      </c>
      <c r="T460">
        <f>L460/N460</f>
        <v>50.190023752969118</v>
      </c>
    </row>
    <row r="461" spans="1:20" x14ac:dyDescent="0.25">
      <c r="A461" t="s">
        <v>1073</v>
      </c>
      <c r="B461" t="s">
        <v>484</v>
      </c>
      <c r="C461" s="4">
        <v>9.5001000000000002E-2</v>
      </c>
      <c r="D461" s="4">
        <v>0.31</v>
      </c>
      <c r="E461" s="4">
        <v>1.5211000000000001E-2</v>
      </c>
      <c r="F461" s="4">
        <v>0.36</v>
      </c>
      <c r="G461">
        <v>6.2399999999999999E-3</v>
      </c>
      <c r="H461">
        <f>VLOOKUP(A461,DB!A:I,2,FALSE)</f>
        <v>1950000</v>
      </c>
      <c r="I461">
        <f>VLOOKUP(A461,'RE@CD'!A:D,2,FALSE)</f>
        <v>200000</v>
      </c>
      <c r="J461">
        <f>VLOOKUP(A461,'RE@CD'!A:D,3,FALSE)</f>
        <v>50000</v>
      </c>
      <c r="K461">
        <f>VLOOKUP(A461,'RE@CD'!A:D,4,FALSE)</f>
        <v>150000</v>
      </c>
      <c r="L461">
        <f>VLOOKUP(A461,DB!A:I,3,FALSE)</f>
        <v>0.20169999999999999</v>
      </c>
      <c r="M461">
        <f>VLOOKUP(A461,DB!A:I,4,FALSE)</f>
        <v>-4.1300000000000003E-2</v>
      </c>
      <c r="N461">
        <f>VLOOKUP(A461,DB!A:I,5,FALSE)</f>
        <v>4.2100000000000002E-3</v>
      </c>
      <c r="O461">
        <f>VLOOKUP(A461,DB!A:I,6,FALSE)</f>
        <v>3.5799999999999998E-3</v>
      </c>
      <c r="P461">
        <f>VLOOKUP(A461,DB!A:I,7,FALSE)</f>
        <v>6.3000000000000003E-4</v>
      </c>
      <c r="Q461">
        <f>VLOOKUP(A461,DB!A:I,8,FALSE)</f>
        <v>0.6169</v>
      </c>
      <c r="R461">
        <f>VLOOKUP(A461,DB!A:I,9,FALSE)</f>
        <v>0.76349999999999996</v>
      </c>
      <c r="S461">
        <f>N461 *SQRT(H461)</f>
        <v>5.8789450584267247</v>
      </c>
      <c r="T461">
        <f>L461/N461</f>
        <v>47.909738717339664</v>
      </c>
    </row>
    <row r="462" spans="1:20" x14ac:dyDescent="0.25">
      <c r="A462" t="s">
        <v>607</v>
      </c>
      <c r="B462" t="s">
        <v>22</v>
      </c>
      <c r="C462" s="4">
        <v>7.7419000000000002E-2</v>
      </c>
      <c r="D462" s="4">
        <v>0.26300000000000001</v>
      </c>
      <c r="E462" s="4">
        <v>2.1839000000000001E-2</v>
      </c>
      <c r="F462" s="4">
        <v>0.35399999999999998</v>
      </c>
      <c r="G462">
        <v>5.1700000000000001E-3</v>
      </c>
      <c r="H462">
        <f>VLOOKUP(A462,DB!A:I,2,FALSE)</f>
        <v>3000000</v>
      </c>
      <c r="I462">
        <f>VLOOKUP(A462,'RE@CD'!A:D,2,FALSE)</f>
        <v>150000</v>
      </c>
      <c r="J462">
        <f>VLOOKUP(A462,'RE@CD'!A:D,3,FALSE)</f>
        <v>50000</v>
      </c>
      <c r="K462">
        <f>VLOOKUP(A462,'RE@CD'!A:D,4,FALSE)</f>
        <v>100000</v>
      </c>
      <c r="L462">
        <f>VLOOKUP(A462,DB!A:I,3,FALSE)</f>
        <v>0.37130000000000002</v>
      </c>
      <c r="M462">
        <f>VLOOKUP(A462,DB!A:I,4,FALSE)</f>
        <v>-4.3900000000000002E-2</v>
      </c>
      <c r="N462">
        <f>VLOOKUP(A462,DB!A:I,5,FALSE)</f>
        <v>4.1900000000000001E-3</v>
      </c>
      <c r="O462">
        <f>VLOOKUP(A462,DB!A:I,6,FALSE)</f>
        <v>3.3800000000000002E-3</v>
      </c>
      <c r="P462">
        <f>VLOOKUP(A462,DB!A:I,7,FALSE)</f>
        <v>8.0999999999999996E-4</v>
      </c>
      <c r="Q462">
        <f>VLOOKUP(A462,DB!A:I,8,FALSE)</f>
        <v>0.42280000000000001</v>
      </c>
      <c r="R462">
        <f>VLOOKUP(A462,DB!A:I,9,FALSE)</f>
        <v>0.97440000000000004</v>
      </c>
      <c r="S462">
        <f>N462 *SQRT(H462)</f>
        <v>7.2572928837135953</v>
      </c>
      <c r="T462">
        <f>L462/N462</f>
        <v>88.61575178997613</v>
      </c>
    </row>
    <row r="463" spans="1:20" x14ac:dyDescent="0.25">
      <c r="A463" t="s">
        <v>614</v>
      </c>
      <c r="B463" t="s">
        <v>29</v>
      </c>
      <c r="C463" s="4">
        <v>6.0838999999999997E-2</v>
      </c>
      <c r="D463" s="4">
        <v>0.23300000000000001</v>
      </c>
      <c r="E463" s="4">
        <v>1.6941999999999999E-2</v>
      </c>
      <c r="F463" s="4">
        <v>0.33</v>
      </c>
      <c r="G463">
        <v>3.8500000000000001E-3</v>
      </c>
      <c r="H463">
        <f>VLOOKUP(A463,DB!A:I,2,FALSE)</f>
        <v>1150000</v>
      </c>
      <c r="I463">
        <f>VLOOKUP(A463,'RE@CD'!A:D,2,FALSE)</f>
        <v>100000</v>
      </c>
      <c r="J463">
        <f>VLOOKUP(A463,'RE@CD'!A:D,3,FALSE)</f>
        <v>50000</v>
      </c>
      <c r="K463">
        <f>VLOOKUP(A463,'RE@CD'!A:D,4,FALSE)</f>
        <v>60000</v>
      </c>
      <c r="L463">
        <f>VLOOKUP(A463,DB!A:I,3,FALSE)</f>
        <v>0.15820000000000001</v>
      </c>
      <c r="M463">
        <f>VLOOKUP(A463,DB!A:I,4,FALSE)</f>
        <v>-2.64E-2</v>
      </c>
      <c r="N463">
        <f>VLOOKUP(A463,DB!A:I,5,FALSE)</f>
        <v>4.1900000000000001E-3</v>
      </c>
      <c r="O463">
        <f>VLOOKUP(A463,DB!A:I,6,FALSE)</f>
        <v>3.48E-3</v>
      </c>
      <c r="P463">
        <f>VLOOKUP(A463,DB!A:I,7,FALSE)</f>
        <v>7.2000000000000005E-4</v>
      </c>
      <c r="Q463">
        <f>VLOOKUP(A463,DB!A:I,8,FALSE)</f>
        <v>0.61260000000000003</v>
      </c>
      <c r="R463">
        <f>VLOOKUP(A463,DB!A:I,9,FALSE)</f>
        <v>0.93079999999999996</v>
      </c>
      <c r="S463">
        <f>N463 *SQRT(H463)</f>
        <v>4.4932744185059521</v>
      </c>
      <c r="T463">
        <f>L463/N463</f>
        <v>37.756563245823386</v>
      </c>
    </row>
    <row r="464" spans="1:20" x14ac:dyDescent="0.25">
      <c r="A464" t="s">
        <v>749</v>
      </c>
      <c r="B464" t="s">
        <v>164</v>
      </c>
      <c r="C464" s="4">
        <v>0.14216100000000001</v>
      </c>
      <c r="D464" s="4">
        <v>0.42399999999999999</v>
      </c>
      <c r="E464" s="4">
        <v>3.9814000000000002E-2</v>
      </c>
      <c r="F464" s="4">
        <v>0.42599999999999999</v>
      </c>
      <c r="G464">
        <v>2.4499999999999999E-3</v>
      </c>
      <c r="H464">
        <f>VLOOKUP(A464,DB!A:I,2,FALSE)</f>
        <v>3000000</v>
      </c>
      <c r="I464">
        <f>VLOOKUP(A464,'RE@CD'!A:D,2,FALSE)</f>
        <v>425000</v>
      </c>
      <c r="J464">
        <f>VLOOKUP(A464,'RE@CD'!A:D,3,FALSE)</f>
        <v>225000</v>
      </c>
      <c r="K464">
        <f>VLOOKUP(A464,'RE@CD'!A:D,4,FALSE)</f>
        <v>300000</v>
      </c>
      <c r="L464">
        <f>VLOOKUP(A464,DB!A:I,3,FALSE)</f>
        <v>0.61870000000000003</v>
      </c>
      <c r="M464">
        <f>VLOOKUP(A464,DB!A:I,4,FALSE)</f>
        <v>-0.1396</v>
      </c>
      <c r="N464">
        <f>VLOOKUP(A464,DB!A:I,5,FALSE)</f>
        <v>4.1900000000000001E-3</v>
      </c>
      <c r="O464">
        <f>VLOOKUP(A464,DB!A:I,6,FALSE)</f>
        <v>3.29E-3</v>
      </c>
      <c r="P464">
        <f>VLOOKUP(A464,DB!A:I,7,FALSE)</f>
        <v>8.9999999999999998E-4</v>
      </c>
      <c r="Q464">
        <f>VLOOKUP(A464,DB!A:I,8,FALSE)</f>
        <v>0.67320000000000002</v>
      </c>
      <c r="R464">
        <f>VLOOKUP(A464,DB!A:I,9,FALSE)</f>
        <v>0.70109999999999995</v>
      </c>
      <c r="S464">
        <f>N464 *SQRT(H464)</f>
        <v>7.2572928837135953</v>
      </c>
      <c r="T464">
        <f>L464/N464</f>
        <v>147.66109785202863</v>
      </c>
    </row>
    <row r="465" spans="1:20" x14ac:dyDescent="0.25">
      <c r="A465" t="s">
        <v>973</v>
      </c>
      <c r="B465" t="s">
        <v>384</v>
      </c>
      <c r="C465" s="4">
        <v>9.9700999999999998E-2</v>
      </c>
      <c r="D465" s="4">
        <v>0.35</v>
      </c>
      <c r="E465" s="4">
        <v>1.9644999999999999E-2</v>
      </c>
      <c r="F465" s="4">
        <v>0.5</v>
      </c>
      <c r="G465">
        <v>3.8500000000000001E-3</v>
      </c>
      <c r="H465">
        <f>VLOOKUP(A465,DB!A:I,2,FALSE)</f>
        <v>3000000</v>
      </c>
      <c r="I465">
        <f>VLOOKUP(A465,'RE@CD'!A:D,2,FALSE)</f>
        <v>225000</v>
      </c>
      <c r="J465">
        <f>VLOOKUP(A465,'RE@CD'!A:D,3,FALSE)</f>
        <v>60000</v>
      </c>
      <c r="K465">
        <f>VLOOKUP(A465,'RE@CD'!A:D,4,FALSE)</f>
        <v>150000</v>
      </c>
      <c r="L465">
        <f>VLOOKUP(A465,DB!A:I,3,FALSE)</f>
        <v>0.27950000000000003</v>
      </c>
      <c r="M465">
        <f>VLOOKUP(A465,DB!A:I,4,FALSE)</f>
        <v>-6.0600000000000001E-2</v>
      </c>
      <c r="N465">
        <f>VLOOKUP(A465,DB!A:I,5,FALSE)</f>
        <v>4.1900000000000001E-3</v>
      </c>
      <c r="O465">
        <f>VLOOKUP(A465,DB!A:I,6,FALSE)</f>
        <v>3.7399999999999998E-3</v>
      </c>
      <c r="P465">
        <f>VLOOKUP(A465,DB!A:I,7,FALSE)</f>
        <v>4.4999999999999999E-4</v>
      </c>
      <c r="Q465">
        <f>VLOOKUP(A465,DB!A:I,8,FALSE)</f>
        <v>0.6169</v>
      </c>
      <c r="R465">
        <f>VLOOKUP(A465,DB!A:I,9,FALSE)</f>
        <v>0.58589999999999998</v>
      </c>
      <c r="S465">
        <f>N465 *SQRT(H465)</f>
        <v>7.2572928837135953</v>
      </c>
      <c r="T465">
        <f>L465/N465</f>
        <v>66.706443914081149</v>
      </c>
    </row>
    <row r="466" spans="1:20" x14ac:dyDescent="0.25">
      <c r="A466" t="s">
        <v>752</v>
      </c>
      <c r="B466" t="s">
        <v>167</v>
      </c>
      <c r="C466" s="4">
        <v>6.2597E-2</v>
      </c>
      <c r="D466" s="4">
        <v>0.29799999999999999</v>
      </c>
      <c r="E466" s="4">
        <v>4.7E-2</v>
      </c>
      <c r="F466" s="4">
        <v>0.53300000000000003</v>
      </c>
      <c r="G466">
        <v>2.6199999999999999E-3</v>
      </c>
      <c r="H466">
        <f>VLOOKUP(A466,DB!A:I,2,FALSE)</f>
        <v>3000000</v>
      </c>
      <c r="I466">
        <f>VLOOKUP(A466,'RE@CD'!A:D,2,FALSE)</f>
        <v>275000</v>
      </c>
      <c r="J466">
        <f>VLOOKUP(A466,'RE@CD'!A:D,3,FALSE)</f>
        <v>100000</v>
      </c>
      <c r="K466">
        <f>VLOOKUP(A466,'RE@CD'!A:D,4,FALSE)</f>
        <v>200000</v>
      </c>
      <c r="L466">
        <f>VLOOKUP(A466,DB!A:I,3,FALSE)</f>
        <v>0.69179999999999997</v>
      </c>
      <c r="M466">
        <f>VLOOKUP(A466,DB!A:I,4,FALSE)</f>
        <v>-0.16689999999999999</v>
      </c>
      <c r="N466">
        <f>VLOOKUP(A466,DB!A:I,5,FALSE)</f>
        <v>4.1799999999999997E-3</v>
      </c>
      <c r="O466">
        <f>VLOOKUP(A466,DB!A:I,6,FALSE)</f>
        <v>3.7499999999999999E-3</v>
      </c>
      <c r="P466">
        <f>VLOOKUP(A466,DB!A:I,7,FALSE)</f>
        <v>4.4000000000000002E-4</v>
      </c>
      <c r="Q466">
        <f>VLOOKUP(A466,DB!A:I,8,FALSE)</f>
        <v>0.73839999999999995</v>
      </c>
      <c r="R466">
        <f>VLOOKUP(A466,DB!A:I,9,FALSE)</f>
        <v>0.3599</v>
      </c>
      <c r="S466">
        <f>N466 *SQRT(H466)</f>
        <v>7.2399723756379064</v>
      </c>
      <c r="T466">
        <f>L466/N466</f>
        <v>165.50239234449762</v>
      </c>
    </row>
    <row r="467" spans="1:20" x14ac:dyDescent="0.25">
      <c r="A467" t="s">
        <v>723</v>
      </c>
      <c r="B467" t="s">
        <v>138</v>
      </c>
      <c r="C467" s="4">
        <v>0.109226</v>
      </c>
      <c r="D467" s="4">
        <v>0.36199999999999999</v>
      </c>
      <c r="E467" s="4">
        <v>2.264E-2</v>
      </c>
      <c r="F467" s="4">
        <v>0.38900000000000001</v>
      </c>
      <c r="G467">
        <v>4.3299999999999996E-3</v>
      </c>
      <c r="H467">
        <f>VLOOKUP(A467,DB!A:I,2,FALSE)</f>
        <v>2600000</v>
      </c>
      <c r="I467">
        <f>VLOOKUP(A467,'RE@CD'!A:D,2,FALSE)</f>
        <v>250000</v>
      </c>
      <c r="J467">
        <f>VLOOKUP(A467,'RE@CD'!A:D,3,FALSE)</f>
        <v>80000</v>
      </c>
      <c r="K467">
        <f>VLOOKUP(A467,'RE@CD'!A:D,4,FALSE)</f>
        <v>150000</v>
      </c>
      <c r="L467">
        <f>VLOOKUP(A467,DB!A:I,3,FALSE)</f>
        <v>0.1925</v>
      </c>
      <c r="M467">
        <f>VLOOKUP(A467,DB!A:I,4,FALSE)</f>
        <v>-3.4799999999999998E-2</v>
      </c>
      <c r="N467">
        <f>VLOOKUP(A467,DB!A:I,5,FALSE)</f>
        <v>4.1700000000000001E-3</v>
      </c>
      <c r="O467">
        <f>VLOOKUP(A467,DB!A:I,6,FALSE)</f>
        <v>3.5999999999999999E-3</v>
      </c>
      <c r="P467">
        <f>VLOOKUP(A467,DB!A:I,7,FALSE)</f>
        <v>5.6999999999999998E-4</v>
      </c>
      <c r="Q467">
        <f>VLOOKUP(A467,DB!A:I,8,FALSE)</f>
        <v>0.59250000000000003</v>
      </c>
      <c r="R467">
        <f>VLOOKUP(A467,DB!A:I,9,FALSE)</f>
        <v>0.72870000000000001</v>
      </c>
      <c r="S467">
        <f>N467 *SQRT(H467)</f>
        <v>6.7239229620809899</v>
      </c>
      <c r="T467">
        <f>L467/N467</f>
        <v>46.163069544364511</v>
      </c>
    </row>
    <row r="468" spans="1:20" x14ac:dyDescent="0.25">
      <c r="A468" t="s">
        <v>846</v>
      </c>
      <c r="B468" t="s">
        <v>261</v>
      </c>
      <c r="C468" s="4">
        <v>0.09</v>
      </c>
      <c r="D468" s="4">
        <v>0.3</v>
      </c>
      <c r="E468" s="4">
        <v>0</v>
      </c>
      <c r="F468" s="4">
        <v>0.01</v>
      </c>
      <c r="G468">
        <v>9.0900000000000009E-3</v>
      </c>
      <c r="H468">
        <f>VLOOKUP(A468,DB!A:I,2,FALSE)</f>
        <v>2200000</v>
      </c>
      <c r="I468">
        <f>VLOOKUP(A468,'RE@CD'!A:D,2,FALSE)</f>
        <v>200000</v>
      </c>
      <c r="J468">
        <f>VLOOKUP(A468,'RE@CD'!A:D,3,FALSE)</f>
        <v>50000</v>
      </c>
      <c r="K468">
        <f>VLOOKUP(A468,'RE@CD'!A:D,4,FALSE)</f>
        <v>150000</v>
      </c>
      <c r="L468">
        <f>VLOOKUP(A468,DB!A:I,3,FALSE)</f>
        <v>0</v>
      </c>
      <c r="M468">
        <f>VLOOKUP(A468,DB!A:I,4,FALSE)</f>
        <v>0</v>
      </c>
      <c r="N468">
        <f>VLOOKUP(A468,DB!A:I,5,FALSE)</f>
        <v>4.1700000000000001E-3</v>
      </c>
      <c r="O468">
        <f>VLOOKUP(A468,DB!A:I,6,FALSE)</f>
        <v>3.7100000000000002E-3</v>
      </c>
      <c r="P468">
        <f>VLOOKUP(A468,DB!A:I,7,FALSE)</f>
        <v>4.4999999999999999E-4</v>
      </c>
      <c r="Q468">
        <f>VLOOKUP(A468,DB!A:I,8,FALSE)</f>
        <v>0.63539999999999996</v>
      </c>
      <c r="R468">
        <f>VLOOKUP(A468,DB!A:I,9,FALSE)</f>
        <v>0.63600000000000001</v>
      </c>
      <c r="S468">
        <f>N468 *SQRT(H468)</f>
        <v>6.185109538237783</v>
      </c>
      <c r="T468">
        <f>L468/N468</f>
        <v>0</v>
      </c>
    </row>
    <row r="469" spans="1:20" x14ac:dyDescent="0.25">
      <c r="A469" t="s">
        <v>623</v>
      </c>
      <c r="B469" t="s">
        <v>38</v>
      </c>
      <c r="C469" s="4">
        <v>0.13200000000000001</v>
      </c>
      <c r="D469" s="4">
        <v>0.40200000000000002</v>
      </c>
      <c r="E469" s="4">
        <v>3.6797999999999997E-2</v>
      </c>
      <c r="F469" s="4">
        <v>0.40200000000000002</v>
      </c>
      <c r="G469">
        <v>5.1799999999999997E-3</v>
      </c>
      <c r="H469">
        <f>VLOOKUP(A469,DB!A:I,2,FALSE)</f>
        <v>2300000</v>
      </c>
      <c r="I469">
        <f>VLOOKUP(A469,'RE@CD'!A:D,2,FALSE)</f>
        <v>500000</v>
      </c>
      <c r="J469">
        <f>VLOOKUP(A469,'RE@CD'!A:D,3,FALSE)</f>
        <v>200000</v>
      </c>
      <c r="K469">
        <f>VLOOKUP(A469,'RE@CD'!A:D,4,FALSE)</f>
        <v>400000</v>
      </c>
      <c r="L469">
        <f>VLOOKUP(A469,DB!A:I,3,FALSE)</f>
        <v>0.3972</v>
      </c>
      <c r="M469">
        <f>VLOOKUP(A469,DB!A:I,4,FALSE)</f>
        <v>-7.7899999999999997E-2</v>
      </c>
      <c r="N469">
        <f>VLOOKUP(A469,DB!A:I,5,FALSE)</f>
        <v>4.1599999999999996E-3</v>
      </c>
      <c r="O469">
        <f>VLOOKUP(A469,DB!A:I,6,FALSE)</f>
        <v>3.3700000000000002E-3</v>
      </c>
      <c r="P469">
        <f>VLOOKUP(A469,DB!A:I,7,FALSE)</f>
        <v>7.9000000000000001E-4</v>
      </c>
      <c r="Q469">
        <f>VLOOKUP(A469,DB!A:I,8,FALSE)</f>
        <v>0.68359999999999999</v>
      </c>
      <c r="R469">
        <f>VLOOKUP(A469,DB!A:I,9,FALSE)</f>
        <v>0.72419999999999995</v>
      </c>
      <c r="S469">
        <f>N469 *SQRT(H469)</f>
        <v>6.3089523694508891</v>
      </c>
      <c r="T469">
        <f>L469/N469</f>
        <v>95.480769230769241</v>
      </c>
    </row>
    <row r="470" spans="1:20" x14ac:dyDescent="0.25">
      <c r="A470" t="s">
        <v>608</v>
      </c>
      <c r="B470" t="s">
        <v>23</v>
      </c>
      <c r="C470" s="4">
        <v>7.0405999999999996E-2</v>
      </c>
      <c r="D470" s="4">
        <v>0.27600000000000002</v>
      </c>
      <c r="E470" s="4">
        <v>2.0653000000000001E-2</v>
      </c>
      <c r="F470" s="4">
        <v>0.35499999999999998</v>
      </c>
      <c r="G470">
        <v>4.7099999999999998E-3</v>
      </c>
      <c r="H470">
        <f>VLOOKUP(A470,DB!A:I,2,FALSE)</f>
        <v>2900000</v>
      </c>
      <c r="I470">
        <f>VLOOKUP(A470,'RE@CD'!A:D,2,FALSE)</f>
        <v>150000</v>
      </c>
      <c r="J470">
        <f>VLOOKUP(A470,'RE@CD'!A:D,3,FALSE)</f>
        <v>50000</v>
      </c>
      <c r="K470">
        <f>VLOOKUP(A470,'RE@CD'!A:D,4,FALSE)</f>
        <v>100000</v>
      </c>
      <c r="L470">
        <f>VLOOKUP(A470,DB!A:I,3,FALSE)</f>
        <v>0.34320000000000001</v>
      </c>
      <c r="M470">
        <f>VLOOKUP(A470,DB!A:I,4,FALSE)</f>
        <v>-4.4400000000000002E-2</v>
      </c>
      <c r="N470">
        <f>VLOOKUP(A470,DB!A:I,5,FALSE)</f>
        <v>4.15E-3</v>
      </c>
      <c r="O470">
        <f>VLOOKUP(A470,DB!A:I,6,FALSE)</f>
        <v>3.29E-3</v>
      </c>
      <c r="P470">
        <f>VLOOKUP(A470,DB!A:I,7,FALSE)</f>
        <v>8.5999999999999998E-4</v>
      </c>
      <c r="Q470">
        <f>VLOOKUP(A470,DB!A:I,8,FALSE)</f>
        <v>0.45600000000000002</v>
      </c>
      <c r="R470">
        <f>VLOOKUP(A470,DB!A:I,9,FALSE)</f>
        <v>0.97650000000000003</v>
      </c>
      <c r="S470">
        <f>N470 *SQRT(H470)</f>
        <v>7.0671953418594562</v>
      </c>
      <c r="T470">
        <f>L470/N470</f>
        <v>82.698795180722897</v>
      </c>
    </row>
    <row r="471" spans="1:20" x14ac:dyDescent="0.25">
      <c r="A471" t="s">
        <v>1137</v>
      </c>
      <c r="B471" t="s">
        <v>548</v>
      </c>
      <c r="C471" s="4">
        <v>9.2048000000000005E-2</v>
      </c>
      <c r="D471" s="4">
        <v>0.28499999999999998</v>
      </c>
      <c r="E471" s="4">
        <v>3.2649999999999998E-2</v>
      </c>
      <c r="F471" s="4">
        <v>0.42499999999999999</v>
      </c>
      <c r="G471">
        <v>4.4299999999999999E-3</v>
      </c>
      <c r="H471">
        <f>VLOOKUP(A471,DB!A:I,2,FALSE)</f>
        <v>900000</v>
      </c>
      <c r="I471">
        <f>VLOOKUP(A471,'RE@CD'!A:D,2,FALSE)</f>
        <v>175000</v>
      </c>
      <c r="J471">
        <f>VLOOKUP(A471,'RE@CD'!A:D,3,FALSE)</f>
        <v>80000</v>
      </c>
      <c r="K471">
        <f>VLOOKUP(A471,'RE@CD'!A:D,4,FALSE)</f>
        <v>100000</v>
      </c>
      <c r="L471">
        <f>VLOOKUP(A471,DB!A:I,3,FALSE)</f>
        <v>0.38869999999999999</v>
      </c>
      <c r="M471">
        <f>VLOOKUP(A471,DB!A:I,4,FALSE)</f>
        <v>-8.1299999999999997E-2</v>
      </c>
      <c r="N471">
        <f>VLOOKUP(A471,DB!A:I,5,FALSE)</f>
        <v>4.8999999999999998E-3</v>
      </c>
      <c r="O471">
        <f>VLOOKUP(A471,DB!A:I,6,FALSE)</f>
        <v>3.7699999999999999E-3</v>
      </c>
      <c r="P471">
        <f>VLOOKUP(A471,DB!A:I,7,FALSE)</f>
        <v>1.1299999999999999E-3</v>
      </c>
      <c r="Q471">
        <f>VLOOKUP(A471,DB!A:I,8,FALSE)</f>
        <v>0.69679999999999997</v>
      </c>
      <c r="R471">
        <f>VLOOKUP(A471,DB!A:I,9,FALSE)</f>
        <v>0.82</v>
      </c>
      <c r="S471">
        <f>N471 *SQRT(H471)</f>
        <v>4.6485481604475174</v>
      </c>
      <c r="T471">
        <f>L471/N471</f>
        <v>79.326530612244895</v>
      </c>
    </row>
    <row r="472" spans="1:20" x14ac:dyDescent="0.25">
      <c r="A472" t="s">
        <v>761</v>
      </c>
      <c r="B472" t="s">
        <v>176</v>
      </c>
      <c r="C472" s="4">
        <v>0.15007999999999999</v>
      </c>
      <c r="D472" s="4">
        <v>0.36699999999999999</v>
      </c>
      <c r="E472" s="4">
        <v>7.9999999999999996E-6</v>
      </c>
      <c r="F472" s="4">
        <v>0.23200000000000001</v>
      </c>
      <c r="G472">
        <v>1.7799999999999999E-3</v>
      </c>
      <c r="H472">
        <f>VLOOKUP(A472,DB!A:I,2,FALSE)</f>
        <v>3000000</v>
      </c>
      <c r="I472">
        <f>VLOOKUP(A472,'RE@CD'!A:D,2,FALSE)</f>
        <v>425000</v>
      </c>
      <c r="J472">
        <f>VLOOKUP(A472,'RE@CD'!A:D,3,FALSE)</f>
        <v>150000</v>
      </c>
      <c r="K472">
        <f>VLOOKUP(A472,'RE@CD'!A:D,4,FALSE)</f>
        <v>300000</v>
      </c>
      <c r="L472">
        <f>VLOOKUP(A472,DB!A:I,3,FALSE)</f>
        <v>0</v>
      </c>
      <c r="M472">
        <f>VLOOKUP(A472,DB!A:I,4,FALSE)</f>
        <v>0</v>
      </c>
      <c r="N472">
        <f>VLOOKUP(A472,DB!A:I,5,FALSE)</f>
        <v>4.1399999999999996E-3</v>
      </c>
      <c r="O472">
        <f>VLOOKUP(A472,DB!A:I,6,FALSE)</f>
        <v>3.5500000000000002E-3</v>
      </c>
      <c r="P472">
        <f>VLOOKUP(A472,DB!A:I,7,FALSE)</f>
        <v>5.9000000000000003E-4</v>
      </c>
      <c r="Q472">
        <f>VLOOKUP(A472,DB!A:I,8,FALSE)</f>
        <v>0.62450000000000006</v>
      </c>
      <c r="R472">
        <f>VLOOKUP(A472,DB!A:I,9,FALSE)</f>
        <v>0.62419999999999998</v>
      </c>
      <c r="S472">
        <f>N472 *SQRT(H472)</f>
        <v>7.170690343335151</v>
      </c>
      <c r="T472">
        <f>L472/N472</f>
        <v>0</v>
      </c>
    </row>
    <row r="473" spans="1:20" x14ac:dyDescent="0.25">
      <c r="A473" t="s">
        <v>1122</v>
      </c>
      <c r="B473" t="s">
        <v>533</v>
      </c>
      <c r="C473" s="4">
        <v>8.9991000000000002E-2</v>
      </c>
      <c r="D473" s="4">
        <v>0.28999999999999998</v>
      </c>
      <c r="E473" s="4">
        <v>3.0530000000000002E-2</v>
      </c>
      <c r="F473" s="4">
        <v>0.46800000000000003</v>
      </c>
      <c r="G473">
        <v>5.5199999999999997E-3</v>
      </c>
      <c r="H473">
        <f>VLOOKUP(A473,DB!A:I,2,FALSE)</f>
        <v>1350000</v>
      </c>
      <c r="I473">
        <f>VLOOKUP(A473,'RE@CD'!A:D,2,FALSE)</f>
        <v>225000</v>
      </c>
      <c r="J473">
        <f>VLOOKUP(A473,'RE@CD'!A:D,3,FALSE)</f>
        <v>60000</v>
      </c>
      <c r="K473">
        <f>VLOOKUP(A473,'RE@CD'!A:D,4,FALSE)</f>
        <v>175000</v>
      </c>
      <c r="L473">
        <f>VLOOKUP(A473,DB!A:I,3,FALSE)</f>
        <v>0.4123</v>
      </c>
      <c r="M473">
        <f>VLOOKUP(A473,DB!A:I,4,FALSE)</f>
        <v>-9.2899999999999996E-2</v>
      </c>
      <c r="N473">
        <f>VLOOKUP(A473,DB!A:I,5,FALSE)</f>
        <v>4.1399999999999996E-3</v>
      </c>
      <c r="O473">
        <f>VLOOKUP(A473,DB!A:I,6,FALSE)</f>
        <v>3.32E-3</v>
      </c>
      <c r="P473">
        <f>VLOOKUP(A473,DB!A:I,7,FALSE)</f>
        <v>8.1999999999999998E-4</v>
      </c>
      <c r="Q473">
        <f>VLOOKUP(A473,DB!A:I,8,FALSE)</f>
        <v>0.76249999999999996</v>
      </c>
      <c r="R473">
        <f>VLOOKUP(A473,DB!A:I,9,FALSE)</f>
        <v>0.75739999999999996</v>
      </c>
      <c r="S473">
        <f>N473 *SQRT(H473)</f>
        <v>4.8102453159896115</v>
      </c>
      <c r="T473">
        <f>L473/N473</f>
        <v>99.589371980676333</v>
      </c>
    </row>
    <row r="474" spans="1:20" x14ac:dyDescent="0.25">
      <c r="A474" t="s">
        <v>606</v>
      </c>
      <c r="B474" t="s">
        <v>21</v>
      </c>
      <c r="C474" s="4">
        <v>8.1782999999999995E-2</v>
      </c>
      <c r="D474" s="4">
        <v>0.27600000000000002</v>
      </c>
      <c r="E474" s="4">
        <v>2.2435E-2</v>
      </c>
      <c r="F474" s="4">
        <v>0.36799999999999999</v>
      </c>
      <c r="G474">
        <v>6.3200000000000001E-3</v>
      </c>
      <c r="H474">
        <f>VLOOKUP(A474,DB!A:I,2,FALSE)</f>
        <v>3000000</v>
      </c>
      <c r="I474">
        <f>VLOOKUP(A474,'RE@CD'!A:D,2,FALSE)</f>
        <v>150000</v>
      </c>
      <c r="J474">
        <f>VLOOKUP(A474,'RE@CD'!A:D,3,FALSE)</f>
        <v>60000</v>
      </c>
      <c r="K474">
        <f>VLOOKUP(A474,'RE@CD'!A:D,4,FALSE)</f>
        <v>100000</v>
      </c>
      <c r="L474">
        <f>VLOOKUP(A474,DB!A:I,3,FALSE)</f>
        <v>0.38919999999999999</v>
      </c>
      <c r="M474">
        <f>VLOOKUP(A474,DB!A:I,4,FALSE)</f>
        <v>-4.3700000000000003E-2</v>
      </c>
      <c r="N474">
        <f>VLOOKUP(A474,DB!A:I,5,FALSE)</f>
        <v>4.13E-3</v>
      </c>
      <c r="O474">
        <f>VLOOKUP(A474,DB!A:I,6,FALSE)</f>
        <v>3.3600000000000001E-3</v>
      </c>
      <c r="P474">
        <f>VLOOKUP(A474,DB!A:I,7,FALSE)</f>
        <v>7.7999999999999999E-4</v>
      </c>
      <c r="Q474">
        <f>VLOOKUP(A474,DB!A:I,8,FALSE)</f>
        <v>0.43419999999999997</v>
      </c>
      <c r="R474">
        <f>VLOOKUP(A474,DB!A:I,9,FALSE)</f>
        <v>0.96779999999999999</v>
      </c>
      <c r="S474">
        <f>N474 *SQRT(H474)</f>
        <v>7.153369835259463</v>
      </c>
      <c r="T474">
        <f>L474/N474</f>
        <v>94.237288135593218</v>
      </c>
    </row>
    <row r="475" spans="1:20" x14ac:dyDescent="0.25">
      <c r="A475" t="s">
        <v>809</v>
      </c>
      <c r="B475" t="s">
        <v>224</v>
      </c>
      <c r="C475" s="4">
        <v>0.150787</v>
      </c>
      <c r="D475" s="4">
        <v>0.39400000000000002</v>
      </c>
      <c r="E475" s="4">
        <v>3.0904999999999998E-2</v>
      </c>
      <c r="F475" s="4">
        <v>0.39400000000000002</v>
      </c>
      <c r="G475">
        <v>7.2399999999999999E-3</v>
      </c>
      <c r="H475">
        <f>VLOOKUP(A475,DB!A:I,2,FALSE)</f>
        <v>3000000</v>
      </c>
      <c r="I475">
        <f>VLOOKUP(A475,'RE@CD'!A:D,2,FALSE)</f>
        <v>600000</v>
      </c>
      <c r="J475">
        <f>VLOOKUP(A475,'RE@CD'!A:D,3,FALSE)</f>
        <v>175000</v>
      </c>
      <c r="K475">
        <f>VLOOKUP(A475,'RE@CD'!A:D,4,FALSE)</f>
        <v>450000</v>
      </c>
      <c r="L475">
        <f>VLOOKUP(A475,DB!A:I,3,FALSE)</f>
        <v>0.31140000000000001</v>
      </c>
      <c r="M475">
        <f>VLOOKUP(A475,DB!A:I,4,FALSE)</f>
        <v>-5.4100000000000002E-2</v>
      </c>
      <c r="N475">
        <f>VLOOKUP(A475,DB!A:I,5,FALSE)</f>
        <v>4.13E-3</v>
      </c>
      <c r="O475">
        <f>VLOOKUP(A475,DB!A:I,6,FALSE)</f>
        <v>3.1900000000000001E-3</v>
      </c>
      <c r="P475">
        <f>VLOOKUP(A475,DB!A:I,7,FALSE)</f>
        <v>9.5E-4</v>
      </c>
      <c r="Q475">
        <f>VLOOKUP(A475,DB!A:I,8,FALSE)</f>
        <v>0.60440000000000005</v>
      </c>
      <c r="R475">
        <f>VLOOKUP(A475,DB!A:I,9,FALSE)</f>
        <v>0.80669999999999997</v>
      </c>
      <c r="S475">
        <f>N475 *SQRT(H475)</f>
        <v>7.153369835259463</v>
      </c>
      <c r="T475">
        <f>L475/N475</f>
        <v>75.399515738498792</v>
      </c>
    </row>
    <row r="476" spans="1:20" x14ac:dyDescent="0.25">
      <c r="A476" t="s">
        <v>1024</v>
      </c>
      <c r="B476" t="s">
        <v>435</v>
      </c>
      <c r="C476" s="4">
        <v>9.0064000000000005E-2</v>
      </c>
      <c r="D476" s="4">
        <v>0.32200000000000001</v>
      </c>
      <c r="E476" s="4">
        <v>2.0389000000000001E-2</v>
      </c>
      <c r="F476" s="4">
        <v>0.373</v>
      </c>
      <c r="G476">
        <v>1.5900000000000001E-3</v>
      </c>
      <c r="H476">
        <f>VLOOKUP(A476,DB!A:I,2,FALSE)</f>
        <v>1350000</v>
      </c>
      <c r="I476">
        <f>VLOOKUP(A476,'RE@CD'!A:D,2,FALSE)</f>
        <v>200000</v>
      </c>
      <c r="J476">
        <f>VLOOKUP(A476,'RE@CD'!A:D,3,FALSE)</f>
        <v>70000</v>
      </c>
      <c r="K476">
        <f>VLOOKUP(A476,'RE@CD'!A:D,4,FALSE)</f>
        <v>125000</v>
      </c>
      <c r="L476">
        <f>VLOOKUP(A476,DB!A:I,3,FALSE)</f>
        <v>7.2599999999999998E-2</v>
      </c>
      <c r="M476">
        <f>VLOOKUP(A476,DB!A:I,4,FALSE)</f>
        <v>0</v>
      </c>
      <c r="N476">
        <f>VLOOKUP(A476,DB!A:I,5,FALSE)</f>
        <v>4.13E-3</v>
      </c>
      <c r="O476">
        <f>VLOOKUP(A476,DB!A:I,6,FALSE)</f>
        <v>3.3899999999999998E-3</v>
      </c>
      <c r="P476">
        <f>VLOOKUP(A476,DB!A:I,7,FALSE)</f>
        <v>7.3999999999999999E-4</v>
      </c>
      <c r="Q476">
        <f>VLOOKUP(A476,DB!A:I,8,FALSE)</f>
        <v>0.62639999999999996</v>
      </c>
      <c r="R476">
        <f>VLOOKUP(A476,DB!A:I,9,FALSE)</f>
        <v>0.90500000000000003</v>
      </c>
      <c r="S476">
        <f>N476 *SQRT(H476)</f>
        <v>4.79862636595099</v>
      </c>
      <c r="T476">
        <f>L476/N476</f>
        <v>17.578692493946729</v>
      </c>
    </row>
    <row r="477" spans="1:20" x14ac:dyDescent="0.25">
      <c r="A477" t="s">
        <v>967</v>
      </c>
      <c r="B477" t="s">
        <v>378</v>
      </c>
      <c r="C477" s="4">
        <v>9.9630999999999997E-2</v>
      </c>
      <c r="D477" s="4">
        <v>0.35</v>
      </c>
      <c r="E477" s="4">
        <v>1.4748000000000001E-2</v>
      </c>
      <c r="F477" s="4">
        <v>0.5</v>
      </c>
      <c r="G477">
        <v>3.8E-3</v>
      </c>
      <c r="H477">
        <f>VLOOKUP(A477,DB!A:I,2,FALSE)</f>
        <v>3000000</v>
      </c>
      <c r="I477">
        <f>VLOOKUP(A477,'RE@CD'!A:D,2,FALSE)</f>
        <v>200000</v>
      </c>
      <c r="J477">
        <f>VLOOKUP(A477,'RE@CD'!A:D,3,FALSE)</f>
        <v>50000</v>
      </c>
      <c r="K477">
        <f>VLOOKUP(A477,'RE@CD'!A:D,4,FALSE)</f>
        <v>175000</v>
      </c>
      <c r="L477">
        <f>VLOOKUP(A477,DB!A:I,3,FALSE)</f>
        <v>0.2109</v>
      </c>
      <c r="M477">
        <f>VLOOKUP(A477,DB!A:I,4,FALSE)</f>
        <v>-4.5699999999999998E-2</v>
      </c>
      <c r="N477">
        <f>VLOOKUP(A477,DB!A:I,5,FALSE)</f>
        <v>4.1200000000000004E-3</v>
      </c>
      <c r="O477">
        <f>VLOOKUP(A477,DB!A:I,6,FALSE)</f>
        <v>3.6900000000000001E-3</v>
      </c>
      <c r="P477">
        <f>VLOOKUP(A477,DB!A:I,7,FALSE)</f>
        <v>4.2000000000000002E-4</v>
      </c>
      <c r="Q477">
        <f>VLOOKUP(A477,DB!A:I,8,FALSE)</f>
        <v>0.62280000000000002</v>
      </c>
      <c r="R477">
        <f>VLOOKUP(A477,DB!A:I,9,FALSE)</f>
        <v>0.59850000000000003</v>
      </c>
      <c r="S477">
        <f>N477 *SQRT(H477)</f>
        <v>7.136049327183775</v>
      </c>
      <c r="T477">
        <f>L477/N477</f>
        <v>51.189320388349508</v>
      </c>
    </row>
    <row r="478" spans="1:20" x14ac:dyDescent="0.25">
      <c r="A478" t="s">
        <v>1117</v>
      </c>
      <c r="B478" t="s">
        <v>528</v>
      </c>
      <c r="C478" s="4">
        <v>9.0120000000000006E-2</v>
      </c>
      <c r="D478" s="4">
        <v>0.311</v>
      </c>
      <c r="E478" s="4">
        <v>1.7822999999999999E-2</v>
      </c>
      <c r="F478" s="4">
        <v>0.38800000000000001</v>
      </c>
      <c r="G478">
        <v>4.13E-3</v>
      </c>
      <c r="H478">
        <f>VLOOKUP(A478,DB!A:I,2,FALSE)</f>
        <v>2300000</v>
      </c>
      <c r="I478">
        <f>VLOOKUP(A478,'RE@CD'!A:D,2,FALSE)</f>
        <v>175000</v>
      </c>
      <c r="J478">
        <f>VLOOKUP(A478,'RE@CD'!A:D,3,FALSE)</f>
        <v>50000</v>
      </c>
      <c r="K478">
        <f>VLOOKUP(A478,'RE@CD'!A:D,4,FALSE)</f>
        <v>125000</v>
      </c>
      <c r="L478">
        <f>VLOOKUP(A478,DB!A:I,3,FALSE)</f>
        <v>0.18390000000000001</v>
      </c>
      <c r="M478">
        <f>VLOOKUP(A478,DB!A:I,4,FALSE)</f>
        <v>-3.61E-2</v>
      </c>
      <c r="N478">
        <f>VLOOKUP(A478,DB!A:I,5,FALSE)</f>
        <v>4.1200000000000004E-3</v>
      </c>
      <c r="O478">
        <f>VLOOKUP(A478,DB!A:I,6,FALSE)</f>
        <v>3.6600000000000001E-3</v>
      </c>
      <c r="P478">
        <f>VLOOKUP(A478,DB!A:I,7,FALSE)</f>
        <v>4.6000000000000001E-4</v>
      </c>
      <c r="Q478">
        <f>VLOOKUP(A478,DB!A:I,8,FALSE)</f>
        <v>0.61870000000000003</v>
      </c>
      <c r="R478">
        <f>VLOOKUP(A478,DB!A:I,9,FALSE)</f>
        <v>0.6835</v>
      </c>
      <c r="S478">
        <f>N478 *SQRT(H478)</f>
        <v>6.2482893658984784</v>
      </c>
      <c r="T478">
        <f>L478/N478</f>
        <v>44.635922330097088</v>
      </c>
    </row>
    <row r="479" spans="1:20" x14ac:dyDescent="0.25">
      <c r="A479" t="s">
        <v>939</v>
      </c>
      <c r="B479" t="s">
        <v>350</v>
      </c>
      <c r="C479" s="4">
        <v>0.16159000000000001</v>
      </c>
      <c r="D479" s="4">
        <v>0.40200000000000002</v>
      </c>
      <c r="E479" s="4">
        <v>2.8452999999999999E-2</v>
      </c>
      <c r="F479" s="4">
        <v>0.371</v>
      </c>
      <c r="G479">
        <v>1.0030000000000001E-2</v>
      </c>
      <c r="H479">
        <f>VLOOKUP(A479,DB!A:I,2,FALSE)</f>
        <v>2800000</v>
      </c>
      <c r="I479">
        <f>VLOOKUP(A479,'RE@CD'!A:D,2,FALSE)</f>
        <v>625000</v>
      </c>
      <c r="J479">
        <f>VLOOKUP(A479,'RE@CD'!A:D,3,FALSE)</f>
        <v>325000</v>
      </c>
      <c r="K479">
        <f>VLOOKUP(A479,'RE@CD'!A:D,4,FALSE)</f>
        <v>475000</v>
      </c>
      <c r="L479">
        <f>VLOOKUP(A479,DB!A:I,3,FALSE)</f>
        <v>0.18629999999999999</v>
      </c>
      <c r="M479">
        <f>VLOOKUP(A479,DB!A:I,4,FALSE)</f>
        <v>-2.3699999999999999E-2</v>
      </c>
      <c r="N479">
        <f>VLOOKUP(A479,DB!A:I,5,FALSE)</f>
        <v>4.1099999999999999E-3</v>
      </c>
      <c r="O479">
        <f>VLOOKUP(A479,DB!A:I,6,FALSE)</f>
        <v>3.31E-3</v>
      </c>
      <c r="P479">
        <f>VLOOKUP(A479,DB!A:I,7,FALSE)</f>
        <v>8.0000000000000004E-4</v>
      </c>
      <c r="Q479">
        <f>VLOOKUP(A479,DB!A:I,8,FALSE)</f>
        <v>0.62129999999999996</v>
      </c>
      <c r="R479">
        <f>VLOOKUP(A479,DB!A:I,9,FALSE)</f>
        <v>0.73370000000000002</v>
      </c>
      <c r="S479">
        <f>N479 *SQRT(H479)</f>
        <v>6.8773454181101012</v>
      </c>
      <c r="T479">
        <f>L479/N479</f>
        <v>45.32846715328467</v>
      </c>
    </row>
    <row r="480" spans="1:20" x14ac:dyDescent="0.25">
      <c r="A480" t="s">
        <v>976</v>
      </c>
      <c r="B480" t="s">
        <v>387</v>
      </c>
      <c r="C480" s="4">
        <v>8.9731000000000005E-2</v>
      </c>
      <c r="D480" s="4">
        <v>0.35</v>
      </c>
      <c r="E480" s="4">
        <v>1.9647999999999999E-2</v>
      </c>
      <c r="F480" s="4">
        <v>0.5</v>
      </c>
      <c r="G480">
        <v>3.0999999999999999E-3</v>
      </c>
      <c r="H480">
        <f>VLOOKUP(A480,DB!A:I,2,FALSE)</f>
        <v>3000000</v>
      </c>
      <c r="I480">
        <f>VLOOKUP(A480,'RE@CD'!A:D,2,FALSE)</f>
        <v>200000</v>
      </c>
      <c r="J480">
        <f>VLOOKUP(A480,'RE@CD'!A:D,3,FALSE)</f>
        <v>50000</v>
      </c>
      <c r="K480">
        <f>VLOOKUP(A480,'RE@CD'!A:D,4,FALSE)</f>
        <v>150000</v>
      </c>
      <c r="L480">
        <f>VLOOKUP(A480,DB!A:I,3,FALSE)</f>
        <v>0.27960000000000002</v>
      </c>
      <c r="M480">
        <f>VLOOKUP(A480,DB!A:I,4,FALSE)</f>
        <v>-6.0900000000000003E-2</v>
      </c>
      <c r="N480">
        <f>VLOOKUP(A480,DB!A:I,5,FALSE)</f>
        <v>4.1099999999999999E-3</v>
      </c>
      <c r="O480">
        <f>VLOOKUP(A480,DB!A:I,6,FALSE)</f>
        <v>3.7299999999999998E-3</v>
      </c>
      <c r="P480">
        <f>VLOOKUP(A480,DB!A:I,7,FALSE)</f>
        <v>3.8999999999999999E-4</v>
      </c>
      <c r="Q480">
        <f>VLOOKUP(A480,DB!A:I,8,FALSE)</f>
        <v>0.63629999999999998</v>
      </c>
      <c r="R480">
        <f>VLOOKUP(A480,DB!A:I,9,FALSE)</f>
        <v>0.57110000000000005</v>
      </c>
      <c r="S480">
        <f>N480 *SQRT(H480)</f>
        <v>7.1187288191080853</v>
      </c>
      <c r="T480">
        <f>L480/N480</f>
        <v>68.029197080291979</v>
      </c>
    </row>
    <row r="481" spans="1:20" x14ac:dyDescent="0.25">
      <c r="A481" t="s">
        <v>1134</v>
      </c>
      <c r="B481" t="s">
        <v>545</v>
      </c>
      <c r="C481" s="4">
        <v>8.9997999999999995E-2</v>
      </c>
      <c r="D481" s="4">
        <v>0.28499999999999998</v>
      </c>
      <c r="E481" s="4">
        <v>3.5064999999999999E-2</v>
      </c>
      <c r="F481" s="4">
        <v>0.4</v>
      </c>
      <c r="G481">
        <v>3.5999999999999999E-3</v>
      </c>
      <c r="H481">
        <f>VLOOKUP(A481,DB!A:I,2,FALSE)</f>
        <v>925000</v>
      </c>
      <c r="I481">
        <f>VLOOKUP(A481,'RE@CD'!A:D,2,FALSE)</f>
        <v>175000</v>
      </c>
      <c r="J481">
        <f>VLOOKUP(A481,'RE@CD'!A:D,3,FALSE)</f>
        <v>80000</v>
      </c>
      <c r="K481">
        <f>VLOOKUP(A481,'RE@CD'!A:D,4,FALSE)</f>
        <v>125000</v>
      </c>
      <c r="L481">
        <f>VLOOKUP(A481,DB!A:I,3,FALSE)</f>
        <v>0.38419999999999999</v>
      </c>
      <c r="M481">
        <f>VLOOKUP(A481,DB!A:I,4,FALSE)</f>
        <v>-7.6899999999999996E-2</v>
      </c>
      <c r="N481">
        <f>VLOOKUP(A481,DB!A:I,5,FALSE)</f>
        <v>4.7400000000000003E-3</v>
      </c>
      <c r="O481">
        <f>VLOOKUP(A481,DB!A:I,6,FALSE)</f>
        <v>3.5799999999999998E-3</v>
      </c>
      <c r="P481">
        <f>VLOOKUP(A481,DB!A:I,7,FALSE)</f>
        <v>1.16E-3</v>
      </c>
      <c r="Q481">
        <f>VLOOKUP(A481,DB!A:I,8,FALSE)</f>
        <v>0.68159999999999998</v>
      </c>
      <c r="R481">
        <f>VLOOKUP(A481,DB!A:I,9,FALSE)</f>
        <v>0.89810000000000001</v>
      </c>
      <c r="S481">
        <f>N481 *SQRT(H481)</f>
        <v>4.5587860226161094</v>
      </c>
      <c r="T481">
        <f>L481/N481</f>
        <v>81.054852320675096</v>
      </c>
    </row>
    <row r="482" spans="1:20" x14ac:dyDescent="0.25">
      <c r="A482" t="s">
        <v>1068</v>
      </c>
      <c r="B482" t="s">
        <v>479</v>
      </c>
      <c r="C482" s="4">
        <v>8.9881000000000003E-2</v>
      </c>
      <c r="D482" s="4">
        <v>0.34399999999999997</v>
      </c>
      <c r="E482" s="4">
        <v>1.7169E-2</v>
      </c>
      <c r="F482" s="4">
        <v>0.34399999999999997</v>
      </c>
      <c r="G482">
        <v>4.1200000000000004E-3</v>
      </c>
      <c r="H482">
        <f>VLOOKUP(A482,DB!A:I,2,FALSE)</f>
        <v>3000000</v>
      </c>
      <c r="I482">
        <f>VLOOKUP(A482,'RE@CD'!A:D,2,FALSE)</f>
        <v>200000</v>
      </c>
      <c r="J482">
        <f>VLOOKUP(A482,'RE@CD'!A:D,3,FALSE)</f>
        <v>50000</v>
      </c>
      <c r="K482">
        <f>VLOOKUP(A482,'RE@CD'!A:D,4,FALSE)</f>
        <v>150000</v>
      </c>
      <c r="L482">
        <f>VLOOKUP(A482,DB!A:I,3,FALSE)</f>
        <v>0.27210000000000001</v>
      </c>
      <c r="M482">
        <f>VLOOKUP(A482,DB!A:I,4,FALSE)</f>
        <v>-5.8400000000000001E-2</v>
      </c>
      <c r="N482">
        <f>VLOOKUP(A482,DB!A:I,5,FALSE)</f>
        <v>4.1000000000000003E-3</v>
      </c>
      <c r="O482">
        <f>VLOOKUP(A482,DB!A:I,6,FALSE)</f>
        <v>3.5999999999999999E-3</v>
      </c>
      <c r="P482">
        <f>VLOOKUP(A482,DB!A:I,7,FALSE)</f>
        <v>5.0000000000000001E-4</v>
      </c>
      <c r="Q482">
        <f>VLOOKUP(A482,DB!A:I,8,FALSE)</f>
        <v>0.56379999999999997</v>
      </c>
      <c r="R482">
        <f>VLOOKUP(A482,DB!A:I,9,FALSE)</f>
        <v>0.71909999999999996</v>
      </c>
      <c r="S482">
        <f>N482 *SQRT(H482)</f>
        <v>7.1014083110323973</v>
      </c>
      <c r="T482">
        <f>L482/N482</f>
        <v>66.365853658536579</v>
      </c>
    </row>
    <row r="483" spans="1:20" x14ac:dyDescent="0.25">
      <c r="A483" t="s">
        <v>1069</v>
      </c>
      <c r="B483" t="s">
        <v>480</v>
      </c>
      <c r="C483" s="4">
        <v>8.9881000000000003E-2</v>
      </c>
      <c r="D483" s="4">
        <v>0.34399999999999997</v>
      </c>
      <c r="E483" s="4">
        <v>1.7169E-2</v>
      </c>
      <c r="F483" s="4">
        <v>0.34399999999999997</v>
      </c>
      <c r="G483">
        <v>4.1200000000000004E-3</v>
      </c>
      <c r="H483">
        <f>VLOOKUP(A483,DB!A:I,2,FALSE)</f>
        <v>3000000</v>
      </c>
      <c r="I483">
        <f>VLOOKUP(A483,'RE@CD'!A:D,2,FALSE)</f>
        <v>200000</v>
      </c>
      <c r="J483">
        <f>VLOOKUP(A483,'RE@CD'!A:D,3,FALSE)</f>
        <v>50000</v>
      </c>
      <c r="K483">
        <f>VLOOKUP(A483,'RE@CD'!A:D,4,FALSE)</f>
        <v>150000</v>
      </c>
      <c r="L483">
        <f>VLOOKUP(A483,DB!A:I,3,FALSE)</f>
        <v>0.27210000000000001</v>
      </c>
      <c r="M483">
        <f>VLOOKUP(A483,DB!A:I,4,FALSE)</f>
        <v>-5.8400000000000001E-2</v>
      </c>
      <c r="N483">
        <f>VLOOKUP(A483,DB!A:I,5,FALSE)</f>
        <v>4.1000000000000003E-3</v>
      </c>
      <c r="O483">
        <f>VLOOKUP(A483,DB!A:I,6,FALSE)</f>
        <v>3.5999999999999999E-3</v>
      </c>
      <c r="P483">
        <f>VLOOKUP(A483,DB!A:I,7,FALSE)</f>
        <v>5.0000000000000001E-4</v>
      </c>
      <c r="Q483">
        <f>VLOOKUP(A483,DB!A:I,8,FALSE)</f>
        <v>0.56310000000000004</v>
      </c>
      <c r="R483">
        <f>VLOOKUP(A483,DB!A:I,9,FALSE)</f>
        <v>0.71860000000000002</v>
      </c>
      <c r="S483">
        <f>N483 *SQRT(H483)</f>
        <v>7.1014083110323973</v>
      </c>
      <c r="T483">
        <f>L483/N483</f>
        <v>66.365853658536579</v>
      </c>
    </row>
    <row r="484" spans="1:20" x14ac:dyDescent="0.25">
      <c r="A484" t="s">
        <v>1072</v>
      </c>
      <c r="B484" t="s">
        <v>483</v>
      </c>
      <c r="C484" s="4">
        <v>9.0000999999999998E-2</v>
      </c>
      <c r="D484" s="4">
        <v>0.31</v>
      </c>
      <c r="E484" s="4">
        <v>1.5235E-2</v>
      </c>
      <c r="F484" s="4">
        <v>0.36</v>
      </c>
      <c r="G484">
        <v>5.5599999999999998E-3</v>
      </c>
      <c r="H484">
        <f>VLOOKUP(A484,DB!A:I,2,FALSE)</f>
        <v>2000000</v>
      </c>
      <c r="I484">
        <f>VLOOKUP(A484,'RE@CD'!A:D,2,FALSE)</f>
        <v>200000</v>
      </c>
      <c r="J484">
        <f>VLOOKUP(A484,'RE@CD'!A:D,3,FALSE)</f>
        <v>50000</v>
      </c>
      <c r="K484">
        <f>VLOOKUP(A484,'RE@CD'!A:D,4,FALSE)</f>
        <v>150000</v>
      </c>
      <c r="L484">
        <f>VLOOKUP(A484,DB!A:I,3,FALSE)</f>
        <v>0.20230000000000001</v>
      </c>
      <c r="M484">
        <f>VLOOKUP(A484,DB!A:I,4,FALSE)</f>
        <v>-4.1599999999999998E-2</v>
      </c>
      <c r="N484">
        <f>VLOOKUP(A484,DB!A:I,5,FALSE)</f>
        <v>4.1000000000000003E-3</v>
      </c>
      <c r="O484">
        <f>VLOOKUP(A484,DB!A:I,6,FALSE)</f>
        <v>3.5100000000000001E-3</v>
      </c>
      <c r="P484">
        <f>VLOOKUP(A484,DB!A:I,7,FALSE)</f>
        <v>5.9000000000000003E-4</v>
      </c>
      <c r="Q484">
        <f>VLOOKUP(A484,DB!A:I,8,FALSE)</f>
        <v>0.62270000000000003</v>
      </c>
      <c r="R484">
        <f>VLOOKUP(A484,DB!A:I,9,FALSE)</f>
        <v>0.77290000000000003</v>
      </c>
      <c r="S484">
        <f>N484 *SQRT(H484)</f>
        <v>5.7982756057296907</v>
      </c>
      <c r="T484">
        <f>L484/N484</f>
        <v>49.341463414634141</v>
      </c>
    </row>
    <row r="485" spans="1:20" x14ac:dyDescent="0.25">
      <c r="A485" t="s">
        <v>1163</v>
      </c>
      <c r="B485" t="s">
        <v>573</v>
      </c>
      <c r="C485" s="4">
        <v>0.14571799999999999</v>
      </c>
      <c r="D485" s="4">
        <v>0.35499999999999998</v>
      </c>
      <c r="E485" s="4">
        <v>4.1100999999999999E-2</v>
      </c>
      <c r="F485" s="4">
        <v>0.58199999999999996</v>
      </c>
      <c r="G485">
        <v>7.7499999999999999E-3</v>
      </c>
      <c r="H485">
        <f>VLOOKUP(A485,DB!A:I,2,FALSE)</f>
        <v>2200000</v>
      </c>
      <c r="I485">
        <f>VLOOKUP(A485,'RE@CD'!A:D,2,FALSE)</f>
        <v>700000</v>
      </c>
      <c r="J485">
        <f>VLOOKUP(A485,'RE@CD'!A:D,3,FALSE)</f>
        <v>275000</v>
      </c>
      <c r="K485">
        <f>VLOOKUP(A485,'RE@CD'!A:D,4,FALSE)</f>
        <v>450000</v>
      </c>
      <c r="L485">
        <f>VLOOKUP(A485,DB!A:I,3,FALSE)</f>
        <v>0.77600000000000002</v>
      </c>
      <c r="M485">
        <f>VLOOKUP(A485,DB!A:I,4,FALSE)</f>
        <v>-0.1855</v>
      </c>
      <c r="N485">
        <f>VLOOKUP(A485,DB!A:I,5,FALSE)</f>
        <v>4.1000000000000003E-3</v>
      </c>
      <c r="O485">
        <f>VLOOKUP(A485,DB!A:I,6,FALSE)</f>
        <v>2.96E-3</v>
      </c>
      <c r="P485">
        <f>VLOOKUP(A485,DB!A:I,7,FALSE)</f>
        <v>1.14E-3</v>
      </c>
      <c r="Q485">
        <f>VLOOKUP(A485,DB!A:I,8,FALSE)</f>
        <v>0.81210000000000004</v>
      </c>
      <c r="R485">
        <f>VLOOKUP(A485,DB!A:I,9,FALSE)</f>
        <v>0.65680000000000005</v>
      </c>
      <c r="S485">
        <f>N485 *SQRT(H485)</f>
        <v>6.0812827594184444</v>
      </c>
      <c r="T485">
        <f>L485/N485</f>
        <v>189.26829268292681</v>
      </c>
    </row>
    <row r="486" spans="1:20" x14ac:dyDescent="0.25">
      <c r="A486" t="s">
        <v>897</v>
      </c>
      <c r="B486" t="s">
        <v>312</v>
      </c>
      <c r="C486" s="4">
        <v>0.11806999999999999</v>
      </c>
      <c r="D486" s="4">
        <v>0.25</v>
      </c>
      <c r="E486" s="4">
        <v>2.3102000000000001E-2</v>
      </c>
      <c r="F486" s="4">
        <v>0.33900000000000002</v>
      </c>
      <c r="G486">
        <v>5.2700000000000004E-3</v>
      </c>
      <c r="H486">
        <f>VLOOKUP(A486,DB!A:I,2,FALSE)</f>
        <v>625000</v>
      </c>
      <c r="I486">
        <f>VLOOKUP(A486,'RE@CD'!A:D,2,FALSE)</f>
        <v>250000</v>
      </c>
      <c r="J486">
        <f>VLOOKUP(A486,'RE@CD'!A:D,3,FALSE)</f>
        <v>90000</v>
      </c>
      <c r="K486">
        <f>VLOOKUP(A486,'RE@CD'!A:D,4,FALSE)</f>
        <v>100000</v>
      </c>
      <c r="L486">
        <f>VLOOKUP(A486,DB!A:I,3,FALSE)</f>
        <v>0.14710000000000001</v>
      </c>
      <c r="M486">
        <f>VLOOKUP(A486,DB!A:I,4,FALSE)</f>
        <v>-1.49E-2</v>
      </c>
      <c r="N486">
        <f>VLOOKUP(A486,DB!A:I,5,FALSE)</f>
        <v>5.6800000000000002E-3</v>
      </c>
      <c r="O486">
        <f>VLOOKUP(A486,DB!A:I,6,FALSE)</f>
        <v>4.0000000000000001E-3</v>
      </c>
      <c r="P486">
        <f>VLOOKUP(A486,DB!A:I,7,FALSE)</f>
        <v>1.6900000000000001E-3</v>
      </c>
      <c r="Q486">
        <f>VLOOKUP(A486,DB!A:I,8,FALSE)</f>
        <v>0.70620000000000005</v>
      </c>
      <c r="R486">
        <f>VLOOKUP(A486,DB!A:I,9,FALSE)</f>
        <v>0.82169999999999999</v>
      </c>
      <c r="S486">
        <f>N486 *SQRT(H486)</f>
        <v>4.4904342774390988</v>
      </c>
      <c r="T486">
        <f>L486/N486</f>
        <v>25.897887323943664</v>
      </c>
    </row>
    <row r="487" spans="1:20" x14ac:dyDescent="0.25">
      <c r="A487" t="s">
        <v>983</v>
      </c>
      <c r="B487" t="s">
        <v>394</v>
      </c>
      <c r="C487" s="4">
        <v>8.9671000000000001E-2</v>
      </c>
      <c r="D487" s="4">
        <v>0.35</v>
      </c>
      <c r="E487" s="4">
        <v>2.4705000000000001E-2</v>
      </c>
      <c r="F487" s="4">
        <v>0.5</v>
      </c>
      <c r="G487">
        <v>2.5799999999999998E-3</v>
      </c>
      <c r="H487">
        <f>VLOOKUP(A487,DB!A:I,2,FALSE)</f>
        <v>3000000</v>
      </c>
      <c r="I487">
        <f>VLOOKUP(A487,'RE@CD'!A:D,2,FALSE)</f>
        <v>200000</v>
      </c>
      <c r="J487">
        <f>VLOOKUP(A487,'RE@CD'!A:D,3,FALSE)</f>
        <v>50000</v>
      </c>
      <c r="K487">
        <f>VLOOKUP(A487,'RE@CD'!A:D,4,FALSE)</f>
        <v>150000</v>
      </c>
      <c r="L487">
        <f>VLOOKUP(A487,DB!A:I,3,FALSE)</f>
        <v>0.3493</v>
      </c>
      <c r="M487">
        <f>VLOOKUP(A487,DB!A:I,4,FALSE)</f>
        <v>-7.6499999999999999E-2</v>
      </c>
      <c r="N487">
        <f>VLOOKUP(A487,DB!A:I,5,FALSE)</f>
        <v>4.0899999999999999E-3</v>
      </c>
      <c r="O487">
        <f>VLOOKUP(A487,DB!A:I,6,FALSE)</f>
        <v>3.6700000000000001E-3</v>
      </c>
      <c r="P487">
        <f>VLOOKUP(A487,DB!A:I,7,FALSE)</f>
        <v>4.2000000000000002E-4</v>
      </c>
      <c r="Q487">
        <f>VLOOKUP(A487,DB!A:I,8,FALSE)</f>
        <v>0.63890000000000002</v>
      </c>
      <c r="R487">
        <f>VLOOKUP(A487,DB!A:I,9,FALSE)</f>
        <v>0.58589999999999998</v>
      </c>
      <c r="S487">
        <f>N487 *SQRT(H487)</f>
        <v>7.0840878029567076</v>
      </c>
      <c r="T487">
        <f>L487/N487</f>
        <v>85.40342298288509</v>
      </c>
    </row>
    <row r="488" spans="1:20" x14ac:dyDescent="0.25">
      <c r="A488" t="s">
        <v>984</v>
      </c>
      <c r="B488" t="s">
        <v>395</v>
      </c>
      <c r="C488" s="4">
        <v>9.0323000000000001E-2</v>
      </c>
      <c r="D488" s="4">
        <v>0.35</v>
      </c>
      <c r="E488" s="4">
        <v>2.4507999999999999E-2</v>
      </c>
      <c r="F488" s="4">
        <v>0.55000000000000004</v>
      </c>
      <c r="G488">
        <v>4.5500000000000002E-3</v>
      </c>
      <c r="H488">
        <f>VLOOKUP(A488,DB!A:I,2,FALSE)</f>
        <v>3000000</v>
      </c>
      <c r="I488">
        <f>VLOOKUP(A488,'RE@CD'!A:D,2,FALSE)</f>
        <v>225000</v>
      </c>
      <c r="J488">
        <f>VLOOKUP(A488,'RE@CD'!A:D,3,FALSE)</f>
        <v>60000</v>
      </c>
      <c r="K488">
        <f>VLOOKUP(A488,'RE@CD'!A:D,4,FALSE)</f>
        <v>175000</v>
      </c>
      <c r="L488">
        <f>VLOOKUP(A488,DB!A:I,3,FALSE)</f>
        <v>0.37780000000000002</v>
      </c>
      <c r="M488">
        <f>VLOOKUP(A488,DB!A:I,4,FALSE)</f>
        <v>-8.4099999999999994E-2</v>
      </c>
      <c r="N488">
        <f>VLOOKUP(A488,DB!A:I,5,FALSE)</f>
        <v>4.0899999999999999E-3</v>
      </c>
      <c r="O488">
        <f>VLOOKUP(A488,DB!A:I,6,FALSE)</f>
        <v>3.64E-3</v>
      </c>
      <c r="P488">
        <f>VLOOKUP(A488,DB!A:I,7,FALSE)</f>
        <v>4.4000000000000002E-4</v>
      </c>
      <c r="Q488">
        <f>VLOOKUP(A488,DB!A:I,8,FALSE)</f>
        <v>0.6754</v>
      </c>
      <c r="R488">
        <f>VLOOKUP(A488,DB!A:I,9,FALSE)</f>
        <v>0.53439999999999999</v>
      </c>
      <c r="S488">
        <f>N488 *SQRT(H488)</f>
        <v>7.0840878029567076</v>
      </c>
      <c r="T488">
        <f>L488/N488</f>
        <v>92.371638141809299</v>
      </c>
    </row>
    <row r="489" spans="1:20" x14ac:dyDescent="0.25">
      <c r="A489" t="s">
        <v>985</v>
      </c>
      <c r="B489" t="s">
        <v>396</v>
      </c>
      <c r="C489" s="4">
        <v>9.0323000000000001E-2</v>
      </c>
      <c r="D489" s="4">
        <v>0.35</v>
      </c>
      <c r="E489" s="4">
        <v>2.4507999999999999E-2</v>
      </c>
      <c r="F489" s="4">
        <v>0.55000000000000004</v>
      </c>
      <c r="G489">
        <v>4.5500000000000002E-3</v>
      </c>
      <c r="H489">
        <f>VLOOKUP(A489,DB!A:I,2,FALSE)</f>
        <v>3000000</v>
      </c>
      <c r="I489">
        <f>VLOOKUP(A489,'RE@CD'!A:D,2,FALSE)</f>
        <v>225000</v>
      </c>
      <c r="J489">
        <f>VLOOKUP(A489,'RE@CD'!A:D,3,FALSE)</f>
        <v>50000</v>
      </c>
      <c r="K489">
        <f>VLOOKUP(A489,'RE@CD'!A:D,4,FALSE)</f>
        <v>175000</v>
      </c>
      <c r="L489">
        <f>VLOOKUP(A489,DB!A:I,3,FALSE)</f>
        <v>0.37780000000000002</v>
      </c>
      <c r="M489">
        <f>VLOOKUP(A489,DB!A:I,4,FALSE)</f>
        <v>-8.4099999999999994E-2</v>
      </c>
      <c r="N489">
        <f>VLOOKUP(A489,DB!A:I,5,FALSE)</f>
        <v>4.0899999999999999E-3</v>
      </c>
      <c r="O489">
        <f>VLOOKUP(A489,DB!A:I,6,FALSE)</f>
        <v>3.64E-3</v>
      </c>
      <c r="P489">
        <f>VLOOKUP(A489,DB!A:I,7,FALSE)</f>
        <v>4.4000000000000002E-4</v>
      </c>
      <c r="Q489">
        <f>VLOOKUP(A489,DB!A:I,8,FALSE)</f>
        <v>0.67549999999999999</v>
      </c>
      <c r="R489">
        <f>VLOOKUP(A489,DB!A:I,9,FALSE)</f>
        <v>0.53500000000000003</v>
      </c>
      <c r="S489">
        <f>N489 *SQRT(H489)</f>
        <v>7.0840878029567076</v>
      </c>
      <c r="T489">
        <f>L489/N489</f>
        <v>92.371638141809299</v>
      </c>
    </row>
    <row r="490" spans="1:20" x14ac:dyDescent="0.25">
      <c r="A490" t="s">
        <v>1094</v>
      </c>
      <c r="B490" t="s">
        <v>505</v>
      </c>
      <c r="C490" s="4">
        <v>7.9988000000000004E-2</v>
      </c>
      <c r="D490" s="4">
        <v>0.30199999999999999</v>
      </c>
      <c r="E490" s="4">
        <v>1.8329999999999999E-2</v>
      </c>
      <c r="F490" s="4">
        <v>0.45600000000000002</v>
      </c>
      <c r="G490">
        <v>4.8399999999999997E-3</v>
      </c>
      <c r="H490">
        <f>VLOOKUP(A490,DB!A:I,2,FALSE)</f>
        <v>1800000</v>
      </c>
      <c r="I490">
        <f>VLOOKUP(A490,'RE@CD'!A:D,2,FALSE)</f>
        <v>175000</v>
      </c>
      <c r="J490">
        <f>VLOOKUP(A490,'RE@CD'!A:D,3,FALSE)</f>
        <v>50000</v>
      </c>
      <c r="K490">
        <f>VLOOKUP(A490,'RE@CD'!A:D,4,FALSE)</f>
        <v>150000</v>
      </c>
      <c r="L490">
        <f>VLOOKUP(A490,DB!A:I,3,FALSE)</f>
        <v>0.25829999999999997</v>
      </c>
      <c r="M490">
        <f>VLOOKUP(A490,DB!A:I,4,FALSE)</f>
        <v>-6.1199999999999997E-2</v>
      </c>
      <c r="N490">
        <f>VLOOKUP(A490,DB!A:I,5,FALSE)</f>
        <v>4.0800000000000003E-3</v>
      </c>
      <c r="O490">
        <f>VLOOKUP(A490,DB!A:I,6,FALSE)</f>
        <v>3.5799999999999998E-3</v>
      </c>
      <c r="P490">
        <f>VLOOKUP(A490,DB!A:I,7,FALSE)</f>
        <v>5.0000000000000001E-4</v>
      </c>
      <c r="Q490">
        <f>VLOOKUP(A490,DB!A:I,8,FALSE)</f>
        <v>0.72529999999999994</v>
      </c>
      <c r="R490">
        <f>VLOOKUP(A490,DB!A:I,9,FALSE)</f>
        <v>0.65610000000000002</v>
      </c>
      <c r="S490">
        <f>N490 *SQRT(H490)</f>
        <v>5.4738944089194863</v>
      </c>
      <c r="T490">
        <f>L490/N490</f>
        <v>63.308823529411754</v>
      </c>
    </row>
    <row r="491" spans="1:20" x14ac:dyDescent="0.25">
      <c r="A491" t="s">
        <v>972</v>
      </c>
      <c r="B491" t="s">
        <v>383</v>
      </c>
      <c r="C491" s="4">
        <v>8.9521000000000003E-2</v>
      </c>
      <c r="D491" s="4">
        <v>0.371</v>
      </c>
      <c r="E491" s="4">
        <v>1.4518E-2</v>
      </c>
      <c r="F491" s="4">
        <v>0.5</v>
      </c>
      <c r="G491">
        <v>3.98E-3</v>
      </c>
      <c r="H491">
        <f>VLOOKUP(A491,DB!A:I,2,FALSE)</f>
        <v>2900000</v>
      </c>
      <c r="I491">
        <f>VLOOKUP(A491,'RE@CD'!A:D,2,FALSE)</f>
        <v>200000</v>
      </c>
      <c r="J491">
        <f>VLOOKUP(A491,'RE@CD'!A:D,3,FALSE)</f>
        <v>50000</v>
      </c>
      <c r="K491">
        <f>VLOOKUP(A491,'RE@CD'!A:D,4,FALSE)</f>
        <v>150000</v>
      </c>
      <c r="L491">
        <f>VLOOKUP(A491,DB!A:I,3,FALSE)</f>
        <v>0.21129999999999999</v>
      </c>
      <c r="M491">
        <f>VLOOKUP(A491,DB!A:I,4,FALSE)</f>
        <v>-4.6100000000000002E-2</v>
      </c>
      <c r="N491">
        <f>VLOOKUP(A491,DB!A:I,5,FALSE)</f>
        <v>4.0600000000000002E-3</v>
      </c>
      <c r="O491">
        <f>VLOOKUP(A491,DB!A:I,6,FALSE)</f>
        <v>3.6900000000000001E-3</v>
      </c>
      <c r="P491">
        <f>VLOOKUP(A491,DB!A:I,7,FALSE)</f>
        <v>3.8000000000000002E-4</v>
      </c>
      <c r="Q491">
        <f>VLOOKUP(A491,DB!A:I,8,FALSE)</f>
        <v>0.63939999999999997</v>
      </c>
      <c r="R491">
        <f>VLOOKUP(A491,DB!A:I,9,FALSE)</f>
        <v>0.5917</v>
      </c>
      <c r="S491">
        <f>N491 *SQRT(H491)</f>
        <v>6.9139308645661188</v>
      </c>
      <c r="T491">
        <f>L491/N491</f>
        <v>52.044334975369452</v>
      </c>
    </row>
    <row r="492" spans="1:20" x14ac:dyDescent="0.25">
      <c r="A492" t="s">
        <v>964</v>
      </c>
      <c r="B492" t="s">
        <v>375</v>
      </c>
      <c r="C492" s="4">
        <v>9.9599999999999994E-2</v>
      </c>
      <c r="D492" s="4">
        <v>0.35</v>
      </c>
      <c r="E492" s="4">
        <v>9.8519999999999996E-3</v>
      </c>
      <c r="F492" s="4">
        <v>0.5</v>
      </c>
      <c r="G492">
        <v>3.7200000000000002E-3</v>
      </c>
      <c r="H492">
        <f>VLOOKUP(A492,DB!A:I,2,FALSE)</f>
        <v>3000000</v>
      </c>
      <c r="I492">
        <f>VLOOKUP(A492,'RE@CD'!A:D,2,FALSE)</f>
        <v>200000</v>
      </c>
      <c r="J492">
        <f>VLOOKUP(A492,'RE@CD'!A:D,3,FALSE)</f>
        <v>50000</v>
      </c>
      <c r="K492">
        <f>VLOOKUP(A492,'RE@CD'!A:D,4,FALSE)</f>
        <v>150000</v>
      </c>
      <c r="L492">
        <f>VLOOKUP(A492,DB!A:I,3,FALSE)</f>
        <v>0.14000000000000001</v>
      </c>
      <c r="M492">
        <f>VLOOKUP(A492,DB!A:I,4,FALSE)</f>
        <v>-3.04E-2</v>
      </c>
      <c r="N492">
        <f>VLOOKUP(A492,DB!A:I,5,FALSE)</f>
        <v>4.0499999999999998E-3</v>
      </c>
      <c r="O492">
        <f>VLOOKUP(A492,DB!A:I,6,FALSE)</f>
        <v>3.64E-3</v>
      </c>
      <c r="P492">
        <f>VLOOKUP(A492,DB!A:I,7,FALSE)</f>
        <v>4.0999999999999999E-4</v>
      </c>
      <c r="Q492">
        <f>VLOOKUP(A492,DB!A:I,8,FALSE)</f>
        <v>0.62260000000000004</v>
      </c>
      <c r="R492">
        <f>VLOOKUP(A492,DB!A:I,9,FALSE)</f>
        <v>0.61709999999999998</v>
      </c>
      <c r="S492">
        <f>N492 *SQRT(H492)</f>
        <v>7.0148057706539522</v>
      </c>
      <c r="T492">
        <f>L492/N492</f>
        <v>34.567901234567906</v>
      </c>
    </row>
    <row r="493" spans="1:20" x14ac:dyDescent="0.25">
      <c r="A493" t="s">
        <v>1027</v>
      </c>
      <c r="B493" t="s">
        <v>438</v>
      </c>
      <c r="C493" s="4">
        <v>7.1980000000000002E-2</v>
      </c>
      <c r="D493" s="4">
        <v>0.27</v>
      </c>
      <c r="E493" s="4">
        <v>1.8069999999999999E-2</v>
      </c>
      <c r="F493" s="4">
        <v>0.33400000000000002</v>
      </c>
      <c r="G493">
        <v>1.17E-3</v>
      </c>
      <c r="H493">
        <f>VLOOKUP(A493,DB!A:I,2,FALSE)</f>
        <v>1300000</v>
      </c>
      <c r="I493">
        <f>VLOOKUP(A493,'RE@CD'!A:D,2,FALSE)</f>
        <v>125000</v>
      </c>
      <c r="J493">
        <f>VLOOKUP(A493,'RE@CD'!A:D,3,FALSE)</f>
        <v>50000</v>
      </c>
      <c r="K493">
        <f>VLOOKUP(A493,'RE@CD'!A:D,4,FALSE)</f>
        <v>100000</v>
      </c>
      <c r="L493">
        <f>VLOOKUP(A493,DB!A:I,3,FALSE)</f>
        <v>0.1084</v>
      </c>
      <c r="M493">
        <f>VLOOKUP(A493,DB!A:I,4,FALSE)</f>
        <v>-1.3100000000000001E-2</v>
      </c>
      <c r="N493">
        <f>VLOOKUP(A493,DB!A:I,5,FALSE)</f>
        <v>4.0499999999999998E-3</v>
      </c>
      <c r="O493">
        <f>VLOOKUP(A493,DB!A:I,6,FALSE)</f>
        <v>3.4199999999999999E-3</v>
      </c>
      <c r="P493">
        <f>VLOOKUP(A493,DB!A:I,7,FALSE)</f>
        <v>6.2E-4</v>
      </c>
      <c r="Q493">
        <f>VLOOKUP(A493,DB!A:I,8,FALSE)</f>
        <v>0.62670000000000003</v>
      </c>
      <c r="R493">
        <f>VLOOKUP(A493,DB!A:I,9,FALSE)</f>
        <v>0.91800000000000004</v>
      </c>
      <c r="S493">
        <f>N493 *SQRT(H493)</f>
        <v>4.6177104716515087</v>
      </c>
      <c r="T493">
        <f>L493/N493</f>
        <v>26.765432098765434</v>
      </c>
    </row>
    <row r="494" spans="1:20" x14ac:dyDescent="0.25">
      <c r="A494" t="s">
        <v>1128</v>
      </c>
      <c r="B494" t="s">
        <v>539</v>
      </c>
      <c r="C494" s="4">
        <v>0.120016</v>
      </c>
      <c r="D494" s="4">
        <v>0.34300000000000003</v>
      </c>
      <c r="E494" s="4">
        <v>2.0773E-2</v>
      </c>
      <c r="F494" s="4">
        <v>0.41099999999999998</v>
      </c>
      <c r="G494">
        <v>6.9699999999999996E-3</v>
      </c>
      <c r="H494">
        <f>VLOOKUP(A494,DB!A:I,2,FALSE)</f>
        <v>2700000</v>
      </c>
      <c r="I494">
        <f>VLOOKUP(A494,'RE@CD'!A:D,2,FALSE)</f>
        <v>300000</v>
      </c>
      <c r="J494">
        <f>VLOOKUP(A494,'RE@CD'!A:D,3,FALSE)</f>
        <v>125000</v>
      </c>
      <c r="K494">
        <f>VLOOKUP(A494,'RE@CD'!A:D,4,FALSE)</f>
        <v>250000</v>
      </c>
      <c r="L494">
        <f>VLOOKUP(A494,DB!A:I,3,FALSE)</f>
        <v>0.22370000000000001</v>
      </c>
      <c r="M494">
        <f>VLOOKUP(A494,DB!A:I,4,FALSE)</f>
        <v>-4.1300000000000003E-2</v>
      </c>
      <c r="N494">
        <f>VLOOKUP(A494,DB!A:I,5,FALSE)</f>
        <v>4.0499999999999998E-3</v>
      </c>
      <c r="O494">
        <f>VLOOKUP(A494,DB!A:I,6,FALSE)</f>
        <v>3.4399999999999999E-3</v>
      </c>
      <c r="P494">
        <f>VLOOKUP(A494,DB!A:I,7,FALSE)</f>
        <v>6.0999999999999997E-4</v>
      </c>
      <c r="Q494">
        <f>VLOOKUP(A494,DB!A:I,8,FALSE)</f>
        <v>0.63229999999999997</v>
      </c>
      <c r="R494">
        <f>VLOOKUP(A494,DB!A:I,9,FALSE)</f>
        <v>0.68689999999999996</v>
      </c>
      <c r="S494">
        <f>N494 *SQRT(H494)</f>
        <v>6.6548290736877682</v>
      </c>
      <c r="T494">
        <f>L494/N494</f>
        <v>55.23456790123457</v>
      </c>
    </row>
    <row r="495" spans="1:20" x14ac:dyDescent="0.25">
      <c r="A495" t="s">
        <v>1141</v>
      </c>
      <c r="B495" t="s">
        <v>552</v>
      </c>
      <c r="C495" s="4">
        <v>0.10371900000000001</v>
      </c>
      <c r="D495" s="4">
        <v>0.33900000000000002</v>
      </c>
      <c r="E495" s="4">
        <v>1.8709E-2</v>
      </c>
      <c r="F495" s="4">
        <v>0.36299999999999999</v>
      </c>
      <c r="G495">
        <v>4.3600000000000002E-3</v>
      </c>
      <c r="H495">
        <f>VLOOKUP(A495,DB!A:I,2,FALSE)</f>
        <v>2900000</v>
      </c>
      <c r="I495">
        <f>VLOOKUP(A495,'RE@CD'!A:D,2,FALSE)</f>
        <v>225000</v>
      </c>
      <c r="J495">
        <f>VLOOKUP(A495,'RE@CD'!A:D,3,FALSE)</f>
        <v>80000</v>
      </c>
      <c r="K495">
        <f>VLOOKUP(A495,'RE@CD'!A:D,4,FALSE)</f>
        <v>150000</v>
      </c>
      <c r="L495">
        <f>VLOOKUP(A495,DB!A:I,3,FALSE)</f>
        <v>0.1734</v>
      </c>
      <c r="M495">
        <f>VLOOKUP(A495,DB!A:I,4,FALSE)</f>
        <v>-3.0599999999999999E-2</v>
      </c>
      <c r="N495">
        <f>VLOOKUP(A495,DB!A:I,5,FALSE)</f>
        <v>4.0499999999999998E-3</v>
      </c>
      <c r="O495">
        <f>VLOOKUP(A495,DB!A:I,6,FALSE)</f>
        <v>3.5799999999999998E-3</v>
      </c>
      <c r="P495">
        <f>VLOOKUP(A495,DB!A:I,7,FALSE)</f>
        <v>4.8000000000000001E-4</v>
      </c>
      <c r="Q495">
        <f>VLOOKUP(A495,DB!A:I,8,FALSE)</f>
        <v>0.59489999999999998</v>
      </c>
      <c r="R495">
        <f>VLOOKUP(A495,DB!A:I,9,FALSE)</f>
        <v>0.67859999999999998</v>
      </c>
      <c r="S495">
        <f>N495 *SQRT(H495)</f>
        <v>6.8969014782001921</v>
      </c>
      <c r="T495">
        <f>L495/N495</f>
        <v>42.814814814814817</v>
      </c>
    </row>
    <row r="496" spans="1:20" x14ac:dyDescent="0.25">
      <c r="A496" t="s">
        <v>678</v>
      </c>
      <c r="B496" t="s">
        <v>93</v>
      </c>
      <c r="C496" s="4">
        <v>8.3279000000000006E-2</v>
      </c>
      <c r="D496" s="4">
        <v>0.32100000000000001</v>
      </c>
      <c r="E496" s="4">
        <v>1.1693E-2</v>
      </c>
      <c r="F496" s="4">
        <v>0.36799999999999999</v>
      </c>
      <c r="G496">
        <v>3.7100000000000002E-3</v>
      </c>
      <c r="H496">
        <f>VLOOKUP(A496,DB!A:I,2,FALSE)</f>
        <v>1400000</v>
      </c>
      <c r="I496">
        <f>VLOOKUP(A496,'RE@CD'!A:D,2,FALSE)</f>
        <v>175000</v>
      </c>
      <c r="J496">
        <f>VLOOKUP(A496,'RE@CD'!A:D,3,FALSE)</f>
        <v>50000</v>
      </c>
      <c r="K496">
        <f>VLOOKUP(A496,'RE@CD'!A:D,4,FALSE)</f>
        <v>125000</v>
      </c>
      <c r="L496">
        <f>VLOOKUP(A496,DB!A:I,3,FALSE)</f>
        <v>-4.9799999999999997E-2</v>
      </c>
      <c r="M496">
        <f>VLOOKUP(A496,DB!A:I,4,FALSE)</f>
        <v>2.6599999999999999E-2</v>
      </c>
      <c r="N496">
        <f>VLOOKUP(A496,DB!A:I,5,FALSE)</f>
        <v>4.0299999999999997E-3</v>
      </c>
      <c r="O496">
        <f>VLOOKUP(A496,DB!A:I,6,FALSE)</f>
        <v>3.4099999999999998E-3</v>
      </c>
      <c r="P496">
        <f>VLOOKUP(A496,DB!A:I,7,FALSE)</f>
        <v>6.2E-4</v>
      </c>
      <c r="Q496">
        <f>VLOOKUP(A496,DB!A:I,8,FALSE)</f>
        <v>0.60980000000000001</v>
      </c>
      <c r="R496">
        <f>VLOOKUP(A496,DB!A:I,9,FALSE)</f>
        <v>0.88470000000000004</v>
      </c>
      <c r="S496">
        <f>N496 *SQRT(H496)</f>
        <v>4.7683603051782901</v>
      </c>
      <c r="T496">
        <f>L496/N496</f>
        <v>-12.357320099255583</v>
      </c>
    </row>
    <row r="497" spans="1:20" x14ac:dyDescent="0.25">
      <c r="A497" t="s">
        <v>917</v>
      </c>
      <c r="B497" t="s">
        <v>331</v>
      </c>
      <c r="C497" s="4">
        <v>0.12989999999999999</v>
      </c>
      <c r="D497" s="4">
        <v>0.435</v>
      </c>
      <c r="E497" s="4">
        <v>3.9329000000000003E-2</v>
      </c>
      <c r="F497" s="4">
        <v>0.46700000000000003</v>
      </c>
      <c r="G497">
        <v>4.4099999999999999E-3</v>
      </c>
      <c r="H497">
        <f>VLOOKUP(A497,DB!A:I,2,FALSE)</f>
        <v>3000000</v>
      </c>
      <c r="I497">
        <f>VLOOKUP(A497,'RE@CD'!A:D,2,FALSE)</f>
        <v>650000</v>
      </c>
      <c r="J497">
        <f>VLOOKUP(A497,'RE@CD'!A:D,3,FALSE)</f>
        <v>275000</v>
      </c>
      <c r="K497">
        <f>VLOOKUP(A497,'RE@CD'!A:D,4,FALSE)</f>
        <v>500000</v>
      </c>
      <c r="L497">
        <f>VLOOKUP(A497,DB!A:I,3,FALSE)</f>
        <v>0.49869999999999998</v>
      </c>
      <c r="M497">
        <f>VLOOKUP(A497,DB!A:I,4,FALSE)</f>
        <v>-0.1096</v>
      </c>
      <c r="N497">
        <f>VLOOKUP(A497,DB!A:I,5,FALSE)</f>
        <v>4.0299999999999997E-3</v>
      </c>
      <c r="O497">
        <f>VLOOKUP(A497,DB!A:I,6,FALSE)</f>
        <v>3.0599999999999998E-3</v>
      </c>
      <c r="P497">
        <f>VLOOKUP(A497,DB!A:I,7,FALSE)</f>
        <v>9.7000000000000005E-4</v>
      </c>
      <c r="Q497">
        <f>VLOOKUP(A497,DB!A:I,8,FALSE)</f>
        <v>0.68989999999999996</v>
      </c>
      <c r="R497">
        <f>VLOOKUP(A497,DB!A:I,9,FALSE)</f>
        <v>0.78359999999999996</v>
      </c>
      <c r="S497">
        <f>N497 *SQRT(H497)</f>
        <v>6.9801647545025745</v>
      </c>
      <c r="T497">
        <f>L497/N497</f>
        <v>123.7468982630273</v>
      </c>
    </row>
    <row r="498" spans="1:20" x14ac:dyDescent="0.25">
      <c r="A498" t="s">
        <v>978</v>
      </c>
      <c r="B498" t="s">
        <v>389</v>
      </c>
      <c r="C498" s="4">
        <v>9.4922000000000006E-2</v>
      </c>
      <c r="D498" s="4">
        <v>0.35</v>
      </c>
      <c r="E498" s="4">
        <v>2.0317999999999999E-2</v>
      </c>
      <c r="F498" s="4">
        <v>0.55000000000000004</v>
      </c>
      <c r="G498">
        <v>5.9100000000000003E-3</v>
      </c>
      <c r="H498">
        <f>VLOOKUP(A498,DB!A:I,2,FALSE)</f>
        <v>3000000</v>
      </c>
      <c r="I498">
        <f>VLOOKUP(A498,'RE@CD'!A:D,2,FALSE)</f>
        <v>225000</v>
      </c>
      <c r="J498">
        <f>VLOOKUP(A498,'RE@CD'!A:D,3,FALSE)</f>
        <v>50000</v>
      </c>
      <c r="K498">
        <f>VLOOKUP(A498,'RE@CD'!A:D,4,FALSE)</f>
        <v>175000</v>
      </c>
      <c r="L498">
        <f>VLOOKUP(A498,DB!A:I,3,FALSE)</f>
        <v>0.31440000000000001</v>
      </c>
      <c r="M498">
        <f>VLOOKUP(A498,DB!A:I,4,FALSE)</f>
        <v>-6.9800000000000001E-2</v>
      </c>
      <c r="N498">
        <f>VLOOKUP(A498,DB!A:I,5,FALSE)</f>
        <v>4.0200000000000001E-3</v>
      </c>
      <c r="O498">
        <f>VLOOKUP(A498,DB!A:I,6,FALSE)</f>
        <v>3.5799999999999998E-3</v>
      </c>
      <c r="P498">
        <f>VLOOKUP(A498,DB!A:I,7,FALSE)</f>
        <v>4.4000000000000002E-4</v>
      </c>
      <c r="Q498">
        <f>VLOOKUP(A498,DB!A:I,8,FALSE)</f>
        <v>0.67179999999999995</v>
      </c>
      <c r="R498">
        <f>VLOOKUP(A498,DB!A:I,9,FALSE)</f>
        <v>0.56399999999999995</v>
      </c>
      <c r="S498">
        <f>N498 *SQRT(H498)</f>
        <v>6.9628442464268865</v>
      </c>
      <c r="T498">
        <f>L498/N498</f>
        <v>78.208955223880594</v>
      </c>
    </row>
    <row r="499" spans="1:20" x14ac:dyDescent="0.25">
      <c r="A499" t="s">
        <v>1067</v>
      </c>
      <c r="B499" t="s">
        <v>478</v>
      </c>
      <c r="C499" s="4">
        <v>9.2659000000000005E-2</v>
      </c>
      <c r="D499" s="4">
        <v>0.309</v>
      </c>
      <c r="E499" s="4">
        <v>1.3854999999999999E-2</v>
      </c>
      <c r="F499" s="4">
        <v>0.35799999999999998</v>
      </c>
      <c r="G499">
        <v>9.8999999999999999E-4</v>
      </c>
      <c r="H499">
        <f>VLOOKUP(A499,DB!A:I,2,FALSE)</f>
        <v>3000000</v>
      </c>
      <c r="I499">
        <f>VLOOKUP(A499,'RE@CD'!A:D,2,FALSE)</f>
        <v>200000</v>
      </c>
      <c r="J499">
        <f>VLOOKUP(A499,'RE@CD'!A:D,3,FALSE)</f>
        <v>50000</v>
      </c>
      <c r="K499">
        <f>VLOOKUP(A499,'RE@CD'!A:D,4,FALSE)</f>
        <v>175000</v>
      </c>
      <c r="L499">
        <f>VLOOKUP(A499,DB!A:I,3,FALSE)</f>
        <v>0.21410000000000001</v>
      </c>
      <c r="M499">
        <f>VLOOKUP(A499,DB!A:I,4,FALSE)</f>
        <v>-4.7899999999999998E-2</v>
      </c>
      <c r="N499">
        <f>VLOOKUP(A499,DB!A:I,5,FALSE)</f>
        <v>4.0200000000000001E-3</v>
      </c>
      <c r="O499">
        <f>VLOOKUP(A499,DB!A:I,6,FALSE)</f>
        <v>3.5500000000000002E-3</v>
      </c>
      <c r="P499">
        <f>VLOOKUP(A499,DB!A:I,7,FALSE)</f>
        <v>4.6999999999999999E-4</v>
      </c>
      <c r="Q499">
        <f>VLOOKUP(A499,DB!A:I,8,FALSE)</f>
        <v>0.58079999999999998</v>
      </c>
      <c r="R499">
        <f>VLOOKUP(A499,DB!A:I,9,FALSE)</f>
        <v>0.7077</v>
      </c>
      <c r="S499">
        <f>N499 *SQRT(H499)</f>
        <v>6.9628442464268865</v>
      </c>
      <c r="T499">
        <f>L499/N499</f>
        <v>53.258706467661696</v>
      </c>
    </row>
    <row r="500" spans="1:20" x14ac:dyDescent="0.25">
      <c r="A500" t="s">
        <v>640</v>
      </c>
      <c r="B500" t="s">
        <v>55</v>
      </c>
      <c r="C500" s="4">
        <v>0.15687200000000001</v>
      </c>
      <c r="D500" s="4">
        <v>0.39700000000000002</v>
      </c>
      <c r="E500" s="4">
        <v>3.8129000000000003E-2</v>
      </c>
      <c r="F500" s="4">
        <v>0.40300000000000002</v>
      </c>
      <c r="G500">
        <v>1.103E-2</v>
      </c>
      <c r="H500">
        <f>VLOOKUP(A500,DB!A:I,2,FALSE)</f>
        <v>3000000</v>
      </c>
      <c r="I500">
        <f>VLOOKUP(A500,'RE@CD'!A:D,2,FALSE)</f>
        <v>525000</v>
      </c>
      <c r="J500">
        <f>VLOOKUP(A500,'RE@CD'!A:D,3,FALSE)</f>
        <v>200000</v>
      </c>
      <c r="K500">
        <f>VLOOKUP(A500,'RE@CD'!A:D,4,FALSE)</f>
        <v>400000</v>
      </c>
      <c r="L500">
        <f>VLOOKUP(A500,DB!A:I,3,FALSE)</f>
        <v>0.40960000000000002</v>
      </c>
      <c r="M500">
        <f>VLOOKUP(A500,DB!A:I,4,FALSE)</f>
        <v>-7.6700000000000004E-2</v>
      </c>
      <c r="N500">
        <f>VLOOKUP(A500,DB!A:I,5,FALSE)</f>
        <v>4.0099999999999997E-3</v>
      </c>
      <c r="O500">
        <f>VLOOKUP(A500,DB!A:I,6,FALSE)</f>
        <v>3.1199999999999999E-3</v>
      </c>
      <c r="P500">
        <f>VLOOKUP(A500,DB!A:I,7,FALSE)</f>
        <v>8.8999999999999995E-4</v>
      </c>
      <c r="Q500">
        <f>VLOOKUP(A500,DB!A:I,8,FALSE)</f>
        <v>0.62360000000000004</v>
      </c>
      <c r="R500">
        <f>VLOOKUP(A500,DB!A:I,9,FALSE)</f>
        <v>0.79669999999999996</v>
      </c>
      <c r="S500">
        <f>N500 *SQRT(H500)</f>
        <v>6.9455237383511967</v>
      </c>
      <c r="T500">
        <f>L500/N500</f>
        <v>102.14463840399004</v>
      </c>
    </row>
    <row r="501" spans="1:20" x14ac:dyDescent="0.25">
      <c r="A501" t="s">
        <v>961</v>
      </c>
      <c r="B501" t="s">
        <v>372</v>
      </c>
      <c r="C501" s="4">
        <v>0.1</v>
      </c>
      <c r="D501" s="4">
        <v>0.33900000000000002</v>
      </c>
      <c r="E501" s="4">
        <v>0</v>
      </c>
      <c r="F501" s="4">
        <v>5.1999999999999998E-2</v>
      </c>
      <c r="G501">
        <v>3.64E-3</v>
      </c>
      <c r="H501">
        <f>VLOOKUP(A501,DB!A:I,2,FALSE)</f>
        <v>3000000</v>
      </c>
      <c r="I501">
        <f>VLOOKUP(A501,'RE@CD'!A:D,2,FALSE)</f>
        <v>200000</v>
      </c>
      <c r="J501">
        <f>VLOOKUP(A501,'RE@CD'!A:D,3,FALSE)</f>
        <v>50000</v>
      </c>
      <c r="K501">
        <f>VLOOKUP(A501,'RE@CD'!A:D,4,FALSE)</f>
        <v>150000</v>
      </c>
      <c r="L501">
        <f>VLOOKUP(A501,DB!A:I,3,FALSE)</f>
        <v>0</v>
      </c>
      <c r="M501">
        <f>VLOOKUP(A501,DB!A:I,4,FALSE)</f>
        <v>0</v>
      </c>
      <c r="N501">
        <f>VLOOKUP(A501,DB!A:I,5,FALSE)</f>
        <v>4.0099999999999997E-3</v>
      </c>
      <c r="O501">
        <f>VLOOKUP(A501,DB!A:I,6,FALSE)</f>
        <v>3.62E-3</v>
      </c>
      <c r="P501">
        <f>VLOOKUP(A501,DB!A:I,7,FALSE)</f>
        <v>4.0000000000000002E-4</v>
      </c>
      <c r="Q501">
        <f>VLOOKUP(A501,DB!A:I,8,FALSE)</f>
        <v>0.62209999999999999</v>
      </c>
      <c r="R501">
        <f>VLOOKUP(A501,DB!A:I,9,FALSE)</f>
        <v>0.62209999999999999</v>
      </c>
      <c r="S501">
        <f>N501 *SQRT(H501)</f>
        <v>6.9455237383511967</v>
      </c>
      <c r="T501">
        <f>L501/N501</f>
        <v>0</v>
      </c>
    </row>
    <row r="502" spans="1:20" x14ac:dyDescent="0.25">
      <c r="A502" t="s">
        <v>1121</v>
      </c>
      <c r="B502" t="s">
        <v>532</v>
      </c>
      <c r="C502" s="4">
        <v>0.10500900000000001</v>
      </c>
      <c r="D502" s="4">
        <v>0.318</v>
      </c>
      <c r="E502" s="4">
        <v>3.5716999999999999E-2</v>
      </c>
      <c r="F502" s="4">
        <v>0.38600000000000001</v>
      </c>
      <c r="G502">
        <v>4.9800000000000001E-3</v>
      </c>
      <c r="H502">
        <f>VLOOKUP(A502,DB!A:I,2,FALSE)</f>
        <v>925000</v>
      </c>
      <c r="I502">
        <f>VLOOKUP(A502,'RE@CD'!A:D,2,FALSE)</f>
        <v>200000</v>
      </c>
      <c r="J502">
        <f>VLOOKUP(A502,'RE@CD'!A:D,3,FALSE)</f>
        <v>90000</v>
      </c>
      <c r="K502">
        <f>VLOOKUP(A502,'RE@CD'!A:D,4,FALSE)</f>
        <v>125000</v>
      </c>
      <c r="L502">
        <f>VLOOKUP(A502,DB!A:I,3,FALSE)</f>
        <v>0.33550000000000002</v>
      </c>
      <c r="M502">
        <f>VLOOKUP(A502,DB!A:I,4,FALSE)</f>
        <v>-6.3E-2</v>
      </c>
      <c r="N502">
        <f>VLOOKUP(A502,DB!A:I,5,FALSE)</f>
        <v>5.1200000000000004E-3</v>
      </c>
      <c r="O502">
        <f>VLOOKUP(A502,DB!A:I,6,FALSE)</f>
        <v>3.8999999999999998E-3</v>
      </c>
      <c r="P502">
        <f>VLOOKUP(A502,DB!A:I,7,FALSE)</f>
        <v>1.2199999999999999E-3</v>
      </c>
      <c r="Q502">
        <f>VLOOKUP(A502,DB!A:I,8,FALSE)</f>
        <v>0.65139999999999998</v>
      </c>
      <c r="R502">
        <f>VLOOKUP(A502,DB!A:I,9,FALSE)</f>
        <v>0.8498</v>
      </c>
      <c r="S502">
        <f>N502 *SQRT(H502)</f>
        <v>4.9242583197878647</v>
      </c>
      <c r="T502">
        <f>L502/N502</f>
        <v>65.52734375</v>
      </c>
    </row>
    <row r="503" spans="1:20" x14ac:dyDescent="0.25">
      <c r="A503" t="s">
        <v>1046</v>
      </c>
      <c r="B503" t="s">
        <v>457</v>
      </c>
      <c r="C503" s="4">
        <v>0.144704</v>
      </c>
      <c r="D503" s="4">
        <v>0.221</v>
      </c>
      <c r="E503" s="4">
        <v>2.6790999999999999E-2</v>
      </c>
      <c r="F503" s="4">
        <v>0.16800000000000001</v>
      </c>
      <c r="G503">
        <v>3.6700000000000001E-3</v>
      </c>
      <c r="H503">
        <f>VLOOKUP(A503,DB!A:I,2,FALSE)</f>
        <v>675000</v>
      </c>
      <c r="I503">
        <f>VLOOKUP(A503,'RE@CD'!A:D,2,FALSE)</f>
        <v>375000</v>
      </c>
      <c r="J503">
        <f>VLOOKUP(A503,'RE@CD'!A:D,3,FALSE)</f>
        <v>100000</v>
      </c>
      <c r="K503">
        <f>VLOOKUP(A503,'RE@CD'!A:D,4,FALSE)</f>
        <v>80000</v>
      </c>
      <c r="L503">
        <f>VLOOKUP(A503,DB!A:I,3,FALSE)</f>
        <v>2.7000000000000001E-3</v>
      </c>
      <c r="M503">
        <f>VLOOKUP(A503,DB!A:I,4,FALSE)</f>
        <v>4.3700000000000003E-2</v>
      </c>
      <c r="N503">
        <f>VLOOKUP(A503,DB!A:I,5,FALSE)</f>
        <v>7.6E-3</v>
      </c>
      <c r="O503">
        <f>VLOOKUP(A503,DB!A:I,6,FALSE)</f>
        <v>5.3200000000000001E-3</v>
      </c>
      <c r="P503">
        <f>VLOOKUP(A503,DB!A:I,7,FALSE)</f>
        <v>2.2799999999999999E-3</v>
      </c>
      <c r="Q503">
        <f>VLOOKUP(A503,DB!A:I,8,FALSE)</f>
        <v>0.30180000000000001</v>
      </c>
      <c r="R503">
        <f>VLOOKUP(A503,DB!A:I,9,FALSE)</f>
        <v>0.78300000000000003</v>
      </c>
      <c r="S503">
        <f>N503 *SQRT(H503)</f>
        <v>6.2440371555588943</v>
      </c>
      <c r="T503">
        <f>L503/N503</f>
        <v>0.35526315789473684</v>
      </c>
    </row>
    <row r="504" spans="1:20" x14ac:dyDescent="0.25">
      <c r="A504" t="s">
        <v>629</v>
      </c>
      <c r="B504" t="s">
        <v>44</v>
      </c>
      <c r="C504" s="4">
        <v>0.130521</v>
      </c>
      <c r="D504" s="4">
        <v>0.40300000000000002</v>
      </c>
      <c r="E504" s="4">
        <v>2.7762999999999999E-2</v>
      </c>
      <c r="F504" s="4">
        <v>0.40300000000000002</v>
      </c>
      <c r="G504">
        <v>3.8600000000000001E-3</v>
      </c>
      <c r="H504">
        <f>VLOOKUP(A504,DB!A:I,2,FALSE)</f>
        <v>1800000</v>
      </c>
      <c r="I504">
        <f>VLOOKUP(A504,'RE@CD'!A:D,2,FALSE)</f>
        <v>525000</v>
      </c>
      <c r="J504">
        <f>VLOOKUP(A504,'RE@CD'!A:D,3,FALSE)</f>
        <v>250000</v>
      </c>
      <c r="K504">
        <f>VLOOKUP(A504,'RE@CD'!A:D,4,FALSE)</f>
        <v>425000</v>
      </c>
      <c r="L504">
        <f>VLOOKUP(A504,DB!A:I,3,FALSE)</f>
        <v>6.0999999999999999E-2</v>
      </c>
      <c r="M504">
        <f>VLOOKUP(A504,DB!A:I,4,FALSE)</f>
        <v>1.26E-2</v>
      </c>
      <c r="N504">
        <f>VLOOKUP(A504,DB!A:I,5,FALSE)</f>
        <v>4.0000000000000001E-3</v>
      </c>
      <c r="O504">
        <f>VLOOKUP(A504,DB!A:I,6,FALSE)</f>
        <v>3.0100000000000001E-3</v>
      </c>
      <c r="P504">
        <f>VLOOKUP(A504,DB!A:I,7,FALSE)</f>
        <v>9.8999999999999999E-4</v>
      </c>
      <c r="Q504">
        <f>VLOOKUP(A504,DB!A:I,8,FALSE)</f>
        <v>0.6734</v>
      </c>
      <c r="R504">
        <f>VLOOKUP(A504,DB!A:I,9,FALSE)</f>
        <v>0.87319999999999998</v>
      </c>
      <c r="S504">
        <f>N504 *SQRT(H504)</f>
        <v>5.3665631459994954</v>
      </c>
      <c r="T504">
        <f>L504/N504</f>
        <v>15.25</v>
      </c>
    </row>
    <row r="505" spans="1:20" x14ac:dyDescent="0.25">
      <c r="A505" t="s">
        <v>975</v>
      </c>
      <c r="B505" t="s">
        <v>386</v>
      </c>
      <c r="C505" s="4">
        <v>7.9760999999999999E-2</v>
      </c>
      <c r="D505" s="4">
        <v>0.35</v>
      </c>
      <c r="E505" s="4">
        <v>1.966E-2</v>
      </c>
      <c r="F505" s="4">
        <v>0.5</v>
      </c>
      <c r="G505">
        <v>2.4199999999999998E-3</v>
      </c>
      <c r="H505">
        <f>VLOOKUP(A505,DB!A:I,2,FALSE)</f>
        <v>2900000</v>
      </c>
      <c r="I505">
        <f>VLOOKUP(A505,'RE@CD'!A:D,2,FALSE)</f>
        <v>175000</v>
      </c>
      <c r="J505">
        <f>VLOOKUP(A505,'RE@CD'!A:D,3,FALSE)</f>
        <v>50000</v>
      </c>
      <c r="K505">
        <f>VLOOKUP(A505,'RE@CD'!A:D,4,FALSE)</f>
        <v>150000</v>
      </c>
      <c r="L505">
        <f>VLOOKUP(A505,DB!A:I,3,FALSE)</f>
        <v>0.27939999999999998</v>
      </c>
      <c r="M505">
        <f>VLOOKUP(A505,DB!A:I,4,FALSE)</f>
        <v>-6.1199999999999997E-2</v>
      </c>
      <c r="N505">
        <f>VLOOKUP(A505,DB!A:I,5,FALSE)</f>
        <v>3.9899999999999996E-3</v>
      </c>
      <c r="O505">
        <f>VLOOKUP(A505,DB!A:I,6,FALSE)</f>
        <v>3.65E-3</v>
      </c>
      <c r="P505">
        <f>VLOOKUP(A505,DB!A:I,7,FALSE)</f>
        <v>3.4000000000000002E-4</v>
      </c>
      <c r="Q505">
        <f>VLOOKUP(A505,DB!A:I,8,FALSE)</f>
        <v>0.65759999999999996</v>
      </c>
      <c r="R505">
        <f>VLOOKUP(A505,DB!A:I,9,FALSE)</f>
        <v>0.58350000000000002</v>
      </c>
      <c r="S505">
        <f>N505 *SQRT(H505)</f>
        <v>6.7947251600046332</v>
      </c>
      <c r="T505">
        <f>L505/N505</f>
        <v>70.025062656641609</v>
      </c>
    </row>
    <row r="506" spans="1:20" x14ac:dyDescent="0.25">
      <c r="A506" t="s">
        <v>800</v>
      </c>
      <c r="B506" t="s">
        <v>215</v>
      </c>
      <c r="C506" s="4">
        <v>5.6403000000000002E-2</v>
      </c>
      <c r="D506" s="4">
        <v>0.26200000000000001</v>
      </c>
      <c r="E506" s="4">
        <v>5.3530000000000001E-2</v>
      </c>
      <c r="F506" s="4">
        <v>0.49299999999999999</v>
      </c>
      <c r="G506">
        <v>2.3999999999999998E-3</v>
      </c>
      <c r="H506">
        <f>VLOOKUP(A506,DB!A:I,2,FALSE)</f>
        <v>800000</v>
      </c>
      <c r="I506">
        <f>VLOOKUP(A506,'RE@CD'!A:D,2,FALSE)</f>
        <v>275000</v>
      </c>
      <c r="J506">
        <f>VLOOKUP(A506,'RE@CD'!A:D,3,FALSE)</f>
        <v>100000</v>
      </c>
      <c r="K506">
        <f>VLOOKUP(A506,'RE@CD'!A:D,4,FALSE)</f>
        <v>200000</v>
      </c>
      <c r="L506">
        <f>VLOOKUP(A506,DB!A:I,3,FALSE)</f>
        <v>0.75419999999999998</v>
      </c>
      <c r="M506">
        <f>VLOOKUP(A506,DB!A:I,4,FALSE)</f>
        <v>-0.18190000000000001</v>
      </c>
      <c r="N506">
        <f>VLOOKUP(A506,DB!A:I,5,FALSE)</f>
        <v>4.5199999999999997E-3</v>
      </c>
      <c r="O506">
        <f>VLOOKUP(A506,DB!A:I,6,FALSE)</f>
        <v>3.1800000000000001E-3</v>
      </c>
      <c r="P506">
        <f>VLOOKUP(A506,DB!A:I,7,FALSE)</f>
        <v>1.34E-3</v>
      </c>
      <c r="Q506">
        <f>VLOOKUP(A506,DB!A:I,8,FALSE)</f>
        <v>0.85470000000000002</v>
      </c>
      <c r="R506">
        <f>VLOOKUP(A506,DB!A:I,9,FALSE)</f>
        <v>0.91039999999999999</v>
      </c>
      <c r="S506">
        <f>N506 *SQRT(H506)</f>
        <v>4.0428109033196193</v>
      </c>
      <c r="T506">
        <f>L506/N506</f>
        <v>166.85840707964601</v>
      </c>
    </row>
    <row r="507" spans="1:20" x14ac:dyDescent="0.25">
      <c r="A507" t="s">
        <v>1118</v>
      </c>
      <c r="B507" t="s">
        <v>529</v>
      </c>
      <c r="C507" s="4">
        <v>7.9477999999999993E-2</v>
      </c>
      <c r="D507" s="4">
        <v>0.313</v>
      </c>
      <c r="E507" s="4">
        <v>1.6112999999999999E-2</v>
      </c>
      <c r="F507" s="4">
        <v>0.38800000000000001</v>
      </c>
      <c r="G507">
        <v>3.29E-3</v>
      </c>
      <c r="H507">
        <f>VLOOKUP(A507,DB!A:I,2,FALSE)</f>
        <v>1650000</v>
      </c>
      <c r="I507">
        <f>VLOOKUP(A507,'RE@CD'!A:D,2,FALSE)</f>
        <v>150000</v>
      </c>
      <c r="J507">
        <f>VLOOKUP(A507,'RE@CD'!A:D,3,FALSE)</f>
        <v>50000</v>
      </c>
      <c r="K507">
        <f>VLOOKUP(A507,'RE@CD'!A:D,4,FALSE)</f>
        <v>125000</v>
      </c>
      <c r="L507">
        <f>VLOOKUP(A507,DB!A:I,3,FALSE)</f>
        <v>0.16569999999999999</v>
      </c>
      <c r="M507">
        <f>VLOOKUP(A507,DB!A:I,4,FALSE)</f>
        <v>-3.3300000000000003E-2</v>
      </c>
      <c r="N507">
        <f>VLOOKUP(A507,DB!A:I,5,FALSE)</f>
        <v>3.98E-3</v>
      </c>
      <c r="O507">
        <f>VLOOKUP(A507,DB!A:I,6,FALSE)</f>
        <v>3.48E-3</v>
      </c>
      <c r="P507">
        <f>VLOOKUP(A507,DB!A:I,7,FALSE)</f>
        <v>5.0000000000000001E-4</v>
      </c>
      <c r="Q507">
        <f>VLOOKUP(A507,DB!A:I,8,FALSE)</f>
        <v>0.68220000000000003</v>
      </c>
      <c r="R507">
        <f>VLOOKUP(A507,DB!A:I,9,FALSE)</f>
        <v>0.76829999999999998</v>
      </c>
      <c r="S507">
        <f>N507 *SQRT(H507)</f>
        <v>5.1124025663087211</v>
      </c>
      <c r="T507">
        <f>L507/N507</f>
        <v>41.633165829145725</v>
      </c>
    </row>
    <row r="508" spans="1:20" x14ac:dyDescent="0.25">
      <c r="A508" t="s">
        <v>650</v>
      </c>
      <c r="B508" t="s">
        <v>65</v>
      </c>
      <c r="C508" s="4">
        <v>0.15609899999999999</v>
      </c>
      <c r="D508" s="4">
        <v>0.40500000000000003</v>
      </c>
      <c r="E508" s="4">
        <v>3.6763999999999998E-2</v>
      </c>
      <c r="F508" s="4">
        <v>0.41499999999999998</v>
      </c>
      <c r="G508">
        <v>9.1500000000000001E-3</v>
      </c>
      <c r="H508">
        <f>VLOOKUP(A508,DB!A:I,2,FALSE)</f>
        <v>3000000</v>
      </c>
      <c r="I508">
        <f>VLOOKUP(A508,'RE@CD'!A:D,2,FALSE)</f>
        <v>575000</v>
      </c>
      <c r="J508">
        <f>VLOOKUP(A508,'RE@CD'!A:D,3,FALSE)</f>
        <v>225000</v>
      </c>
      <c r="K508">
        <f>VLOOKUP(A508,'RE@CD'!A:D,4,FALSE)</f>
        <v>450000</v>
      </c>
      <c r="L508">
        <f>VLOOKUP(A508,DB!A:I,3,FALSE)</f>
        <v>0.38879999999999998</v>
      </c>
      <c r="M508">
        <f>VLOOKUP(A508,DB!A:I,4,FALSE)</f>
        <v>-7.5300000000000006E-2</v>
      </c>
      <c r="N508">
        <f>VLOOKUP(A508,DB!A:I,5,FALSE)</f>
        <v>3.9699999999999996E-3</v>
      </c>
      <c r="O508">
        <f>VLOOKUP(A508,DB!A:I,6,FALSE)</f>
        <v>3.0200000000000001E-3</v>
      </c>
      <c r="P508">
        <f>VLOOKUP(A508,DB!A:I,7,FALSE)</f>
        <v>9.5E-4</v>
      </c>
      <c r="Q508">
        <f>VLOOKUP(A508,DB!A:I,8,FALSE)</f>
        <v>0.64270000000000005</v>
      </c>
      <c r="R508">
        <f>VLOOKUP(A508,DB!A:I,9,FALSE)</f>
        <v>0.81299999999999994</v>
      </c>
      <c r="S508">
        <f>N508 *SQRT(H508)</f>
        <v>6.8762417060484413</v>
      </c>
      <c r="T508">
        <f>L508/N508</f>
        <v>97.934508816120911</v>
      </c>
    </row>
    <row r="509" spans="1:20" x14ac:dyDescent="0.25">
      <c r="A509" t="s">
        <v>828</v>
      </c>
      <c r="B509" t="s">
        <v>243</v>
      </c>
      <c r="C509" s="4">
        <v>0.109859</v>
      </c>
      <c r="D509" s="4">
        <v>0.32900000000000001</v>
      </c>
      <c r="E509" s="4">
        <v>2.8881E-2</v>
      </c>
      <c r="F509" s="4">
        <v>0.68899999999999995</v>
      </c>
      <c r="G509">
        <v>1.99E-3</v>
      </c>
      <c r="H509">
        <f>VLOOKUP(A509,DB!A:I,2,FALSE)</f>
        <v>3000000</v>
      </c>
      <c r="I509">
        <f>VLOOKUP(A509,'RE@CD'!A:D,2,FALSE)</f>
        <v>450000</v>
      </c>
      <c r="J509">
        <f>VLOOKUP(A509,'RE@CD'!A:D,3,FALSE)</f>
        <v>175000</v>
      </c>
      <c r="K509">
        <f>VLOOKUP(A509,'RE@CD'!A:D,4,FALSE)</f>
        <v>375000</v>
      </c>
      <c r="L509">
        <f>VLOOKUP(A509,DB!A:I,3,FALSE)</f>
        <v>0.47789999999999999</v>
      </c>
      <c r="M509">
        <f>VLOOKUP(A509,DB!A:I,4,FALSE)</f>
        <v>-0.1356</v>
      </c>
      <c r="N509">
        <f>VLOOKUP(A509,DB!A:I,5,FALSE)</f>
        <v>3.9699999999999996E-3</v>
      </c>
      <c r="O509">
        <f>VLOOKUP(A509,DB!A:I,6,FALSE)</f>
        <v>3.4499999999999999E-3</v>
      </c>
      <c r="P509">
        <f>VLOOKUP(A509,DB!A:I,7,FALSE)</f>
        <v>5.1999999999999995E-4</v>
      </c>
      <c r="Q509">
        <f>VLOOKUP(A509,DB!A:I,8,FALSE)</f>
        <v>0.80689999999999995</v>
      </c>
      <c r="R509">
        <f>VLOOKUP(A509,DB!A:I,9,FALSE)</f>
        <v>0.44600000000000001</v>
      </c>
      <c r="S509">
        <f>N509 *SQRT(H509)</f>
        <v>6.8762417060484413</v>
      </c>
      <c r="T509">
        <f>L509/N509</f>
        <v>120.37783375314862</v>
      </c>
    </row>
    <row r="510" spans="1:20" x14ac:dyDescent="0.25">
      <c r="A510" t="s">
        <v>937</v>
      </c>
      <c r="B510" t="s">
        <v>348</v>
      </c>
      <c r="C510" s="4">
        <v>0.14094999999999999</v>
      </c>
      <c r="D510" s="4">
        <v>0.435</v>
      </c>
      <c r="E510" s="4">
        <v>4.3517E-2</v>
      </c>
      <c r="F510" s="4">
        <v>0.435</v>
      </c>
      <c r="G510">
        <v>2.4099999999999998E-3</v>
      </c>
      <c r="H510">
        <f>VLOOKUP(A510,DB!A:I,2,FALSE)</f>
        <v>3000000</v>
      </c>
      <c r="I510">
        <f>VLOOKUP(A510,'RE@CD'!A:D,2,FALSE)</f>
        <v>625000</v>
      </c>
      <c r="J510">
        <f>VLOOKUP(A510,'RE@CD'!A:D,3,FALSE)</f>
        <v>300000</v>
      </c>
      <c r="K510">
        <f>VLOOKUP(A510,'RE@CD'!A:D,4,FALSE)</f>
        <v>525000</v>
      </c>
      <c r="L510">
        <f>VLOOKUP(A510,DB!A:I,3,FALSE)</f>
        <v>0.41770000000000002</v>
      </c>
      <c r="M510">
        <f>VLOOKUP(A510,DB!A:I,4,FALSE)</f>
        <v>-8.1500000000000003E-2</v>
      </c>
      <c r="N510">
        <f>VLOOKUP(A510,DB!A:I,5,FALSE)</f>
        <v>3.9500000000000004E-3</v>
      </c>
      <c r="O510">
        <f>VLOOKUP(A510,DB!A:I,6,FALSE)</f>
        <v>3.0999999999999999E-3</v>
      </c>
      <c r="P510">
        <f>VLOOKUP(A510,DB!A:I,7,FALSE)</f>
        <v>8.4999999999999995E-4</v>
      </c>
      <c r="Q510">
        <f>VLOOKUP(A510,DB!A:I,8,FALSE)</f>
        <v>0.65029999999999999</v>
      </c>
      <c r="R510">
        <f>VLOOKUP(A510,DB!A:I,9,FALSE)</f>
        <v>0.79879999999999995</v>
      </c>
      <c r="S510">
        <f>N510 *SQRT(H510)</f>
        <v>6.8416006898970654</v>
      </c>
      <c r="T510">
        <f>L510/N510</f>
        <v>105.74683544303797</v>
      </c>
    </row>
    <row r="511" spans="1:20" x14ac:dyDescent="0.25">
      <c r="A511" t="s">
        <v>1095</v>
      </c>
      <c r="B511" t="s">
        <v>506</v>
      </c>
      <c r="C511" s="4">
        <v>7.9855999999999996E-2</v>
      </c>
      <c r="D511" s="4">
        <v>0.30099999999999999</v>
      </c>
      <c r="E511" s="4">
        <v>1.7555000000000001E-2</v>
      </c>
      <c r="F511" s="4">
        <v>0.45800000000000002</v>
      </c>
      <c r="G511">
        <v>4.13E-3</v>
      </c>
      <c r="H511">
        <f>VLOOKUP(A511,DB!A:I,2,FALSE)</f>
        <v>1600000</v>
      </c>
      <c r="I511">
        <f>VLOOKUP(A511,'RE@CD'!A:D,2,FALSE)</f>
        <v>175000</v>
      </c>
      <c r="J511">
        <f>VLOOKUP(A511,'RE@CD'!A:D,3,FALSE)</f>
        <v>50000</v>
      </c>
      <c r="K511">
        <f>VLOOKUP(A511,'RE@CD'!A:D,4,FALSE)</f>
        <v>150000</v>
      </c>
      <c r="L511">
        <f>VLOOKUP(A511,DB!A:I,3,FALSE)</f>
        <v>0.2424</v>
      </c>
      <c r="M511">
        <f>VLOOKUP(A511,DB!A:I,4,FALSE)</f>
        <v>-5.6899999999999999E-2</v>
      </c>
      <c r="N511">
        <f>VLOOKUP(A511,DB!A:I,5,FALSE)</f>
        <v>3.9500000000000004E-3</v>
      </c>
      <c r="O511">
        <f>VLOOKUP(A511,DB!A:I,6,FALSE)</f>
        <v>3.4099999999999998E-3</v>
      </c>
      <c r="P511">
        <f>VLOOKUP(A511,DB!A:I,7,FALSE)</f>
        <v>5.4000000000000001E-4</v>
      </c>
      <c r="Q511">
        <f>VLOOKUP(A511,DB!A:I,8,FALSE)</f>
        <v>0.74570000000000003</v>
      </c>
      <c r="R511">
        <f>VLOOKUP(A511,DB!A:I,9,FALSE)</f>
        <v>0.72799999999999998</v>
      </c>
      <c r="S511">
        <f>N511 *SQRT(H511)</f>
        <v>4.9963987030660402</v>
      </c>
      <c r="T511">
        <f>L511/N511</f>
        <v>61.36708860759493</v>
      </c>
    </row>
    <row r="512" spans="1:20" x14ac:dyDescent="0.25">
      <c r="A512" t="s">
        <v>639</v>
      </c>
      <c r="B512" t="s">
        <v>54</v>
      </c>
      <c r="C512" s="4">
        <v>0.15665599999999999</v>
      </c>
      <c r="D512" s="4">
        <v>0.4</v>
      </c>
      <c r="E512" s="4">
        <v>3.8191999999999997E-2</v>
      </c>
      <c r="F512" s="4">
        <v>0.41399999999999998</v>
      </c>
      <c r="G512">
        <v>9.92E-3</v>
      </c>
      <c r="H512">
        <f>VLOOKUP(A512,DB!A:I,2,FALSE)</f>
        <v>3000000</v>
      </c>
      <c r="I512">
        <f>VLOOKUP(A512,'RE@CD'!A:D,2,FALSE)</f>
        <v>575000</v>
      </c>
      <c r="J512">
        <f>VLOOKUP(A512,'RE@CD'!A:D,3,FALSE)</f>
        <v>225000</v>
      </c>
      <c r="K512">
        <f>VLOOKUP(A512,'RE@CD'!A:D,4,FALSE)</f>
        <v>450000</v>
      </c>
      <c r="L512">
        <f>VLOOKUP(A512,DB!A:I,3,FALSE)</f>
        <v>0.4083</v>
      </c>
      <c r="M512">
        <f>VLOOKUP(A512,DB!A:I,4,FALSE)</f>
        <v>-7.6999999999999999E-2</v>
      </c>
      <c r="N512">
        <f>VLOOKUP(A512,DB!A:I,5,FALSE)</f>
        <v>3.9399999999999999E-3</v>
      </c>
      <c r="O512">
        <f>VLOOKUP(A512,DB!A:I,6,FALSE)</f>
        <v>3.0500000000000002E-3</v>
      </c>
      <c r="P512">
        <f>VLOOKUP(A512,DB!A:I,7,FALSE)</f>
        <v>8.8000000000000003E-4</v>
      </c>
      <c r="Q512">
        <f>VLOOKUP(A512,DB!A:I,8,FALSE)</f>
        <v>0.64249999999999996</v>
      </c>
      <c r="R512">
        <f>VLOOKUP(A512,DB!A:I,9,FALSE)</f>
        <v>0.79610000000000003</v>
      </c>
      <c r="S512">
        <f>N512 *SQRT(H512)</f>
        <v>6.8242801818213756</v>
      </c>
      <c r="T512">
        <f>L512/N512</f>
        <v>103.62944162436548</v>
      </c>
    </row>
    <row r="513" spans="1:20" x14ac:dyDescent="0.25">
      <c r="A513" t="s">
        <v>1070</v>
      </c>
      <c r="B513" t="s">
        <v>481</v>
      </c>
      <c r="C513" s="4">
        <v>8.4752999999999995E-2</v>
      </c>
      <c r="D513" s="4">
        <v>0.31</v>
      </c>
      <c r="E513" s="4">
        <v>1.5831000000000001E-2</v>
      </c>
      <c r="F513" s="4">
        <v>0.36</v>
      </c>
      <c r="G513">
        <v>7.6000000000000004E-4</v>
      </c>
      <c r="H513">
        <f>VLOOKUP(A513,DB!A:I,2,FALSE)</f>
        <v>2200000</v>
      </c>
      <c r="I513">
        <f>VLOOKUP(A513,'RE@CD'!A:D,2,FALSE)</f>
        <v>200000</v>
      </c>
      <c r="J513">
        <f>VLOOKUP(A513,'RE@CD'!A:D,3,FALSE)</f>
        <v>50000</v>
      </c>
      <c r="K513">
        <f>VLOOKUP(A513,'RE@CD'!A:D,4,FALSE)</f>
        <v>150000</v>
      </c>
      <c r="L513">
        <f>VLOOKUP(A513,DB!A:I,3,FALSE)</f>
        <v>0.20269999999999999</v>
      </c>
      <c r="M513">
        <f>VLOOKUP(A513,DB!A:I,4,FALSE)</f>
        <v>-4.2599999999999999E-2</v>
      </c>
      <c r="N513">
        <f>VLOOKUP(A513,DB!A:I,5,FALSE)</f>
        <v>3.9399999999999999E-3</v>
      </c>
      <c r="O513">
        <f>VLOOKUP(A513,DB!A:I,6,FALSE)</f>
        <v>3.4299999999999999E-3</v>
      </c>
      <c r="P513">
        <f>VLOOKUP(A513,DB!A:I,7,FALSE)</f>
        <v>5.1000000000000004E-4</v>
      </c>
      <c r="Q513">
        <f>VLOOKUP(A513,DB!A:I,8,FALSE)</f>
        <v>0.62739999999999996</v>
      </c>
      <c r="R513">
        <f>VLOOKUP(A513,DB!A:I,9,FALSE)</f>
        <v>0.77549999999999997</v>
      </c>
      <c r="S513">
        <f>N513 *SQRT(H513)</f>
        <v>5.8439644078313826</v>
      </c>
      <c r="T513">
        <f>L513/N513</f>
        <v>51.44670050761421</v>
      </c>
    </row>
    <row r="514" spans="1:20" x14ac:dyDescent="0.25">
      <c r="A514" t="s">
        <v>1001</v>
      </c>
      <c r="B514" t="s">
        <v>412</v>
      </c>
      <c r="C514" s="4">
        <v>8.9702000000000004E-2</v>
      </c>
      <c r="D514" s="4">
        <v>0.35</v>
      </c>
      <c r="E514" s="4">
        <v>3.4481999999999999E-2</v>
      </c>
      <c r="F514" s="4">
        <v>0.5</v>
      </c>
      <c r="G514">
        <v>1.91E-3</v>
      </c>
      <c r="H514">
        <f>VLOOKUP(A514,DB!A:I,2,FALSE)</f>
        <v>900000</v>
      </c>
      <c r="I514">
        <f>VLOOKUP(A514,'RE@CD'!A:D,2,FALSE)</f>
        <v>225000</v>
      </c>
      <c r="J514">
        <f>VLOOKUP(A514,'RE@CD'!A:D,3,FALSE)</f>
        <v>100000</v>
      </c>
      <c r="K514">
        <f>VLOOKUP(A514,'RE@CD'!A:D,4,FALSE)</f>
        <v>125000</v>
      </c>
      <c r="L514">
        <f>VLOOKUP(A514,DB!A:I,3,FALSE)</f>
        <v>0.48659999999999998</v>
      </c>
      <c r="M514">
        <f>VLOOKUP(A514,DB!A:I,4,FALSE)</f>
        <v>-0.1066</v>
      </c>
      <c r="N514">
        <f>VLOOKUP(A514,DB!A:I,5,FALSE)</f>
        <v>5.4099999999999999E-3</v>
      </c>
      <c r="O514">
        <f>VLOOKUP(A514,DB!A:I,6,FALSE)</f>
        <v>4.4099999999999999E-3</v>
      </c>
      <c r="P514">
        <f>VLOOKUP(A514,DB!A:I,7,FALSE)</f>
        <v>1E-3</v>
      </c>
      <c r="Q514">
        <f>VLOOKUP(A514,DB!A:I,8,FALSE)</f>
        <v>0.75039999999999996</v>
      </c>
      <c r="R514">
        <f>VLOOKUP(A514,DB!A:I,9,FALSE)</f>
        <v>0.60209999999999997</v>
      </c>
      <c r="S514">
        <f>N514 *SQRT(H514)</f>
        <v>5.1323766424532797</v>
      </c>
      <c r="T514">
        <f>L514/N514</f>
        <v>89.944547134935306</v>
      </c>
    </row>
    <row r="515" spans="1:20" x14ac:dyDescent="0.25">
      <c r="A515" t="s">
        <v>739</v>
      </c>
      <c r="B515" t="s">
        <v>154</v>
      </c>
      <c r="C515" s="4">
        <v>0.144487</v>
      </c>
      <c r="D515" s="4">
        <v>0.38300000000000001</v>
      </c>
      <c r="E515" s="4">
        <v>3.5021999999999998E-2</v>
      </c>
      <c r="F515" s="4">
        <v>0.71699999999999997</v>
      </c>
      <c r="G515">
        <v>3.0599999999999998E-3</v>
      </c>
      <c r="H515">
        <f>VLOOKUP(A515,DB!A:I,2,FALSE)</f>
        <v>3000000</v>
      </c>
      <c r="I515">
        <f>VLOOKUP(A515,'RE@CD'!A:D,2,FALSE)</f>
        <v>500000</v>
      </c>
      <c r="J515">
        <f>VLOOKUP(A515,'RE@CD'!A:D,3,FALSE)</f>
        <v>250000</v>
      </c>
      <c r="K515">
        <f>VLOOKUP(A515,'RE@CD'!A:D,4,FALSE)</f>
        <v>425000</v>
      </c>
      <c r="L515">
        <f>VLOOKUP(A515,DB!A:I,3,FALSE)</f>
        <v>0.63939999999999997</v>
      </c>
      <c r="M515">
        <f>VLOOKUP(A515,DB!A:I,4,FALSE)</f>
        <v>-0.1681</v>
      </c>
      <c r="N515">
        <f>VLOOKUP(A515,DB!A:I,5,FALSE)</f>
        <v>3.9300000000000003E-3</v>
      </c>
      <c r="O515">
        <f>VLOOKUP(A515,DB!A:I,6,FALSE)</f>
        <v>3.1900000000000001E-3</v>
      </c>
      <c r="P515">
        <f>VLOOKUP(A515,DB!A:I,7,FALSE)</f>
        <v>7.3999999999999999E-4</v>
      </c>
      <c r="Q515">
        <f>VLOOKUP(A515,DB!A:I,8,FALSE)</f>
        <v>0.78010000000000002</v>
      </c>
      <c r="R515">
        <f>VLOOKUP(A515,DB!A:I,9,FALSE)</f>
        <v>0.56489999999999996</v>
      </c>
      <c r="S515">
        <f>N515 *SQRT(H515)</f>
        <v>6.8069596737456877</v>
      </c>
      <c r="T515">
        <f>L515/N515</f>
        <v>162.69720101781169</v>
      </c>
    </row>
    <row r="516" spans="1:20" x14ac:dyDescent="0.25">
      <c r="A516" t="s">
        <v>966</v>
      </c>
      <c r="B516" t="s">
        <v>377</v>
      </c>
      <c r="C516" s="4">
        <v>8.9800000000000005E-2</v>
      </c>
      <c r="D516" s="4">
        <v>0.35</v>
      </c>
      <c r="E516" s="4">
        <v>9.8600000000000007E-3</v>
      </c>
      <c r="F516" s="4">
        <v>0.5</v>
      </c>
      <c r="G516">
        <v>2.99E-3</v>
      </c>
      <c r="H516">
        <f>VLOOKUP(A516,DB!A:I,2,FALSE)</f>
        <v>3000000</v>
      </c>
      <c r="I516">
        <f>VLOOKUP(A516,'RE@CD'!A:D,2,FALSE)</f>
        <v>175000</v>
      </c>
      <c r="J516">
        <f>VLOOKUP(A516,'RE@CD'!A:D,3,FALSE)</f>
        <v>50000</v>
      </c>
      <c r="K516">
        <f>VLOOKUP(A516,'RE@CD'!A:D,4,FALSE)</f>
        <v>150000</v>
      </c>
      <c r="L516">
        <f>VLOOKUP(A516,DB!A:I,3,FALSE)</f>
        <v>0.13980000000000001</v>
      </c>
      <c r="M516">
        <f>VLOOKUP(A516,DB!A:I,4,FALSE)</f>
        <v>-3.0499999999999999E-2</v>
      </c>
      <c r="N516">
        <f>VLOOKUP(A516,DB!A:I,5,FALSE)</f>
        <v>3.9300000000000003E-3</v>
      </c>
      <c r="O516">
        <f>VLOOKUP(A516,DB!A:I,6,FALSE)</f>
        <v>3.5799999999999998E-3</v>
      </c>
      <c r="P516">
        <f>VLOOKUP(A516,DB!A:I,7,FALSE)</f>
        <v>3.6000000000000002E-4</v>
      </c>
      <c r="Q516">
        <f>VLOOKUP(A516,DB!A:I,8,FALSE)</f>
        <v>0.63560000000000005</v>
      </c>
      <c r="R516">
        <f>VLOOKUP(A516,DB!A:I,9,FALSE)</f>
        <v>0.62609999999999999</v>
      </c>
      <c r="S516">
        <f>N516 *SQRT(H516)</f>
        <v>6.8069596737456877</v>
      </c>
      <c r="T516">
        <f>L516/N516</f>
        <v>35.572519083969468</v>
      </c>
    </row>
    <row r="517" spans="1:20" x14ac:dyDescent="0.25">
      <c r="A517" t="s">
        <v>592</v>
      </c>
      <c r="B517" t="s">
        <v>7</v>
      </c>
      <c r="C517" s="4">
        <v>6.2376000000000001E-2</v>
      </c>
      <c r="D517" s="4">
        <v>0.25</v>
      </c>
      <c r="E517" s="4">
        <v>2.0084000000000001E-2</v>
      </c>
      <c r="F517" s="4">
        <v>0.32700000000000001</v>
      </c>
      <c r="G517">
        <v>1.8799999999999999E-3</v>
      </c>
      <c r="H517">
        <f>VLOOKUP(A517,DB!A:I,2,FALSE)</f>
        <v>1250000</v>
      </c>
      <c r="I517">
        <f>VLOOKUP(A517,'RE@CD'!A:D,2,FALSE)</f>
        <v>125000</v>
      </c>
      <c r="J517">
        <f>VLOOKUP(A517,'RE@CD'!A:D,3,FALSE)</f>
        <v>50000</v>
      </c>
      <c r="K517">
        <f>VLOOKUP(A517,'RE@CD'!A:D,4,FALSE)</f>
        <v>90000</v>
      </c>
      <c r="L517">
        <f>VLOOKUP(A517,DB!A:I,3,FALSE)</f>
        <v>0.18870000000000001</v>
      </c>
      <c r="M517">
        <f>VLOOKUP(A517,DB!A:I,4,FALSE)</f>
        <v>-3.1300000000000001E-2</v>
      </c>
      <c r="N517">
        <f>VLOOKUP(A517,DB!A:I,5,FALSE)</f>
        <v>3.9199999999999999E-3</v>
      </c>
      <c r="O517">
        <f>VLOOKUP(A517,DB!A:I,6,FALSE)</f>
        <v>3.2100000000000002E-3</v>
      </c>
      <c r="P517">
        <f>VLOOKUP(A517,DB!A:I,7,FALSE)</f>
        <v>6.9999999999999999E-4</v>
      </c>
      <c r="Q517">
        <f>VLOOKUP(A517,DB!A:I,8,FALSE)</f>
        <v>0.66410000000000002</v>
      </c>
      <c r="R517">
        <f>VLOOKUP(A517,DB!A:I,9,FALSE)</f>
        <v>0.94830000000000003</v>
      </c>
      <c r="S517">
        <f>N517 *SQRT(H517)</f>
        <v>4.3826932358995876</v>
      </c>
      <c r="T517">
        <f>L517/N517</f>
        <v>48.137755102040821</v>
      </c>
    </row>
    <row r="518" spans="1:20" x14ac:dyDescent="0.25">
      <c r="A518" t="s">
        <v>1156</v>
      </c>
      <c r="B518" t="s">
        <v>566</v>
      </c>
      <c r="C518" s="4">
        <v>9.9955000000000002E-2</v>
      </c>
      <c r="D518" s="4">
        <v>0.34899999999999998</v>
      </c>
      <c r="E518" s="4">
        <v>2.0240000000000001E-2</v>
      </c>
      <c r="F518" s="4">
        <v>0.38500000000000001</v>
      </c>
      <c r="G518">
        <v>5.0099999999999997E-3</v>
      </c>
      <c r="H518">
        <f>VLOOKUP(A518,DB!A:I,2,FALSE)</f>
        <v>2700000</v>
      </c>
      <c r="I518">
        <f>VLOOKUP(A518,'RE@CD'!A:D,2,FALSE)</f>
        <v>250000</v>
      </c>
      <c r="J518">
        <f>VLOOKUP(A518,'RE@CD'!A:D,3,FALSE)</f>
        <v>60000</v>
      </c>
      <c r="K518">
        <f>VLOOKUP(A518,'RE@CD'!A:D,4,FALSE)</f>
        <v>225000</v>
      </c>
      <c r="L518">
        <f>VLOOKUP(A518,DB!A:I,3,FALSE)</f>
        <v>0.28420000000000001</v>
      </c>
      <c r="M518">
        <f>VLOOKUP(A518,DB!A:I,4,FALSE)</f>
        <v>-6.0299999999999999E-2</v>
      </c>
      <c r="N518">
        <f>VLOOKUP(A518,DB!A:I,5,FALSE)</f>
        <v>3.9199999999999999E-3</v>
      </c>
      <c r="O518">
        <f>VLOOKUP(A518,DB!A:I,6,FALSE)</f>
        <v>3.3800000000000002E-3</v>
      </c>
      <c r="P518">
        <f>VLOOKUP(A518,DB!A:I,7,FALSE)</f>
        <v>5.4000000000000001E-4</v>
      </c>
      <c r="Q518">
        <f>VLOOKUP(A518,DB!A:I,8,FALSE)</f>
        <v>0.66920000000000002</v>
      </c>
      <c r="R518">
        <f>VLOOKUP(A518,DB!A:I,9,FALSE)</f>
        <v>0.68459999999999999</v>
      </c>
      <c r="S518">
        <f>N518 *SQRT(H518)</f>
        <v>6.4412172762607538</v>
      </c>
      <c r="T518">
        <f>L518/N518</f>
        <v>72.5</v>
      </c>
    </row>
    <row r="519" spans="1:20" x14ac:dyDescent="0.25">
      <c r="A519" t="s">
        <v>824</v>
      </c>
      <c r="B519" t="s">
        <v>239</v>
      </c>
      <c r="C519" s="4">
        <v>5.1637000000000002E-2</v>
      </c>
      <c r="D519" s="4">
        <v>0.25700000000000001</v>
      </c>
      <c r="E519" s="4">
        <v>4.6134000000000001E-2</v>
      </c>
      <c r="F519" s="4">
        <v>0.53100000000000003</v>
      </c>
      <c r="G519">
        <v>2.16E-3</v>
      </c>
      <c r="H519">
        <f>VLOOKUP(A519,DB!A:I,2,FALSE)</f>
        <v>1400000</v>
      </c>
      <c r="I519">
        <f>VLOOKUP(A519,'RE@CD'!A:D,2,FALSE)</f>
        <v>300000</v>
      </c>
      <c r="J519">
        <f>VLOOKUP(A519,'RE@CD'!A:D,3,FALSE)</f>
        <v>60000</v>
      </c>
      <c r="K519">
        <f>VLOOKUP(A519,'RE@CD'!A:D,4,FALSE)</f>
        <v>275000</v>
      </c>
      <c r="L519">
        <f>VLOOKUP(A519,DB!A:I,3,FALSE)</f>
        <v>0.72130000000000005</v>
      </c>
      <c r="M519">
        <f>VLOOKUP(A519,DB!A:I,4,FALSE)</f>
        <v>-0.17730000000000001</v>
      </c>
      <c r="N519">
        <f>VLOOKUP(A519,DB!A:I,5,FALSE)</f>
        <v>3.9100000000000003E-3</v>
      </c>
      <c r="O519">
        <f>VLOOKUP(A519,DB!A:I,6,FALSE)</f>
        <v>3.2200000000000002E-3</v>
      </c>
      <c r="P519">
        <f>VLOOKUP(A519,DB!A:I,7,FALSE)</f>
        <v>6.9999999999999999E-4</v>
      </c>
      <c r="Q519">
        <f>VLOOKUP(A519,DB!A:I,8,FALSE)</f>
        <v>0.87739999999999996</v>
      </c>
      <c r="R519">
        <f>VLOOKUP(A519,DB!A:I,9,FALSE)</f>
        <v>0.60770000000000002</v>
      </c>
      <c r="S519">
        <f>N519 *SQRT(H519)</f>
        <v>4.6263743903838996</v>
      </c>
      <c r="T519">
        <f>L519/N519</f>
        <v>184.47570332480819</v>
      </c>
    </row>
    <row r="520" spans="1:20" x14ac:dyDescent="0.25">
      <c r="A520" t="s">
        <v>850</v>
      </c>
      <c r="B520" t="s">
        <v>265</v>
      </c>
      <c r="C520" s="4">
        <v>7.0000000000000007E-2</v>
      </c>
      <c r="D520" s="4">
        <v>0.28699999999999998</v>
      </c>
      <c r="E520" s="4">
        <v>9.9659999999999992E-3</v>
      </c>
      <c r="F520" s="4">
        <v>0.25900000000000001</v>
      </c>
      <c r="G520">
        <v>2.7000000000000001E-3</v>
      </c>
      <c r="H520">
        <f>VLOOKUP(A520,DB!A:I,2,FALSE)</f>
        <v>2000000</v>
      </c>
      <c r="I520">
        <f>VLOOKUP(A520,'RE@CD'!A:D,2,FALSE)</f>
        <v>125000</v>
      </c>
      <c r="J520">
        <f>VLOOKUP(A520,'RE@CD'!A:D,3,FALSE)</f>
        <v>50000</v>
      </c>
      <c r="K520">
        <f>VLOOKUP(A520,'RE@CD'!A:D,4,FALSE)</f>
        <v>80000</v>
      </c>
      <c r="L520">
        <f>VLOOKUP(A520,DB!A:I,3,FALSE)</f>
        <v>3.61E-2</v>
      </c>
      <c r="M520">
        <f>VLOOKUP(A520,DB!A:I,4,FALSE)</f>
        <v>1.2999999999999999E-3</v>
      </c>
      <c r="N520">
        <f>VLOOKUP(A520,DB!A:I,5,FALSE)</f>
        <v>3.9100000000000003E-3</v>
      </c>
      <c r="O520">
        <f>VLOOKUP(A520,DB!A:I,6,FALSE)</f>
        <v>3.5200000000000001E-3</v>
      </c>
      <c r="P520">
        <f>VLOOKUP(A520,DB!A:I,7,FALSE)</f>
        <v>4.0000000000000002E-4</v>
      </c>
      <c r="Q520">
        <f>VLOOKUP(A520,DB!A:I,8,FALSE)</f>
        <v>0.56679999999999997</v>
      </c>
      <c r="R520">
        <f>VLOOKUP(A520,DB!A:I,9,FALSE)</f>
        <v>0.81840000000000002</v>
      </c>
      <c r="S520">
        <f>N520 *SQRT(H520)</f>
        <v>5.5295750288788019</v>
      </c>
      <c r="T520">
        <f>L520/N520</f>
        <v>9.2327365728900244</v>
      </c>
    </row>
    <row r="521" spans="1:20" x14ac:dyDescent="0.25">
      <c r="A521" t="s">
        <v>1033</v>
      </c>
      <c r="B521" t="s">
        <v>444</v>
      </c>
      <c r="C521" s="4">
        <v>7.8449000000000005E-2</v>
      </c>
      <c r="D521" s="4">
        <v>0.29699999999999999</v>
      </c>
      <c r="E521" s="4">
        <v>1.7505E-2</v>
      </c>
      <c r="F521" s="4">
        <v>0.441</v>
      </c>
      <c r="G521">
        <v>1.3799999999999999E-3</v>
      </c>
      <c r="H521">
        <f>VLOOKUP(A521,DB!A:I,2,FALSE)</f>
        <v>1350000</v>
      </c>
      <c r="I521">
        <f>VLOOKUP(A521,'RE@CD'!A:D,2,FALSE)</f>
        <v>175000</v>
      </c>
      <c r="J521">
        <f>VLOOKUP(A521,'RE@CD'!A:D,3,FALSE)</f>
        <v>50000</v>
      </c>
      <c r="K521">
        <f>VLOOKUP(A521,'RE@CD'!A:D,4,FALSE)</f>
        <v>150000</v>
      </c>
      <c r="L521">
        <f>VLOOKUP(A521,DB!A:I,3,FALSE)</f>
        <v>0.20219999999999999</v>
      </c>
      <c r="M521">
        <f>VLOOKUP(A521,DB!A:I,4,FALSE)</f>
        <v>-4.2299999999999997E-2</v>
      </c>
      <c r="N521">
        <f>VLOOKUP(A521,DB!A:I,5,FALSE)</f>
        <v>3.8999999999999998E-3</v>
      </c>
      <c r="O521">
        <f>VLOOKUP(A521,DB!A:I,6,FALSE)</f>
        <v>3.3E-3</v>
      </c>
      <c r="P521">
        <f>VLOOKUP(A521,DB!A:I,7,FALSE)</f>
        <v>5.9999999999999995E-4</v>
      </c>
      <c r="Q521">
        <f>VLOOKUP(A521,DB!A:I,8,FALSE)</f>
        <v>0.75939999999999996</v>
      </c>
      <c r="R521">
        <f>VLOOKUP(A521,DB!A:I,9,FALSE)</f>
        <v>0.79300000000000004</v>
      </c>
      <c r="S521">
        <f>N521 *SQRT(H521)</f>
        <v>4.5313905150626779</v>
      </c>
      <c r="T521">
        <f>L521/N521</f>
        <v>51.846153846153847</v>
      </c>
    </row>
    <row r="522" spans="1:20" x14ac:dyDescent="0.25">
      <c r="A522" t="s">
        <v>1081</v>
      </c>
      <c r="B522" t="s">
        <v>492</v>
      </c>
      <c r="C522" s="4">
        <v>0.16508</v>
      </c>
      <c r="D522" s="4">
        <v>0.42199999999999999</v>
      </c>
      <c r="E522" s="4">
        <v>0</v>
      </c>
      <c r="F522" s="4">
        <v>0.96599999999999997</v>
      </c>
      <c r="G522">
        <v>1.576E-2</v>
      </c>
      <c r="H522">
        <f>VLOOKUP(A522,DB!A:I,2,FALSE)</f>
        <v>3000000</v>
      </c>
      <c r="I522">
        <f>VLOOKUP(A522,'RE@CD'!A:D,2,FALSE)</f>
        <v>775000</v>
      </c>
      <c r="J522">
        <f>VLOOKUP(A522,'RE@CD'!A:D,3,FALSE)</f>
        <v>375000</v>
      </c>
      <c r="K522">
        <f>VLOOKUP(A522,'RE@CD'!A:D,4,FALSE)</f>
        <v>650000</v>
      </c>
      <c r="L522">
        <f>VLOOKUP(A522,DB!A:I,3,FALSE)</f>
        <v>0</v>
      </c>
      <c r="M522">
        <f>VLOOKUP(A522,DB!A:I,4,FALSE)</f>
        <v>0</v>
      </c>
      <c r="N522">
        <f>VLOOKUP(A522,DB!A:I,5,FALSE)</f>
        <v>3.8999999999999998E-3</v>
      </c>
      <c r="O522">
        <f>VLOOKUP(A522,DB!A:I,6,FALSE)</f>
        <v>2.97E-3</v>
      </c>
      <c r="P522">
        <f>VLOOKUP(A522,DB!A:I,7,FALSE)</f>
        <v>9.3999999999999997E-4</v>
      </c>
      <c r="Q522">
        <f>VLOOKUP(A522,DB!A:I,8,FALSE)</f>
        <v>0.72230000000000005</v>
      </c>
      <c r="R522">
        <f>VLOOKUP(A522,DB!A:I,9,FALSE)</f>
        <v>0.72230000000000005</v>
      </c>
      <c r="S522">
        <f>N522 *SQRT(H522)</f>
        <v>6.7549981495186211</v>
      </c>
      <c r="T522">
        <f>L522/N522</f>
        <v>0</v>
      </c>
    </row>
    <row r="523" spans="1:20" x14ac:dyDescent="0.25">
      <c r="A523" t="s">
        <v>1166</v>
      </c>
      <c r="B523" t="s">
        <v>576</v>
      </c>
      <c r="C523" s="4">
        <v>9.0952000000000005E-2</v>
      </c>
      <c r="D523" s="4">
        <v>0.35699999999999998</v>
      </c>
      <c r="E523" s="4">
        <v>1.7569999999999999E-2</v>
      </c>
      <c r="F523" s="4">
        <v>0.67</v>
      </c>
      <c r="G523">
        <v>1.64E-3</v>
      </c>
      <c r="H523">
        <f>VLOOKUP(A523,DB!A:I,2,FALSE)</f>
        <v>3000000</v>
      </c>
      <c r="I523">
        <f>VLOOKUP(A523,'RE@CD'!A:D,2,FALSE)</f>
        <v>475000</v>
      </c>
      <c r="J523">
        <f>VLOOKUP(A523,'RE@CD'!A:D,3,FALSE)</f>
        <v>50000</v>
      </c>
      <c r="K523">
        <f>VLOOKUP(A523,'RE@CD'!A:D,4,FALSE)</f>
        <v>375000</v>
      </c>
      <c r="L523">
        <f>VLOOKUP(A523,DB!A:I,3,FALSE)</f>
        <v>0.24529999999999999</v>
      </c>
      <c r="M523">
        <f>VLOOKUP(A523,DB!A:I,4,FALSE)</f>
        <v>-7.0300000000000001E-2</v>
      </c>
      <c r="N523">
        <f>VLOOKUP(A523,DB!A:I,5,FALSE)</f>
        <v>3.8999999999999998E-3</v>
      </c>
      <c r="O523">
        <f>VLOOKUP(A523,DB!A:I,6,FALSE)</f>
        <v>3.4499999999999999E-3</v>
      </c>
      <c r="P523">
        <f>VLOOKUP(A523,DB!A:I,7,FALSE)</f>
        <v>4.4999999999999999E-4</v>
      </c>
      <c r="Q523">
        <f>VLOOKUP(A523,DB!A:I,8,FALSE)</f>
        <v>0.83860000000000001</v>
      </c>
      <c r="R523">
        <f>VLOOKUP(A523,DB!A:I,9,FALSE)</f>
        <v>0.4798</v>
      </c>
      <c r="S523">
        <f>N523 *SQRT(H523)</f>
        <v>6.7549981495186211</v>
      </c>
      <c r="T523">
        <f>L523/N523</f>
        <v>62.897435897435898</v>
      </c>
    </row>
    <row r="524" spans="1:20" x14ac:dyDescent="0.25">
      <c r="A524" t="s">
        <v>822</v>
      </c>
      <c r="B524" t="s">
        <v>237</v>
      </c>
      <c r="C524" s="4">
        <v>0.153002</v>
      </c>
      <c r="D524" s="4">
        <v>0.40300000000000002</v>
      </c>
      <c r="E524" s="4">
        <v>2.9935E-2</v>
      </c>
      <c r="F524" s="4">
        <v>0.40300000000000002</v>
      </c>
      <c r="G524">
        <v>6.9100000000000003E-3</v>
      </c>
      <c r="H524">
        <f>VLOOKUP(A524,DB!A:I,2,FALSE)</f>
        <v>3000000</v>
      </c>
      <c r="I524">
        <f>VLOOKUP(A524,'RE@CD'!A:D,2,FALSE)</f>
        <v>700000</v>
      </c>
      <c r="J524">
        <f>VLOOKUP(A524,'RE@CD'!A:D,3,FALSE)</f>
        <v>275000</v>
      </c>
      <c r="K524">
        <f>VLOOKUP(A524,'RE@CD'!A:D,4,FALSE)</f>
        <v>575000</v>
      </c>
      <c r="L524">
        <f>VLOOKUP(A524,DB!A:I,3,FALSE)</f>
        <v>0.35870000000000002</v>
      </c>
      <c r="M524">
        <f>VLOOKUP(A524,DB!A:I,4,FALSE)</f>
        <v>-7.1400000000000005E-2</v>
      </c>
      <c r="N524">
        <f>VLOOKUP(A524,DB!A:I,5,FALSE)</f>
        <v>3.8899999999999998E-3</v>
      </c>
      <c r="O524">
        <f>VLOOKUP(A524,DB!A:I,6,FALSE)</f>
        <v>2.9099999999999998E-3</v>
      </c>
      <c r="P524">
        <f>VLOOKUP(A524,DB!A:I,7,FALSE)</f>
        <v>9.7999999999999997E-4</v>
      </c>
      <c r="Q524">
        <f>VLOOKUP(A524,DB!A:I,8,FALSE)</f>
        <v>0.69310000000000005</v>
      </c>
      <c r="R524">
        <f>VLOOKUP(A524,DB!A:I,9,FALSE)</f>
        <v>0.80710000000000004</v>
      </c>
      <c r="S524">
        <f>N524 *SQRT(H524)</f>
        <v>6.7376776414429322</v>
      </c>
      <c r="T524">
        <f>L524/N524</f>
        <v>92.210796915167109</v>
      </c>
    </row>
    <row r="525" spans="1:20" x14ac:dyDescent="0.25">
      <c r="A525" t="s">
        <v>1025</v>
      </c>
      <c r="B525" t="s">
        <v>436</v>
      </c>
      <c r="C525" s="4">
        <v>0.129606</v>
      </c>
      <c r="D525" s="4">
        <v>0.39500000000000002</v>
      </c>
      <c r="E525" s="4">
        <v>2.1104999999999999E-2</v>
      </c>
      <c r="F525" s="4">
        <v>0.498</v>
      </c>
      <c r="G525">
        <v>2.8999999999999998E-3</v>
      </c>
      <c r="H525">
        <f>VLOOKUP(A525,DB!A:I,2,FALSE)</f>
        <v>3000000</v>
      </c>
      <c r="I525">
        <f>VLOOKUP(A525,'RE@CD'!A:D,2,FALSE)</f>
        <v>350000</v>
      </c>
      <c r="J525">
        <f>VLOOKUP(A525,'RE@CD'!A:D,3,FALSE)</f>
        <v>150000</v>
      </c>
      <c r="K525">
        <f>VLOOKUP(A525,'RE@CD'!A:D,4,FALSE)</f>
        <v>300000</v>
      </c>
      <c r="L525">
        <f>VLOOKUP(A525,DB!A:I,3,FALSE)</f>
        <v>0.35120000000000001</v>
      </c>
      <c r="M525">
        <f>VLOOKUP(A525,DB!A:I,4,FALSE)</f>
        <v>-8.0199999999999994E-2</v>
      </c>
      <c r="N525">
        <f>VLOOKUP(A525,DB!A:I,5,FALSE)</f>
        <v>3.8899999999999998E-3</v>
      </c>
      <c r="O525">
        <f>VLOOKUP(A525,DB!A:I,6,FALSE)</f>
        <v>3.2799999999999999E-3</v>
      </c>
      <c r="P525">
        <f>VLOOKUP(A525,DB!A:I,7,FALSE)</f>
        <v>6.0999999999999997E-4</v>
      </c>
      <c r="Q525">
        <f>VLOOKUP(A525,DB!A:I,8,FALSE)</f>
        <v>0.67700000000000005</v>
      </c>
      <c r="R525">
        <f>VLOOKUP(A525,DB!A:I,9,FALSE)</f>
        <v>0.69040000000000001</v>
      </c>
      <c r="S525">
        <f>N525 *SQRT(H525)</f>
        <v>6.7376776414429322</v>
      </c>
      <c r="T525">
        <f>L525/N525</f>
        <v>90.282776349614409</v>
      </c>
    </row>
    <row r="526" spans="1:20" x14ac:dyDescent="0.25">
      <c r="A526" t="s">
        <v>1091</v>
      </c>
      <c r="B526" t="s">
        <v>502</v>
      </c>
      <c r="C526" s="4">
        <v>8.6298E-2</v>
      </c>
      <c r="D526" s="4">
        <v>0.35099999999999998</v>
      </c>
      <c r="E526" s="4">
        <v>1.9324000000000001E-2</v>
      </c>
      <c r="F526" s="4">
        <v>0.55800000000000005</v>
      </c>
      <c r="G526">
        <v>4.5100000000000001E-3</v>
      </c>
      <c r="H526">
        <f>VLOOKUP(A526,DB!A:I,2,FALSE)</f>
        <v>2900000</v>
      </c>
      <c r="I526">
        <f>VLOOKUP(A526,'RE@CD'!A:D,2,FALSE)</f>
        <v>250000</v>
      </c>
      <c r="J526">
        <f>VLOOKUP(A526,'RE@CD'!A:D,3,FALSE)</f>
        <v>50000</v>
      </c>
      <c r="K526">
        <f>VLOOKUP(A526,'RE@CD'!A:D,4,FALSE)</f>
        <v>175000</v>
      </c>
      <c r="L526">
        <f>VLOOKUP(A526,DB!A:I,3,FALSE)</f>
        <v>0.30030000000000001</v>
      </c>
      <c r="M526">
        <f>VLOOKUP(A526,DB!A:I,4,FALSE)</f>
        <v>-7.0499999999999993E-2</v>
      </c>
      <c r="N526">
        <f>VLOOKUP(A526,DB!A:I,5,FALSE)</f>
        <v>3.8899999999999998E-3</v>
      </c>
      <c r="O526">
        <f>VLOOKUP(A526,DB!A:I,6,FALSE)</f>
        <v>3.48E-3</v>
      </c>
      <c r="P526">
        <f>VLOOKUP(A526,DB!A:I,7,FALSE)</f>
        <v>4.0999999999999999E-4</v>
      </c>
      <c r="Q526">
        <f>VLOOKUP(A526,DB!A:I,8,FALSE)</f>
        <v>0.68600000000000005</v>
      </c>
      <c r="R526">
        <f>VLOOKUP(A526,DB!A:I,9,FALSE)</f>
        <v>0.61070000000000002</v>
      </c>
      <c r="S526">
        <f>N526 *SQRT(H526)</f>
        <v>6.6244312963453691</v>
      </c>
      <c r="T526">
        <f>L526/N526</f>
        <v>77.197943444730086</v>
      </c>
    </row>
    <row r="527" spans="1:20" x14ac:dyDescent="0.25">
      <c r="A527" t="s">
        <v>871</v>
      </c>
      <c r="B527" t="s">
        <v>286</v>
      </c>
      <c r="C527" s="4">
        <v>0.12595300000000001</v>
      </c>
      <c r="D527" s="4">
        <v>0.27900000000000003</v>
      </c>
      <c r="E527" s="4">
        <v>4.0176999999999997E-2</v>
      </c>
      <c r="F527" s="4">
        <v>0.53300000000000003</v>
      </c>
      <c r="G527">
        <v>3.1700000000000001E-3</v>
      </c>
      <c r="H527">
        <f>VLOOKUP(A527,DB!A:I,2,FALSE)</f>
        <v>775000</v>
      </c>
      <c r="I527">
        <f>VLOOKUP(A527,'RE@CD'!A:D,2,FALSE)</f>
        <v>300000</v>
      </c>
      <c r="J527">
        <f>VLOOKUP(A527,'RE@CD'!A:D,3,FALSE)</f>
        <v>100000</v>
      </c>
      <c r="K527">
        <f>VLOOKUP(A527,'RE@CD'!A:D,4,FALSE)</f>
        <v>90000</v>
      </c>
      <c r="L527">
        <f>VLOOKUP(A527,DB!A:I,3,FALSE)</f>
        <v>0.57630000000000003</v>
      </c>
      <c r="M527">
        <f>VLOOKUP(A527,DB!A:I,4,FALSE)</f>
        <v>-0.13070000000000001</v>
      </c>
      <c r="N527">
        <f>VLOOKUP(A527,DB!A:I,5,FALSE)</f>
        <v>7.43E-3</v>
      </c>
      <c r="O527">
        <f>VLOOKUP(A527,DB!A:I,6,FALSE)</f>
        <v>6.0600000000000003E-3</v>
      </c>
      <c r="P527">
        <f>VLOOKUP(A527,DB!A:I,7,FALSE)</f>
        <v>1.3699999999999999E-3</v>
      </c>
      <c r="Q527">
        <f>VLOOKUP(A527,DB!A:I,8,FALSE)</f>
        <v>0.60640000000000005</v>
      </c>
      <c r="R527">
        <f>VLOOKUP(A527,DB!A:I,9,FALSE)</f>
        <v>0.31659999999999999</v>
      </c>
      <c r="S527">
        <f>N527 *SQRT(H527)</f>
        <v>6.5409324641063211</v>
      </c>
      <c r="T527">
        <f>L527/N527</f>
        <v>77.563930013458958</v>
      </c>
    </row>
    <row r="528" spans="1:20" x14ac:dyDescent="0.25">
      <c r="A528" t="s">
        <v>884</v>
      </c>
      <c r="B528" t="s">
        <v>299</v>
      </c>
      <c r="C528" s="4">
        <v>0.15814400000000001</v>
      </c>
      <c r="D528" s="4">
        <v>0.34</v>
      </c>
      <c r="E528" s="4">
        <v>3.6345000000000002E-2</v>
      </c>
      <c r="F528" s="4">
        <v>0.37</v>
      </c>
      <c r="G528">
        <v>9.5E-4</v>
      </c>
      <c r="H528">
        <f>VLOOKUP(A528,DB!A:I,2,FALSE)</f>
        <v>550000</v>
      </c>
      <c r="I528">
        <f>VLOOKUP(A528,'RE@CD'!A:D,2,FALSE)</f>
        <v>750000</v>
      </c>
      <c r="J528">
        <f>VLOOKUP(A528,'RE@CD'!A:D,3,FALSE)</f>
        <v>150000</v>
      </c>
      <c r="K528">
        <f>VLOOKUP(A528,'RE@CD'!A:D,4,FALSE)</f>
        <v>100000</v>
      </c>
      <c r="L528">
        <f>VLOOKUP(A528,DB!A:I,3,FALSE)</f>
        <v>0.62739999999999996</v>
      </c>
      <c r="M528">
        <f>VLOOKUP(A528,DB!A:I,4,FALSE)</f>
        <v>-0.13589999999999999</v>
      </c>
      <c r="N528">
        <f>VLOOKUP(A528,DB!A:I,5,FALSE)</f>
        <v>9.0600000000000003E-3</v>
      </c>
      <c r="O528">
        <f>VLOOKUP(A528,DB!A:I,6,FALSE)</f>
        <v>6.3499999999999997E-3</v>
      </c>
      <c r="P528">
        <f>VLOOKUP(A528,DB!A:I,7,FALSE)</f>
        <v>2.7100000000000002E-3</v>
      </c>
      <c r="Q528">
        <f>VLOOKUP(A528,DB!A:I,8,FALSE)</f>
        <v>0.4884</v>
      </c>
      <c r="R528">
        <f>VLOOKUP(A528,DB!A:I,9,FALSE)</f>
        <v>0.58950000000000002</v>
      </c>
      <c r="S528">
        <f>N528 *SQRT(H528)</f>
        <v>6.7190758293086708</v>
      </c>
      <c r="T528">
        <f>L528/N528</f>
        <v>69.249448123620297</v>
      </c>
    </row>
    <row r="529" spans="1:20" x14ac:dyDescent="0.25">
      <c r="A529" t="s">
        <v>633</v>
      </c>
      <c r="B529" t="s">
        <v>48</v>
      </c>
      <c r="C529" s="4">
        <v>0.14996999999999999</v>
      </c>
      <c r="D529" s="4">
        <v>0.435</v>
      </c>
      <c r="E529" s="4">
        <v>3.6345000000000002E-2</v>
      </c>
      <c r="F529" s="4">
        <v>0.46700000000000003</v>
      </c>
      <c r="G529">
        <v>5.6699999999999997E-3</v>
      </c>
      <c r="H529">
        <f>VLOOKUP(A529,DB!A:I,2,FALSE)</f>
        <v>3000000</v>
      </c>
      <c r="I529">
        <f>VLOOKUP(A529,'RE@CD'!A:D,2,FALSE)</f>
        <v>750000</v>
      </c>
      <c r="J529">
        <f>VLOOKUP(A529,'RE@CD'!A:D,3,FALSE)</f>
        <v>375000</v>
      </c>
      <c r="K529">
        <f>VLOOKUP(A529,'RE@CD'!A:D,4,FALSE)</f>
        <v>650000</v>
      </c>
      <c r="L529">
        <f>VLOOKUP(A529,DB!A:I,3,FALSE)</f>
        <v>0.4466</v>
      </c>
      <c r="M529">
        <f>VLOOKUP(A529,DB!A:I,4,FALSE)</f>
        <v>-9.8900000000000002E-2</v>
      </c>
      <c r="N529">
        <f>VLOOKUP(A529,DB!A:I,5,FALSE)</f>
        <v>3.8600000000000001E-3</v>
      </c>
      <c r="O529">
        <f>VLOOKUP(A529,DB!A:I,6,FALSE)</f>
        <v>2.7799999999999999E-3</v>
      </c>
      <c r="P529">
        <f>VLOOKUP(A529,DB!A:I,7,FALSE)</f>
        <v>1.08E-3</v>
      </c>
      <c r="Q529">
        <f>VLOOKUP(A529,DB!A:I,8,FALSE)</f>
        <v>0.72970000000000002</v>
      </c>
      <c r="R529">
        <f>VLOOKUP(A529,DB!A:I,9,FALSE)</f>
        <v>0.82269999999999999</v>
      </c>
      <c r="S529">
        <f>N529 *SQRT(H529)</f>
        <v>6.6857161172158666</v>
      </c>
      <c r="T529">
        <f>L529/N529</f>
        <v>115.69948186528497</v>
      </c>
    </row>
    <row r="530" spans="1:20" x14ac:dyDescent="0.25">
      <c r="A530" t="s">
        <v>762</v>
      </c>
      <c r="B530" t="s">
        <v>177</v>
      </c>
      <c r="C530" s="4">
        <v>0.13768</v>
      </c>
      <c r="D530" s="4">
        <v>0.37</v>
      </c>
      <c r="E530" s="4">
        <v>5.0000000000000004E-6</v>
      </c>
      <c r="F530" s="4">
        <v>0.91700000000000004</v>
      </c>
      <c r="G530">
        <v>1.64E-3</v>
      </c>
      <c r="H530">
        <f>VLOOKUP(A530,DB!A:I,2,FALSE)</f>
        <v>3000000</v>
      </c>
      <c r="I530">
        <f>VLOOKUP(A530,'RE@CD'!A:D,2,FALSE)</f>
        <v>375000</v>
      </c>
      <c r="J530">
        <f>VLOOKUP(A530,'RE@CD'!A:D,3,FALSE)</f>
        <v>150000</v>
      </c>
      <c r="K530">
        <f>VLOOKUP(A530,'RE@CD'!A:D,4,FALSE)</f>
        <v>300000</v>
      </c>
      <c r="L530">
        <f>VLOOKUP(A530,DB!A:I,3,FALSE)</f>
        <v>0</v>
      </c>
      <c r="M530">
        <f>VLOOKUP(A530,DB!A:I,4,FALSE)</f>
        <v>0</v>
      </c>
      <c r="N530">
        <f>VLOOKUP(A530,DB!A:I,5,FALSE)</f>
        <v>3.8600000000000001E-3</v>
      </c>
      <c r="O530">
        <f>VLOOKUP(A530,DB!A:I,6,FALSE)</f>
        <v>3.3500000000000001E-3</v>
      </c>
      <c r="P530">
        <f>VLOOKUP(A530,DB!A:I,7,FALSE)</f>
        <v>5.1999999999999995E-4</v>
      </c>
      <c r="Q530">
        <f>VLOOKUP(A530,DB!A:I,8,FALSE)</f>
        <v>0.65910000000000002</v>
      </c>
      <c r="R530">
        <f>VLOOKUP(A530,DB!A:I,9,FALSE)</f>
        <v>0.65910000000000002</v>
      </c>
      <c r="S530">
        <f>N530 *SQRT(H530)</f>
        <v>6.6857161172158666</v>
      </c>
      <c r="T530">
        <f>L530/N530</f>
        <v>0</v>
      </c>
    </row>
    <row r="531" spans="1:20" x14ac:dyDescent="0.25">
      <c r="A531" t="s">
        <v>971</v>
      </c>
      <c r="B531" t="s">
        <v>382</v>
      </c>
      <c r="C531" s="4">
        <v>8.5600999999999997E-2</v>
      </c>
      <c r="D531" s="4">
        <v>0.35</v>
      </c>
      <c r="E531" s="4">
        <v>1.4734000000000001E-2</v>
      </c>
      <c r="F531" s="4">
        <v>0.5</v>
      </c>
      <c r="G531">
        <v>3.7299999999999998E-3</v>
      </c>
      <c r="H531">
        <f>VLOOKUP(A531,DB!A:I,2,FALSE)</f>
        <v>3000000</v>
      </c>
      <c r="I531">
        <f>VLOOKUP(A531,'RE@CD'!A:D,2,FALSE)</f>
        <v>175000</v>
      </c>
      <c r="J531">
        <f>VLOOKUP(A531,'RE@CD'!A:D,3,FALSE)</f>
        <v>50000</v>
      </c>
      <c r="K531">
        <f>VLOOKUP(A531,'RE@CD'!A:D,4,FALSE)</f>
        <v>150000</v>
      </c>
      <c r="L531">
        <f>VLOOKUP(A531,DB!A:I,3,FALSE)</f>
        <v>0.20649999999999999</v>
      </c>
      <c r="M531">
        <f>VLOOKUP(A531,DB!A:I,4,FALSE)</f>
        <v>-4.6300000000000001E-2</v>
      </c>
      <c r="N531">
        <f>VLOOKUP(A531,DB!A:I,5,FALSE)</f>
        <v>3.8400000000000001E-3</v>
      </c>
      <c r="O531">
        <f>VLOOKUP(A531,DB!A:I,6,FALSE)</f>
        <v>3.49E-3</v>
      </c>
      <c r="P531">
        <f>VLOOKUP(A531,DB!A:I,7,FALSE)</f>
        <v>3.5E-4</v>
      </c>
      <c r="Q531">
        <f>VLOOKUP(A531,DB!A:I,8,FALSE)</f>
        <v>0.65249999999999997</v>
      </c>
      <c r="R531">
        <f>VLOOKUP(A531,DB!A:I,9,FALSE)</f>
        <v>0.62290000000000001</v>
      </c>
      <c r="S531">
        <f>N531 *SQRT(H531)</f>
        <v>6.6510751010644888</v>
      </c>
      <c r="T531">
        <f>L531/N531</f>
        <v>53.776041666666664</v>
      </c>
    </row>
    <row r="532" spans="1:20" x14ac:dyDescent="0.25">
      <c r="A532" t="s">
        <v>881</v>
      </c>
      <c r="B532" t="s">
        <v>296</v>
      </c>
      <c r="C532" s="4">
        <v>0.13714499999999999</v>
      </c>
      <c r="D532" s="4">
        <v>0.308</v>
      </c>
      <c r="E532" s="4">
        <v>5.8604000000000003E-2</v>
      </c>
      <c r="F532" s="4">
        <v>0.56499999999999995</v>
      </c>
      <c r="G532">
        <v>1.2700000000000001E-3</v>
      </c>
      <c r="H532">
        <f>VLOOKUP(A532,DB!A:I,2,FALSE)</f>
        <v>750000</v>
      </c>
      <c r="I532">
        <f>VLOOKUP(A532,'RE@CD'!A:D,2,FALSE)</f>
        <v>375000</v>
      </c>
      <c r="J532">
        <f>VLOOKUP(A532,'RE@CD'!A:D,3,FALSE)</f>
        <v>125000</v>
      </c>
      <c r="K532">
        <f>VLOOKUP(A532,'RE@CD'!A:D,4,FALSE)</f>
        <v>125000</v>
      </c>
      <c r="L532">
        <f>VLOOKUP(A532,DB!A:I,3,FALSE)</f>
        <v>0.91769999999999996</v>
      </c>
      <c r="M532">
        <f>VLOOKUP(A532,DB!A:I,4,FALSE)</f>
        <v>-0.2072</v>
      </c>
      <c r="N532">
        <f>VLOOKUP(A532,DB!A:I,5,FALSE)</f>
        <v>8.0400000000000003E-3</v>
      </c>
      <c r="O532">
        <f>VLOOKUP(A532,DB!A:I,6,FALSE)</f>
        <v>5.8799999999999998E-3</v>
      </c>
      <c r="P532">
        <f>VLOOKUP(A532,DB!A:I,7,FALSE)</f>
        <v>2.16E-3</v>
      </c>
      <c r="Q532">
        <f>VLOOKUP(A532,DB!A:I,8,FALSE)</f>
        <v>0.61129999999999995</v>
      </c>
      <c r="R532">
        <f>VLOOKUP(A532,DB!A:I,9,FALSE)</f>
        <v>0.3674</v>
      </c>
      <c r="S532">
        <f>N532 *SQRT(H532)</f>
        <v>6.9628442464268865</v>
      </c>
      <c r="T532">
        <f>L532/N532</f>
        <v>114.14179104477611</v>
      </c>
    </row>
    <row r="533" spans="1:20" x14ac:dyDescent="0.25">
      <c r="A533" t="s">
        <v>1022</v>
      </c>
      <c r="B533" t="s">
        <v>433</v>
      </c>
      <c r="C533" s="4">
        <v>9.3227000000000004E-2</v>
      </c>
      <c r="D533" s="4">
        <v>0.33600000000000002</v>
      </c>
      <c r="E533" s="4">
        <v>3.5083999999999997E-2</v>
      </c>
      <c r="F533" s="4">
        <v>0.624</v>
      </c>
      <c r="G533">
        <v>1.5200000000000001E-3</v>
      </c>
      <c r="H533">
        <f>VLOOKUP(A533,DB!A:I,2,FALSE)</f>
        <v>3000000</v>
      </c>
      <c r="I533">
        <f>VLOOKUP(A533,'RE@CD'!A:D,2,FALSE)</f>
        <v>350000</v>
      </c>
      <c r="J533">
        <f>VLOOKUP(A533,'RE@CD'!A:D,3,FALSE)</f>
        <v>150000</v>
      </c>
      <c r="K533">
        <f>VLOOKUP(A533,'RE@CD'!A:D,4,FALSE)</f>
        <v>300000</v>
      </c>
      <c r="L533">
        <f>VLOOKUP(A533,DB!A:I,3,FALSE)</f>
        <v>0.55410000000000004</v>
      </c>
      <c r="M533">
        <f>VLOOKUP(A533,DB!A:I,4,FALSE)</f>
        <v>-0.1411</v>
      </c>
      <c r="N533">
        <f>VLOOKUP(A533,DB!A:I,5,FALSE)</f>
        <v>3.82E-3</v>
      </c>
      <c r="O533">
        <f>VLOOKUP(A533,DB!A:I,6,FALSE)</f>
        <v>3.3500000000000001E-3</v>
      </c>
      <c r="P533">
        <f>VLOOKUP(A533,DB!A:I,7,FALSE)</f>
        <v>4.6999999999999999E-4</v>
      </c>
      <c r="Q533">
        <f>VLOOKUP(A533,DB!A:I,8,FALSE)</f>
        <v>0.77649999999999997</v>
      </c>
      <c r="R533">
        <f>VLOOKUP(A533,DB!A:I,9,FALSE)</f>
        <v>0.53029999999999999</v>
      </c>
      <c r="S533">
        <f>N533 *SQRT(H533)</f>
        <v>6.6164340849131111</v>
      </c>
      <c r="T533">
        <f>L533/N533</f>
        <v>145.05235602094243</v>
      </c>
    </row>
    <row r="534" spans="1:20" x14ac:dyDescent="0.25">
      <c r="A534" t="s">
        <v>624</v>
      </c>
      <c r="B534" t="s">
        <v>39</v>
      </c>
      <c r="C534" s="4">
        <v>0.13486999999999999</v>
      </c>
      <c r="D534" s="4">
        <v>0.40200000000000002</v>
      </c>
      <c r="E534" s="4">
        <v>3.0491999999999998E-2</v>
      </c>
      <c r="F534" s="4">
        <v>0.40200000000000002</v>
      </c>
      <c r="G534">
        <v>6.1599999999999997E-3</v>
      </c>
      <c r="H534">
        <f>VLOOKUP(A534,DB!A:I,2,FALSE)</f>
        <v>3000000</v>
      </c>
      <c r="I534">
        <f>VLOOKUP(A534,'RE@CD'!A:D,2,FALSE)</f>
        <v>500000</v>
      </c>
      <c r="J534">
        <f>VLOOKUP(A534,'RE@CD'!A:D,3,FALSE)</f>
        <v>175000</v>
      </c>
      <c r="K534">
        <f>VLOOKUP(A534,'RE@CD'!A:D,4,FALSE)</f>
        <v>425000</v>
      </c>
      <c r="L534">
        <f>VLOOKUP(A534,DB!A:I,3,FALSE)</f>
        <v>0.34150000000000003</v>
      </c>
      <c r="M534">
        <f>VLOOKUP(A534,DB!A:I,4,FALSE)</f>
        <v>-6.7100000000000007E-2</v>
      </c>
      <c r="N534">
        <f>VLOOKUP(A534,DB!A:I,5,FALSE)</f>
        <v>3.81E-3</v>
      </c>
      <c r="O534">
        <f>VLOOKUP(A534,DB!A:I,6,FALSE)</f>
        <v>3.1900000000000001E-3</v>
      </c>
      <c r="P534">
        <f>VLOOKUP(A534,DB!A:I,7,FALSE)</f>
        <v>6.0999999999999997E-4</v>
      </c>
      <c r="Q534">
        <f>VLOOKUP(A534,DB!A:I,8,FALSE)</f>
        <v>0.68</v>
      </c>
      <c r="R534">
        <f>VLOOKUP(A534,DB!A:I,9,FALSE)</f>
        <v>0.7117</v>
      </c>
      <c r="S534">
        <f>N534 *SQRT(H534)</f>
        <v>6.5991135768374223</v>
      </c>
      <c r="T534">
        <f>L534/N534</f>
        <v>89.632545931758543</v>
      </c>
    </row>
    <row r="535" spans="1:20" x14ac:dyDescent="0.25">
      <c r="A535" t="s">
        <v>738</v>
      </c>
      <c r="B535" t="s">
        <v>153</v>
      </c>
      <c r="C535" s="4">
        <v>0.14971000000000001</v>
      </c>
      <c r="D535" s="4">
        <v>0.379</v>
      </c>
      <c r="E535" s="4">
        <v>3.3145000000000001E-2</v>
      </c>
      <c r="F535" s="4">
        <v>0.755</v>
      </c>
      <c r="G535">
        <v>6.6299999999999996E-3</v>
      </c>
      <c r="H535">
        <f>VLOOKUP(A535,DB!A:I,2,FALSE)</f>
        <v>3000000</v>
      </c>
      <c r="I535">
        <f>VLOOKUP(A535,'RE@CD'!A:D,2,FALSE)</f>
        <v>625000</v>
      </c>
      <c r="J535">
        <f>VLOOKUP(A535,'RE@CD'!A:D,3,FALSE)</f>
        <v>300000</v>
      </c>
      <c r="K535">
        <f>VLOOKUP(A535,'RE@CD'!A:D,4,FALSE)</f>
        <v>425000</v>
      </c>
      <c r="L535">
        <f>VLOOKUP(A535,DB!A:I,3,FALSE)</f>
        <v>0.60260000000000002</v>
      </c>
      <c r="M535">
        <f>VLOOKUP(A535,DB!A:I,4,FALSE)</f>
        <v>-0.1598</v>
      </c>
      <c r="N535">
        <f>VLOOKUP(A535,DB!A:I,5,FALSE)</f>
        <v>3.81E-3</v>
      </c>
      <c r="O535">
        <f>VLOOKUP(A535,DB!A:I,6,FALSE)</f>
        <v>3.0599999999999998E-3</v>
      </c>
      <c r="P535">
        <f>VLOOKUP(A535,DB!A:I,7,FALSE)</f>
        <v>7.6000000000000004E-4</v>
      </c>
      <c r="Q535">
        <f>VLOOKUP(A535,DB!A:I,8,FALSE)</f>
        <v>0.80049999999999999</v>
      </c>
      <c r="R535">
        <f>VLOOKUP(A535,DB!A:I,9,FALSE)</f>
        <v>0.57969999999999999</v>
      </c>
      <c r="S535">
        <f>N535 *SQRT(H535)</f>
        <v>6.5991135768374223</v>
      </c>
      <c r="T535">
        <f>L535/N535</f>
        <v>158.16272965879267</v>
      </c>
    </row>
    <row r="536" spans="1:20" x14ac:dyDescent="0.25">
      <c r="A536" t="s">
        <v>916</v>
      </c>
      <c r="B536" t="s">
        <v>330</v>
      </c>
      <c r="C536" s="4">
        <v>0.13013</v>
      </c>
      <c r="D536" s="4">
        <v>0.46700000000000003</v>
      </c>
      <c r="E536" s="4">
        <v>3.8100000000000002E-2</v>
      </c>
      <c r="F536" s="4">
        <v>0.5</v>
      </c>
      <c r="G536">
        <v>5.6600000000000001E-3</v>
      </c>
      <c r="H536">
        <f>VLOOKUP(A536,DB!A:I,2,FALSE)</f>
        <v>3000000</v>
      </c>
      <c r="I536">
        <f>VLOOKUP(A536,'RE@CD'!A:D,2,FALSE)</f>
        <v>675000</v>
      </c>
      <c r="J536">
        <f>VLOOKUP(A536,'RE@CD'!A:D,3,FALSE)</f>
        <v>675000</v>
      </c>
      <c r="K536">
        <f>VLOOKUP(A536,'RE@CD'!A:D,4,FALSE)</f>
        <v>675000</v>
      </c>
      <c r="L536">
        <f>VLOOKUP(A536,DB!A:I,3,FALSE)</f>
        <v>0.55810000000000004</v>
      </c>
      <c r="M536">
        <f>VLOOKUP(A536,DB!A:I,4,FALSE)</f>
        <v>-0.12970000000000001</v>
      </c>
      <c r="N536">
        <f>VLOOKUP(A536,DB!A:I,5,FALSE)</f>
        <v>3.81E-3</v>
      </c>
      <c r="O536">
        <f>VLOOKUP(A536,DB!A:I,6,FALSE)</f>
        <v>2.8900000000000002E-3</v>
      </c>
      <c r="P536">
        <f>VLOOKUP(A536,DB!A:I,7,FALSE)</f>
        <v>9.2000000000000003E-4</v>
      </c>
      <c r="Q536">
        <f>VLOOKUP(A536,DB!A:I,8,FALSE)</f>
        <v>0.73509999999999998</v>
      </c>
      <c r="R536">
        <f>VLOOKUP(A536,DB!A:I,9,FALSE)</f>
        <v>0.78359999999999996</v>
      </c>
      <c r="S536">
        <f>N536 *SQRT(H536)</f>
        <v>6.5991135768374223</v>
      </c>
      <c r="T536">
        <f>L536/N536</f>
        <v>146.48293963254594</v>
      </c>
    </row>
    <row r="537" spans="1:20" x14ac:dyDescent="0.25">
      <c r="A537" t="s">
        <v>965</v>
      </c>
      <c r="B537" t="s">
        <v>376</v>
      </c>
      <c r="C537" s="4">
        <v>7.9719999999999999E-2</v>
      </c>
      <c r="D537" s="4">
        <v>0.35</v>
      </c>
      <c r="E537" s="4">
        <v>9.8519999999999996E-3</v>
      </c>
      <c r="F537" s="4">
        <v>0.5</v>
      </c>
      <c r="G537">
        <v>2.3400000000000001E-3</v>
      </c>
      <c r="H537">
        <f>VLOOKUP(A537,DB!A:I,2,FALSE)</f>
        <v>3000000</v>
      </c>
      <c r="I537">
        <f>VLOOKUP(A537,'RE@CD'!A:D,2,FALSE)</f>
        <v>175000</v>
      </c>
      <c r="J537">
        <f>VLOOKUP(A537,'RE@CD'!A:D,3,FALSE)</f>
        <v>50000</v>
      </c>
      <c r="K537">
        <f>VLOOKUP(A537,'RE@CD'!A:D,4,FALSE)</f>
        <v>125000</v>
      </c>
      <c r="L537">
        <f>VLOOKUP(A537,DB!A:I,3,FALSE)</f>
        <v>0.1396</v>
      </c>
      <c r="M537">
        <f>VLOOKUP(A537,DB!A:I,4,FALSE)</f>
        <v>-3.0700000000000002E-2</v>
      </c>
      <c r="N537">
        <f>VLOOKUP(A537,DB!A:I,5,FALSE)</f>
        <v>3.81E-3</v>
      </c>
      <c r="O537">
        <f>VLOOKUP(A537,DB!A:I,6,FALSE)</f>
        <v>3.5100000000000001E-3</v>
      </c>
      <c r="P537">
        <f>VLOOKUP(A537,DB!A:I,7,FALSE)</f>
        <v>2.9999999999999997E-4</v>
      </c>
      <c r="Q537">
        <f>VLOOKUP(A537,DB!A:I,8,FALSE)</f>
        <v>0.65439999999999998</v>
      </c>
      <c r="R537">
        <f>VLOOKUP(A537,DB!A:I,9,FALSE)</f>
        <v>0.63109999999999999</v>
      </c>
      <c r="S537">
        <f>N537 *SQRT(H537)</f>
        <v>6.5991135768374223</v>
      </c>
      <c r="T537">
        <f>L537/N537</f>
        <v>36.640419947506565</v>
      </c>
    </row>
    <row r="538" spans="1:20" x14ac:dyDescent="0.25">
      <c r="A538" t="s">
        <v>616</v>
      </c>
      <c r="B538" t="s">
        <v>31</v>
      </c>
      <c r="C538" s="4">
        <v>4.9922000000000001E-2</v>
      </c>
      <c r="D538" s="4">
        <v>0.22</v>
      </c>
      <c r="E538" s="4">
        <v>1.3100000000000001E-2</v>
      </c>
      <c r="F538" s="4">
        <v>0.33100000000000002</v>
      </c>
      <c r="G538">
        <v>3.65E-3</v>
      </c>
      <c r="H538">
        <f>VLOOKUP(A538,DB!A:I,2,FALSE)</f>
        <v>1200000</v>
      </c>
      <c r="I538">
        <f>VLOOKUP(A538,'RE@CD'!A:D,2,FALSE)</f>
        <v>90000</v>
      </c>
      <c r="J538">
        <f>VLOOKUP(A538,'RE@CD'!A:D,3,FALSE)</f>
        <v>50000</v>
      </c>
      <c r="K538">
        <f>VLOOKUP(A538,'RE@CD'!A:D,4,FALSE)</f>
        <v>70000</v>
      </c>
      <c r="L538">
        <f>VLOOKUP(A538,DB!A:I,3,FALSE)</f>
        <v>0.122</v>
      </c>
      <c r="M538">
        <f>VLOOKUP(A538,DB!A:I,4,FALSE)</f>
        <v>-0.02</v>
      </c>
      <c r="N538">
        <f>VLOOKUP(A538,DB!A:I,5,FALSE)</f>
        <v>3.8E-3</v>
      </c>
      <c r="O538">
        <f>VLOOKUP(A538,DB!A:I,6,FALSE)</f>
        <v>3.1700000000000001E-3</v>
      </c>
      <c r="P538">
        <f>VLOOKUP(A538,DB!A:I,7,FALSE)</f>
        <v>6.4000000000000005E-4</v>
      </c>
      <c r="Q538">
        <f>VLOOKUP(A538,DB!A:I,8,FALSE)</f>
        <v>0.67410000000000003</v>
      </c>
      <c r="R538">
        <f>VLOOKUP(A538,DB!A:I,9,FALSE)</f>
        <v>0.96819999999999995</v>
      </c>
      <c r="S538">
        <f>N538 *SQRT(H538)</f>
        <v>4.1626914370392631</v>
      </c>
      <c r="T538">
        <f>L538/N538</f>
        <v>32.105263157894733</v>
      </c>
    </row>
    <row r="539" spans="1:20" x14ac:dyDescent="0.25">
      <c r="A539" t="s">
        <v>617</v>
      </c>
      <c r="B539" t="s">
        <v>32</v>
      </c>
      <c r="C539" s="4">
        <v>0.12706999999999999</v>
      </c>
      <c r="D539" s="4">
        <v>0.40200000000000002</v>
      </c>
      <c r="E539" s="4">
        <v>3.7548999999999999E-2</v>
      </c>
      <c r="F539" s="4">
        <v>0.435</v>
      </c>
      <c r="G539">
        <v>4.6899999999999997E-3</v>
      </c>
      <c r="H539">
        <f>VLOOKUP(A539,DB!A:I,2,FALSE)</f>
        <v>3000000</v>
      </c>
      <c r="I539">
        <f>VLOOKUP(A539,'RE@CD'!A:D,2,FALSE)</f>
        <v>550000</v>
      </c>
      <c r="J539">
        <f>VLOOKUP(A539,'RE@CD'!A:D,3,FALSE)</f>
        <v>175000</v>
      </c>
      <c r="K539">
        <f>VLOOKUP(A539,'RE@CD'!A:D,4,FALSE)</f>
        <v>475000</v>
      </c>
      <c r="L539">
        <f>VLOOKUP(A539,DB!A:I,3,FALSE)</f>
        <v>0.47370000000000001</v>
      </c>
      <c r="M539">
        <f>VLOOKUP(A539,DB!A:I,4,FALSE)</f>
        <v>-0.1027</v>
      </c>
      <c r="N539">
        <f>VLOOKUP(A539,DB!A:I,5,FALSE)</f>
        <v>3.8E-3</v>
      </c>
      <c r="O539">
        <f>VLOOKUP(A539,DB!A:I,6,FALSE)</f>
        <v>3.13E-3</v>
      </c>
      <c r="P539">
        <f>VLOOKUP(A539,DB!A:I,7,FALSE)</f>
        <v>6.7000000000000002E-4</v>
      </c>
      <c r="Q539">
        <f>VLOOKUP(A539,DB!A:I,8,FALSE)</f>
        <v>0.68779999999999997</v>
      </c>
      <c r="R539">
        <f>VLOOKUP(A539,DB!A:I,9,FALSE)</f>
        <v>0.73770000000000002</v>
      </c>
      <c r="S539">
        <f>N539 *SQRT(H539)</f>
        <v>6.5817930687617334</v>
      </c>
      <c r="T539">
        <f>L539/N539</f>
        <v>124.65789473684211</v>
      </c>
    </row>
    <row r="540" spans="1:20" x14ac:dyDescent="0.25">
      <c r="A540" t="s">
        <v>643</v>
      </c>
      <c r="B540" t="s">
        <v>58</v>
      </c>
      <c r="C540" s="4">
        <v>0.13228100000000001</v>
      </c>
      <c r="D540" s="4">
        <v>0.41199999999999998</v>
      </c>
      <c r="E540" s="4">
        <v>3.5034999999999997E-2</v>
      </c>
      <c r="F540" s="4">
        <v>0.41199999999999998</v>
      </c>
      <c r="G540">
        <v>5.3899999999999998E-3</v>
      </c>
      <c r="H540">
        <f>VLOOKUP(A540,DB!A:I,2,FALSE)</f>
        <v>2200000</v>
      </c>
      <c r="I540">
        <f>VLOOKUP(A540,'RE@CD'!A:D,2,FALSE)</f>
        <v>675000</v>
      </c>
      <c r="J540">
        <f>VLOOKUP(A540,'RE@CD'!A:D,3,FALSE)</f>
        <v>250000</v>
      </c>
      <c r="K540">
        <f>VLOOKUP(A540,'RE@CD'!A:D,4,FALSE)</f>
        <v>575000</v>
      </c>
      <c r="L540">
        <f>VLOOKUP(A540,DB!A:I,3,FALSE)</f>
        <v>0.20330000000000001</v>
      </c>
      <c r="M540">
        <f>VLOOKUP(A540,DB!A:I,4,FALSE)</f>
        <v>-2.47E-2</v>
      </c>
      <c r="N540">
        <f>VLOOKUP(A540,DB!A:I,5,FALSE)</f>
        <v>3.8E-3</v>
      </c>
      <c r="O540">
        <f>VLOOKUP(A540,DB!A:I,6,FALSE)</f>
        <v>2.81E-3</v>
      </c>
      <c r="P540">
        <f>VLOOKUP(A540,DB!A:I,7,FALSE)</f>
        <v>9.8999999999999999E-4</v>
      </c>
      <c r="Q540">
        <f>VLOOKUP(A540,DB!A:I,8,FALSE)</f>
        <v>0.72589999999999999</v>
      </c>
      <c r="R540">
        <f>VLOOKUP(A540,DB!A:I,9,FALSE)</f>
        <v>0.83930000000000005</v>
      </c>
      <c r="S540">
        <f>N540 *SQRT(H540)</f>
        <v>5.6363108501927037</v>
      </c>
      <c r="T540">
        <f>L540/N540</f>
        <v>53.5</v>
      </c>
    </row>
    <row r="541" spans="1:20" x14ac:dyDescent="0.25">
      <c r="A541" t="s">
        <v>1119</v>
      </c>
      <c r="B541" t="s">
        <v>530</v>
      </c>
      <c r="C541" s="4">
        <v>6.9685999999999998E-2</v>
      </c>
      <c r="D541" s="4">
        <v>0.29399999999999998</v>
      </c>
      <c r="E541" s="4">
        <v>1.4349000000000001E-2</v>
      </c>
      <c r="F541" s="4">
        <v>0.41699999999999998</v>
      </c>
      <c r="G541">
        <v>2.7599999999999999E-3</v>
      </c>
      <c r="H541">
        <f>VLOOKUP(A541,DB!A:I,2,FALSE)</f>
        <v>1200000</v>
      </c>
      <c r="I541">
        <f>VLOOKUP(A541,'RE@CD'!A:D,2,FALSE)</f>
        <v>150000</v>
      </c>
      <c r="J541">
        <f>VLOOKUP(A541,'RE@CD'!A:D,3,FALSE)</f>
        <v>50000</v>
      </c>
      <c r="K541">
        <f>VLOOKUP(A541,'RE@CD'!A:D,4,FALSE)</f>
        <v>100000</v>
      </c>
      <c r="L541">
        <f>VLOOKUP(A541,DB!A:I,3,FALSE)</f>
        <v>0.15090000000000001</v>
      </c>
      <c r="M541">
        <f>VLOOKUP(A541,DB!A:I,4,FALSE)</f>
        <v>-3.1199999999999999E-2</v>
      </c>
      <c r="N541">
        <f>VLOOKUP(A541,DB!A:I,5,FALSE)</f>
        <v>3.8E-3</v>
      </c>
      <c r="O541">
        <f>VLOOKUP(A541,DB!A:I,6,FALSE)</f>
        <v>3.2000000000000002E-3</v>
      </c>
      <c r="P541">
        <f>VLOOKUP(A541,DB!A:I,7,FALSE)</f>
        <v>6.0999999999999997E-4</v>
      </c>
      <c r="Q541">
        <f>VLOOKUP(A541,DB!A:I,8,FALSE)</f>
        <v>0.7571</v>
      </c>
      <c r="R541">
        <f>VLOOKUP(A541,DB!A:I,9,FALSE)</f>
        <v>0.85580000000000001</v>
      </c>
      <c r="S541">
        <f>N541 *SQRT(H541)</f>
        <v>4.1626914370392631</v>
      </c>
      <c r="T541">
        <f>L541/N541</f>
        <v>39.710526315789473</v>
      </c>
    </row>
    <row r="542" spans="1:20" x14ac:dyDescent="0.25">
      <c r="A542" t="s">
        <v>830</v>
      </c>
      <c r="B542" t="s">
        <v>245</v>
      </c>
      <c r="C542" s="4">
        <v>0.12640000000000001</v>
      </c>
      <c r="D542" s="4">
        <v>0.42799999999999999</v>
      </c>
      <c r="E542" s="4">
        <v>0</v>
      </c>
      <c r="F542" s="4">
        <v>6.7000000000000004E-2</v>
      </c>
      <c r="G542">
        <v>4.0899999999999999E-3</v>
      </c>
      <c r="H542">
        <f>VLOOKUP(A542,DB!A:I,2,FALSE)</f>
        <v>3000000</v>
      </c>
      <c r="I542">
        <f>VLOOKUP(A542,'RE@CD'!A:D,2,FALSE)</f>
        <v>325000</v>
      </c>
      <c r="J542">
        <f>VLOOKUP(A542,'RE@CD'!A:D,3,FALSE)</f>
        <v>150000</v>
      </c>
      <c r="K542">
        <f>VLOOKUP(A542,'RE@CD'!A:D,4,FALSE)</f>
        <v>275000</v>
      </c>
      <c r="L542">
        <f>VLOOKUP(A542,DB!A:I,3,FALSE)</f>
        <v>0</v>
      </c>
      <c r="M542">
        <f>VLOOKUP(A542,DB!A:I,4,FALSE)</f>
        <v>0</v>
      </c>
      <c r="N542">
        <f>VLOOKUP(A542,DB!A:I,5,FALSE)</f>
        <v>3.7699999999999999E-3</v>
      </c>
      <c r="O542">
        <f>VLOOKUP(A542,DB!A:I,6,FALSE)</f>
        <v>3.29E-3</v>
      </c>
      <c r="P542">
        <f>VLOOKUP(A542,DB!A:I,7,FALSE)</f>
        <v>4.8000000000000001E-4</v>
      </c>
      <c r="Q542">
        <f>VLOOKUP(A542,DB!A:I,8,FALSE)</f>
        <v>0.68700000000000006</v>
      </c>
      <c r="R542">
        <f>VLOOKUP(A542,DB!A:I,9,FALSE)</f>
        <v>0.68689999999999996</v>
      </c>
      <c r="S542">
        <f>N542 *SQRT(H542)</f>
        <v>6.5298315445346669</v>
      </c>
      <c r="T542">
        <f>L542/N542</f>
        <v>0</v>
      </c>
    </row>
    <row r="543" spans="1:20" x14ac:dyDescent="0.25">
      <c r="A543" t="s">
        <v>1162</v>
      </c>
      <c r="B543" t="s">
        <v>572</v>
      </c>
      <c r="C543" s="4">
        <v>0.13939299999999999</v>
      </c>
      <c r="D543" s="4">
        <v>0.47199999999999998</v>
      </c>
      <c r="E543" s="4">
        <v>2.5491E-2</v>
      </c>
      <c r="F543" s="4">
        <v>0.78</v>
      </c>
      <c r="G543">
        <v>6.3699999999999998E-3</v>
      </c>
      <c r="H543">
        <f>VLOOKUP(A543,DB!A:I,2,FALSE)</f>
        <v>3000000</v>
      </c>
      <c r="I543">
        <f>VLOOKUP(A543,'RE@CD'!A:D,2,FALSE)</f>
        <v>925000</v>
      </c>
      <c r="J543">
        <f>VLOOKUP(A543,'RE@CD'!A:D,3,FALSE)</f>
        <v>400000</v>
      </c>
      <c r="K543">
        <f>VLOOKUP(A543,'RE@CD'!A:D,4,FALSE)</f>
        <v>825000</v>
      </c>
      <c r="L543">
        <f>VLOOKUP(A543,DB!A:I,3,FALSE)</f>
        <v>0.52149999999999996</v>
      </c>
      <c r="M543">
        <f>VLOOKUP(A543,DB!A:I,4,FALSE)</f>
        <v>-0.12189999999999999</v>
      </c>
      <c r="N543">
        <f>VLOOKUP(A543,DB!A:I,5,FALSE)</f>
        <v>3.7699999999999999E-3</v>
      </c>
      <c r="O543">
        <f>VLOOKUP(A543,DB!A:I,6,FALSE)</f>
        <v>2.5899999999999999E-3</v>
      </c>
      <c r="P543">
        <f>VLOOKUP(A543,DB!A:I,7,FALSE)</f>
        <v>1.1900000000000001E-3</v>
      </c>
      <c r="Q543">
        <f>VLOOKUP(A543,DB!A:I,8,FALSE)</f>
        <v>0.8306</v>
      </c>
      <c r="R543">
        <f>VLOOKUP(A543,DB!A:I,9,FALSE)</f>
        <v>0.75560000000000005</v>
      </c>
      <c r="S543">
        <f>N543 *SQRT(H543)</f>
        <v>6.5298315445346669</v>
      </c>
      <c r="T543">
        <f>L543/N543</f>
        <v>138.32891246684349</v>
      </c>
    </row>
    <row r="544" spans="1:20" x14ac:dyDescent="0.25">
      <c r="A544" t="s">
        <v>637</v>
      </c>
      <c r="B544" t="s">
        <v>52</v>
      </c>
      <c r="C544" s="4">
        <v>0.13000200000000001</v>
      </c>
      <c r="D544" s="4">
        <v>0.435</v>
      </c>
      <c r="E544" s="4">
        <v>3.9050000000000001E-2</v>
      </c>
      <c r="F544" s="4">
        <v>0.46700000000000003</v>
      </c>
      <c r="G544">
        <v>2.64E-3</v>
      </c>
      <c r="H544">
        <f>VLOOKUP(A544,DB!A:I,2,FALSE)</f>
        <v>3000000</v>
      </c>
      <c r="I544">
        <f>VLOOKUP(A544,'RE@CD'!A:D,2,FALSE)</f>
        <v>525000</v>
      </c>
      <c r="J544">
        <f>VLOOKUP(A544,'RE@CD'!A:D,3,FALSE)</f>
        <v>325000</v>
      </c>
      <c r="K544">
        <f>VLOOKUP(A544,'RE@CD'!A:D,4,FALSE)</f>
        <v>450000</v>
      </c>
      <c r="L544">
        <f>VLOOKUP(A544,DB!A:I,3,FALSE)</f>
        <v>0.57389999999999997</v>
      </c>
      <c r="M544">
        <f>VLOOKUP(A544,DB!A:I,4,FALSE)</f>
        <v>-0.1326</v>
      </c>
      <c r="N544">
        <f>VLOOKUP(A544,DB!A:I,5,FALSE)</f>
        <v>3.7599999999999999E-3</v>
      </c>
      <c r="O544">
        <f>VLOOKUP(A544,DB!A:I,6,FALSE)</f>
        <v>3.0400000000000002E-3</v>
      </c>
      <c r="P544">
        <f>VLOOKUP(A544,DB!A:I,7,FALSE)</f>
        <v>7.2000000000000005E-4</v>
      </c>
      <c r="Q544">
        <f>VLOOKUP(A544,DB!A:I,8,FALSE)</f>
        <v>0.73360000000000003</v>
      </c>
      <c r="R544">
        <f>VLOOKUP(A544,DB!A:I,9,FALSE)</f>
        <v>0.72019999999999995</v>
      </c>
      <c r="S544">
        <f>N544 *SQRT(H544)</f>
        <v>6.512511036458978</v>
      </c>
      <c r="T544">
        <f>L544/N544</f>
        <v>152.63297872340425</v>
      </c>
    </row>
    <row r="545" spans="1:20" x14ac:dyDescent="0.25">
      <c r="A545" t="s">
        <v>829</v>
      </c>
      <c r="B545" t="s">
        <v>244</v>
      </c>
      <c r="C545" s="4">
        <v>9.3706999999999999E-2</v>
      </c>
      <c r="D545" s="4">
        <v>0.33100000000000002</v>
      </c>
      <c r="E545" s="4">
        <v>2.7989E-2</v>
      </c>
      <c r="F545" s="4">
        <v>0.69399999999999995</v>
      </c>
      <c r="G545">
        <v>1.08E-3</v>
      </c>
      <c r="H545">
        <f>VLOOKUP(A545,DB!A:I,2,FALSE)</f>
        <v>3000000</v>
      </c>
      <c r="I545">
        <f>VLOOKUP(A545,'RE@CD'!A:D,2,FALSE)</f>
        <v>425000</v>
      </c>
      <c r="J545">
        <f>VLOOKUP(A545,'RE@CD'!A:D,3,FALSE)</f>
        <v>90000</v>
      </c>
      <c r="K545">
        <f>VLOOKUP(A545,'RE@CD'!A:D,4,FALSE)</f>
        <v>375000</v>
      </c>
      <c r="L545">
        <f>VLOOKUP(A545,DB!A:I,3,FALSE)</f>
        <v>0.47449999999999998</v>
      </c>
      <c r="M545">
        <f>VLOOKUP(A545,DB!A:I,4,FALSE)</f>
        <v>-0.1343</v>
      </c>
      <c r="N545">
        <f>VLOOKUP(A545,DB!A:I,5,FALSE)</f>
        <v>3.7499999999999999E-3</v>
      </c>
      <c r="O545">
        <f>VLOOKUP(A545,DB!A:I,6,FALSE)</f>
        <v>3.3300000000000001E-3</v>
      </c>
      <c r="P545">
        <f>VLOOKUP(A545,DB!A:I,7,FALSE)</f>
        <v>4.2000000000000002E-4</v>
      </c>
      <c r="Q545">
        <f>VLOOKUP(A545,DB!A:I,8,FALSE)</f>
        <v>0.82079999999999997</v>
      </c>
      <c r="R545">
        <f>VLOOKUP(A545,DB!A:I,9,FALSE)</f>
        <v>0.46860000000000002</v>
      </c>
      <c r="S545">
        <f>N545 *SQRT(H545)</f>
        <v>6.4951905283832891</v>
      </c>
      <c r="T545">
        <f>L545/N545</f>
        <v>126.53333333333333</v>
      </c>
    </row>
    <row r="546" spans="1:20" x14ac:dyDescent="0.25">
      <c r="A546" t="s">
        <v>963</v>
      </c>
      <c r="B546" t="s">
        <v>374</v>
      </c>
      <c r="C546" s="4">
        <v>8.1119999999999998E-2</v>
      </c>
      <c r="D546" s="4">
        <v>0.33900000000000002</v>
      </c>
      <c r="E546" s="4">
        <v>0</v>
      </c>
      <c r="F546" s="4">
        <v>0.77800000000000002</v>
      </c>
      <c r="G546">
        <v>2.3600000000000001E-3</v>
      </c>
      <c r="H546">
        <f>VLOOKUP(A546,DB!A:I,2,FALSE)</f>
        <v>3000000</v>
      </c>
      <c r="I546">
        <f>VLOOKUP(A546,'RE@CD'!A:D,2,FALSE)</f>
        <v>175000</v>
      </c>
      <c r="J546">
        <f>VLOOKUP(A546,'RE@CD'!A:D,3,FALSE)</f>
        <v>50000</v>
      </c>
      <c r="K546">
        <f>VLOOKUP(A546,'RE@CD'!A:D,4,FALSE)</f>
        <v>125000</v>
      </c>
      <c r="L546">
        <f>VLOOKUP(A546,DB!A:I,3,FALSE)</f>
        <v>0</v>
      </c>
      <c r="M546">
        <f>VLOOKUP(A546,DB!A:I,4,FALSE)</f>
        <v>0</v>
      </c>
      <c r="N546">
        <f>VLOOKUP(A546,DB!A:I,5,FALSE)</f>
        <v>3.7499999999999999E-3</v>
      </c>
      <c r="O546">
        <f>VLOOKUP(A546,DB!A:I,6,FALSE)</f>
        <v>3.4299999999999999E-3</v>
      </c>
      <c r="P546">
        <f>VLOOKUP(A546,DB!A:I,7,FALSE)</f>
        <v>3.1E-4</v>
      </c>
      <c r="Q546">
        <f>VLOOKUP(A546,DB!A:I,8,FALSE)</f>
        <v>0.65400000000000003</v>
      </c>
      <c r="R546">
        <f>VLOOKUP(A546,DB!A:I,9,FALSE)</f>
        <v>0.65400000000000003</v>
      </c>
      <c r="S546">
        <f>N546 *SQRT(H546)</f>
        <v>6.4951905283832891</v>
      </c>
      <c r="T546">
        <f>L546/N546</f>
        <v>0</v>
      </c>
    </row>
    <row r="547" spans="1:20" x14ac:dyDescent="0.25">
      <c r="A547" t="s">
        <v>1021</v>
      </c>
      <c r="B547" t="s">
        <v>432</v>
      </c>
      <c r="C547" s="4">
        <v>8.7558999999999998E-2</v>
      </c>
      <c r="D547" s="4">
        <v>0.379</v>
      </c>
      <c r="E547" s="4">
        <v>3.0273999999999999E-2</v>
      </c>
      <c r="F547" s="4">
        <v>0.622</v>
      </c>
      <c r="G547">
        <v>1.1900000000000001E-3</v>
      </c>
      <c r="H547">
        <f>VLOOKUP(A547,DB!A:I,2,FALSE)</f>
        <v>2900000</v>
      </c>
      <c r="I547">
        <f>VLOOKUP(A547,'RE@CD'!A:D,2,FALSE)</f>
        <v>350000</v>
      </c>
      <c r="J547">
        <f>VLOOKUP(A547,'RE@CD'!A:D,3,FALSE)</f>
        <v>70000</v>
      </c>
      <c r="K547">
        <f>VLOOKUP(A547,'RE@CD'!A:D,4,FALSE)</f>
        <v>300000</v>
      </c>
      <c r="L547">
        <f>VLOOKUP(A547,DB!A:I,3,FALSE)</f>
        <v>0.4879</v>
      </c>
      <c r="M547">
        <f>VLOOKUP(A547,DB!A:I,4,FALSE)</f>
        <v>-0.12759999999999999</v>
      </c>
      <c r="N547">
        <f>VLOOKUP(A547,DB!A:I,5,FALSE)</f>
        <v>3.7499999999999999E-3</v>
      </c>
      <c r="O547">
        <f>VLOOKUP(A547,DB!A:I,6,FALSE)</f>
        <v>3.3300000000000001E-3</v>
      </c>
      <c r="P547">
        <f>VLOOKUP(A547,DB!A:I,7,FALSE)</f>
        <v>4.2000000000000002E-4</v>
      </c>
      <c r="Q547">
        <f>VLOOKUP(A547,DB!A:I,8,FALSE)</f>
        <v>0.78949999999999998</v>
      </c>
      <c r="R547">
        <f>VLOOKUP(A547,DB!A:I,9,FALSE)</f>
        <v>0.54239999999999999</v>
      </c>
      <c r="S547">
        <f>N547 *SQRT(H547)</f>
        <v>6.3860198872223997</v>
      </c>
      <c r="T547">
        <f>L547/N547</f>
        <v>130.10666666666668</v>
      </c>
    </row>
    <row r="548" spans="1:20" x14ac:dyDescent="0.25">
      <c r="A548" t="s">
        <v>918</v>
      </c>
      <c r="B548" t="s">
        <v>332</v>
      </c>
      <c r="C548" s="4">
        <v>0.12912999999999999</v>
      </c>
      <c r="D548" s="4">
        <v>0.435</v>
      </c>
      <c r="E548" s="4">
        <v>3.8732999999999997E-2</v>
      </c>
      <c r="F548" s="4">
        <v>0.435</v>
      </c>
      <c r="G548">
        <v>4.4099999999999999E-3</v>
      </c>
      <c r="H548">
        <f>VLOOKUP(A548,DB!A:I,2,FALSE)</f>
        <v>3000000</v>
      </c>
      <c r="I548">
        <f>VLOOKUP(A548,'RE@CD'!A:D,2,FALSE)</f>
        <v>475000</v>
      </c>
      <c r="J548">
        <f>VLOOKUP(A548,'RE@CD'!A:D,3,FALSE)</f>
        <v>175000</v>
      </c>
      <c r="K548">
        <f>VLOOKUP(A548,'RE@CD'!A:D,4,FALSE)</f>
        <v>400000</v>
      </c>
      <c r="L548">
        <f>VLOOKUP(A548,DB!A:I,3,FALSE)</f>
        <v>0.49469999999999997</v>
      </c>
      <c r="M548">
        <f>VLOOKUP(A548,DB!A:I,4,FALSE)</f>
        <v>-0.1079</v>
      </c>
      <c r="N548">
        <f>VLOOKUP(A548,DB!A:I,5,FALSE)</f>
        <v>3.7200000000000002E-3</v>
      </c>
      <c r="O548">
        <f>VLOOKUP(A548,DB!A:I,6,FALSE)</f>
        <v>3.0000000000000001E-3</v>
      </c>
      <c r="P548">
        <f>VLOOKUP(A548,DB!A:I,7,FALSE)</f>
        <v>7.2000000000000005E-4</v>
      </c>
      <c r="Q548">
        <f>VLOOKUP(A548,DB!A:I,8,FALSE)</f>
        <v>0.69199999999999995</v>
      </c>
      <c r="R548">
        <f>VLOOKUP(A548,DB!A:I,9,FALSE)</f>
        <v>0.78320000000000001</v>
      </c>
      <c r="S548">
        <f>N548 *SQRT(H548)</f>
        <v>6.4432290041562235</v>
      </c>
      <c r="T548">
        <f>L548/N548</f>
        <v>132.98387096774192</v>
      </c>
    </row>
    <row r="549" spans="1:20" x14ac:dyDescent="0.25">
      <c r="A549" t="s">
        <v>1082</v>
      </c>
      <c r="B549" t="s">
        <v>493</v>
      </c>
      <c r="C549" s="4">
        <v>0.17484</v>
      </c>
      <c r="D549" s="4">
        <v>0.41799999999999998</v>
      </c>
      <c r="E549" s="4">
        <v>0</v>
      </c>
      <c r="F549" s="4">
        <v>0.83499999999999996</v>
      </c>
      <c r="G549">
        <v>1.847E-2</v>
      </c>
      <c r="H549">
        <f>VLOOKUP(A549,DB!A:I,2,FALSE)</f>
        <v>3000000</v>
      </c>
      <c r="I549">
        <f>VLOOKUP(A549,'RE@CD'!A:D,2,FALSE)</f>
        <v>700000</v>
      </c>
      <c r="J549">
        <f>VLOOKUP(A549,'RE@CD'!A:D,3,FALSE)</f>
        <v>350000</v>
      </c>
      <c r="K549">
        <f>VLOOKUP(A549,'RE@CD'!A:D,4,FALSE)</f>
        <v>600000</v>
      </c>
      <c r="L549">
        <f>VLOOKUP(A549,DB!A:I,3,FALSE)</f>
        <v>0</v>
      </c>
      <c r="M549">
        <f>VLOOKUP(A549,DB!A:I,4,FALSE)</f>
        <v>0</v>
      </c>
      <c r="N549">
        <f>VLOOKUP(A549,DB!A:I,5,FALSE)</f>
        <v>3.6900000000000001E-3</v>
      </c>
      <c r="O549">
        <f>VLOOKUP(A549,DB!A:I,6,FALSE)</f>
        <v>2.7799999999999999E-3</v>
      </c>
      <c r="P549">
        <f>VLOOKUP(A549,DB!A:I,7,FALSE)</f>
        <v>8.9999999999999998E-4</v>
      </c>
      <c r="Q549">
        <f>VLOOKUP(A549,DB!A:I,8,FALSE)</f>
        <v>0.73980000000000001</v>
      </c>
      <c r="R549">
        <f>VLOOKUP(A549,DB!A:I,9,FALSE)</f>
        <v>0.73970000000000002</v>
      </c>
      <c r="S549">
        <f>N549 *SQRT(H549)</f>
        <v>6.3912674799291569</v>
      </c>
      <c r="T549">
        <f>L549/N549</f>
        <v>0</v>
      </c>
    </row>
    <row r="550" spans="1:20" x14ac:dyDescent="0.25">
      <c r="A550" t="s">
        <v>833</v>
      </c>
      <c r="B550" t="s">
        <v>248</v>
      </c>
      <c r="C550" s="4">
        <v>9.0284000000000003E-2</v>
      </c>
      <c r="D550" s="4">
        <v>0.37</v>
      </c>
      <c r="E550" s="4">
        <v>2.3404999999999999E-2</v>
      </c>
      <c r="F550" s="4">
        <v>0.65300000000000002</v>
      </c>
      <c r="G550">
        <v>1.2800000000000001E-3</v>
      </c>
      <c r="H550">
        <f>VLOOKUP(A550,DB!A:I,2,FALSE)</f>
        <v>3000000</v>
      </c>
      <c r="I550">
        <f>VLOOKUP(A550,'RE@CD'!A:D,2,FALSE)</f>
        <v>325000</v>
      </c>
      <c r="J550">
        <f>VLOOKUP(A550,'RE@CD'!A:D,3,FALSE)</f>
        <v>50000</v>
      </c>
      <c r="K550">
        <f>VLOOKUP(A550,'RE@CD'!A:D,4,FALSE)</f>
        <v>300000</v>
      </c>
      <c r="L550">
        <f>VLOOKUP(A550,DB!A:I,3,FALSE)</f>
        <v>0.38490000000000002</v>
      </c>
      <c r="M550">
        <f>VLOOKUP(A550,DB!A:I,4,FALSE)</f>
        <v>-0.1037</v>
      </c>
      <c r="N550">
        <f>VLOOKUP(A550,DB!A:I,5,FALSE)</f>
        <v>3.6800000000000001E-3</v>
      </c>
      <c r="O550">
        <f>VLOOKUP(A550,DB!A:I,6,FALSE)</f>
        <v>3.31E-3</v>
      </c>
      <c r="P550">
        <f>VLOOKUP(A550,DB!A:I,7,FALSE)</f>
        <v>3.6999999999999999E-4</v>
      </c>
      <c r="Q550">
        <f>VLOOKUP(A550,DB!A:I,8,FALSE)</f>
        <v>0.79120000000000001</v>
      </c>
      <c r="R550">
        <f>VLOOKUP(A550,DB!A:I,9,FALSE)</f>
        <v>0.54630000000000001</v>
      </c>
      <c r="S550">
        <f>N550 *SQRT(H550)</f>
        <v>6.373946971853468</v>
      </c>
      <c r="T550">
        <f>L550/N550</f>
        <v>104.59239130434783</v>
      </c>
    </row>
    <row r="551" spans="1:20" x14ac:dyDescent="0.25">
      <c r="A551" t="s">
        <v>740</v>
      </c>
      <c r="B551" t="s">
        <v>155</v>
      </c>
      <c r="C551" s="4">
        <v>0.14205200000000001</v>
      </c>
      <c r="D551" s="4">
        <v>0.38300000000000001</v>
      </c>
      <c r="E551" s="4">
        <v>3.1758000000000002E-2</v>
      </c>
      <c r="F551" s="4">
        <v>0.76300000000000001</v>
      </c>
      <c r="G551">
        <v>5.9699999999999996E-3</v>
      </c>
      <c r="H551">
        <f>VLOOKUP(A551,DB!A:I,2,FALSE)</f>
        <v>3000000</v>
      </c>
      <c r="I551">
        <f>VLOOKUP(A551,'RE@CD'!A:D,2,FALSE)</f>
        <v>575000</v>
      </c>
      <c r="J551">
        <f>VLOOKUP(A551,'RE@CD'!A:D,3,FALSE)</f>
        <v>300000</v>
      </c>
      <c r="K551">
        <f>VLOOKUP(A551,'RE@CD'!A:D,4,FALSE)</f>
        <v>550000</v>
      </c>
      <c r="L551">
        <f>VLOOKUP(A551,DB!A:I,3,FALSE)</f>
        <v>0.59899999999999998</v>
      </c>
      <c r="M551">
        <f>VLOOKUP(A551,DB!A:I,4,FALSE)</f>
        <v>-0.1633</v>
      </c>
      <c r="N551">
        <f>VLOOKUP(A551,DB!A:I,5,FALSE)</f>
        <v>3.6700000000000001E-3</v>
      </c>
      <c r="O551">
        <f>VLOOKUP(A551,DB!A:I,6,FALSE)</f>
        <v>2.9499999999999999E-3</v>
      </c>
      <c r="P551">
        <f>VLOOKUP(A551,DB!A:I,7,FALSE)</f>
        <v>7.2000000000000005E-4</v>
      </c>
      <c r="Q551">
        <f>VLOOKUP(A551,DB!A:I,8,FALSE)</f>
        <v>0.82979999999999998</v>
      </c>
      <c r="R551">
        <f>VLOOKUP(A551,DB!A:I,9,FALSE)</f>
        <v>0.58150000000000002</v>
      </c>
      <c r="S551">
        <f>N551 *SQRT(H551)</f>
        <v>6.3566264637777792</v>
      </c>
      <c r="T551">
        <f>L551/N551</f>
        <v>163.21525885558583</v>
      </c>
    </row>
    <row r="552" spans="1:20" x14ac:dyDescent="0.25">
      <c r="A552" t="s">
        <v>802</v>
      </c>
      <c r="B552" t="s">
        <v>217</v>
      </c>
      <c r="C552" s="4">
        <v>4.2671000000000001E-2</v>
      </c>
      <c r="D552" s="4">
        <v>0.22800000000000001</v>
      </c>
      <c r="E552" s="4">
        <v>5.3956999999999998E-2</v>
      </c>
      <c r="F552" s="4">
        <v>0.52100000000000002</v>
      </c>
      <c r="G552">
        <v>1.9400000000000001E-3</v>
      </c>
      <c r="H552">
        <f>VLOOKUP(A552,DB!A:I,2,FALSE)</f>
        <v>1900000</v>
      </c>
      <c r="I552">
        <f>VLOOKUP(A552,'RE@CD'!A:D,2,FALSE)</f>
        <v>3000000</v>
      </c>
      <c r="J552">
        <f>VLOOKUP(A552,'RE@CD'!A:D,3,FALSE)</f>
        <v>150000</v>
      </c>
      <c r="K552">
        <f>VLOOKUP(A552,'RE@CD'!A:D,4,FALSE)</f>
        <v>3000000</v>
      </c>
      <c r="L552">
        <f>VLOOKUP(A552,DB!A:I,3,FALSE)</f>
        <v>0.85250000000000004</v>
      </c>
      <c r="M552">
        <f>VLOOKUP(A552,DB!A:I,4,FALSE)</f>
        <v>-0.2099</v>
      </c>
      <c r="N552">
        <f>VLOOKUP(A552,DB!A:I,5,FALSE)</f>
        <v>3.6700000000000001E-3</v>
      </c>
      <c r="O552">
        <f>VLOOKUP(A552,DB!A:I,6,FALSE)</f>
        <v>3.0599999999999998E-3</v>
      </c>
      <c r="P552">
        <f>VLOOKUP(A552,DB!A:I,7,FALSE)</f>
        <v>6.0999999999999997E-4</v>
      </c>
      <c r="Q552">
        <f>VLOOKUP(A552,DB!A:I,8,FALSE)</f>
        <v>0.89539999999999997</v>
      </c>
      <c r="R552">
        <f>VLOOKUP(A552,DB!A:I,9,FALSE)</f>
        <v>0.498</v>
      </c>
      <c r="S552">
        <f>N552 *SQRT(H552)</f>
        <v>5.0587458920171109</v>
      </c>
      <c r="T552">
        <f>L552/N552</f>
        <v>232.28882833787466</v>
      </c>
    </row>
    <row r="553" spans="1:20" x14ac:dyDescent="0.25">
      <c r="A553" t="s">
        <v>638</v>
      </c>
      <c r="B553" t="s">
        <v>53</v>
      </c>
      <c r="C553" s="4">
        <v>0.135463</v>
      </c>
      <c r="D553" s="4">
        <v>0.44900000000000001</v>
      </c>
      <c r="E553" s="4">
        <v>3.0370000000000001E-2</v>
      </c>
      <c r="F553" s="4">
        <v>0.38900000000000001</v>
      </c>
      <c r="G553">
        <v>2.9E-4</v>
      </c>
      <c r="H553">
        <f>VLOOKUP(A553,DB!A:I,2,FALSE)</f>
        <v>2400000</v>
      </c>
      <c r="I553">
        <f>VLOOKUP(A553,'RE@CD'!A:D,2,FALSE)</f>
        <v>725000</v>
      </c>
      <c r="J553">
        <f>VLOOKUP(A553,'RE@CD'!A:D,3,FALSE)</f>
        <v>325000</v>
      </c>
      <c r="K553">
        <f>VLOOKUP(A553,'RE@CD'!A:D,4,FALSE)</f>
        <v>650000</v>
      </c>
      <c r="L553">
        <f>VLOOKUP(A553,DB!A:I,3,FALSE)</f>
        <v>0.1938</v>
      </c>
      <c r="M553">
        <f>VLOOKUP(A553,DB!A:I,4,FALSE)</f>
        <v>-2.3400000000000001E-2</v>
      </c>
      <c r="N553">
        <f>VLOOKUP(A553,DB!A:I,5,FALSE)</f>
        <v>3.6600000000000001E-3</v>
      </c>
      <c r="O553">
        <f>VLOOKUP(A553,DB!A:I,6,FALSE)</f>
        <v>2.7599999999999999E-3</v>
      </c>
      <c r="P553">
        <f>VLOOKUP(A553,DB!A:I,7,FALSE)</f>
        <v>8.9999999999999998E-4</v>
      </c>
      <c r="Q553">
        <f>VLOOKUP(A553,DB!A:I,8,FALSE)</f>
        <v>0.71050000000000002</v>
      </c>
      <c r="R553">
        <f>VLOOKUP(A553,DB!A:I,9,FALSE)</f>
        <v>0.8538</v>
      </c>
      <c r="S553">
        <f>N553 *SQRT(H553)</f>
        <v>5.6700476188476587</v>
      </c>
      <c r="T553">
        <f>L553/N553</f>
        <v>52.950819672131146</v>
      </c>
    </row>
    <row r="554" spans="1:20" x14ac:dyDescent="0.25">
      <c r="A554" t="s">
        <v>915</v>
      </c>
      <c r="B554" t="s">
        <v>329</v>
      </c>
      <c r="C554" s="4">
        <v>8.1509999999999999E-2</v>
      </c>
      <c r="D554" s="4">
        <v>0.435</v>
      </c>
      <c r="E554" s="4">
        <v>4.3088000000000001E-2</v>
      </c>
      <c r="F554" s="4">
        <v>0.46700000000000003</v>
      </c>
      <c r="G554">
        <v>2.2399999999999998E-3</v>
      </c>
      <c r="H554">
        <f>VLOOKUP(A554,DB!A:I,2,FALSE)</f>
        <v>2600000</v>
      </c>
      <c r="I554">
        <f>VLOOKUP(A554,'RE@CD'!A:D,2,FALSE)</f>
        <v>300000</v>
      </c>
      <c r="J554">
        <f>VLOOKUP(A554,'RE@CD'!A:D,3,FALSE)</f>
        <v>150000</v>
      </c>
      <c r="K554">
        <f>VLOOKUP(A554,'RE@CD'!A:D,4,FALSE)</f>
        <v>250000</v>
      </c>
      <c r="L554">
        <f>VLOOKUP(A554,DB!A:I,3,FALSE)</f>
        <v>0.5444</v>
      </c>
      <c r="M554">
        <f>VLOOKUP(A554,DB!A:I,4,FALSE)</f>
        <v>-0.12889999999999999</v>
      </c>
      <c r="N554">
        <f>VLOOKUP(A554,DB!A:I,5,FALSE)</f>
        <v>3.6600000000000001E-3</v>
      </c>
      <c r="O554">
        <f>VLOOKUP(A554,DB!A:I,6,FALSE)</f>
        <v>3.0400000000000002E-3</v>
      </c>
      <c r="P554">
        <f>VLOOKUP(A554,DB!A:I,7,FALSE)</f>
        <v>6.2E-4</v>
      </c>
      <c r="Q554">
        <f>VLOOKUP(A554,DB!A:I,8,FALSE)</f>
        <v>0.747</v>
      </c>
      <c r="R554">
        <f>VLOOKUP(A554,DB!A:I,9,FALSE)</f>
        <v>0.76500000000000001</v>
      </c>
      <c r="S554">
        <f>N554 *SQRT(H554)</f>
        <v>5.901572671754538</v>
      </c>
      <c r="T554">
        <f>L554/N554</f>
        <v>148.7431693989071</v>
      </c>
    </row>
    <row r="555" spans="1:20" x14ac:dyDescent="0.25">
      <c r="A555" t="s">
        <v>941</v>
      </c>
      <c r="B555" t="s">
        <v>352</v>
      </c>
      <c r="C555" s="4">
        <v>0.143901</v>
      </c>
      <c r="D555" s="4">
        <v>0.435</v>
      </c>
      <c r="E555" s="4">
        <v>2.7651999999999999E-2</v>
      </c>
      <c r="F555" s="4">
        <v>0.40300000000000002</v>
      </c>
      <c r="G555">
        <v>7.1300000000000001E-3</v>
      </c>
      <c r="H555">
        <f>VLOOKUP(A555,DB!A:I,2,FALSE)</f>
        <v>3000000</v>
      </c>
      <c r="I555">
        <f>VLOOKUP(A555,'RE@CD'!A:D,2,FALSE)</f>
        <v>650000</v>
      </c>
      <c r="J555">
        <f>VLOOKUP(A555,'RE@CD'!A:D,3,FALSE)</f>
        <v>250000</v>
      </c>
      <c r="K555">
        <f>VLOOKUP(A555,'RE@CD'!A:D,4,FALSE)</f>
        <v>575000</v>
      </c>
      <c r="L555">
        <f>VLOOKUP(A555,DB!A:I,3,FALSE)</f>
        <v>0.3392</v>
      </c>
      <c r="M555">
        <f>VLOOKUP(A555,DB!A:I,4,FALSE)</f>
        <v>-7.2999999999999995E-2</v>
      </c>
      <c r="N555">
        <f>VLOOKUP(A555,DB!A:I,5,FALSE)</f>
        <v>3.65E-3</v>
      </c>
      <c r="O555">
        <f>VLOOKUP(A555,DB!A:I,6,FALSE)</f>
        <v>2.8600000000000001E-3</v>
      </c>
      <c r="P555">
        <f>VLOOKUP(A555,DB!A:I,7,FALSE)</f>
        <v>7.7999999999999999E-4</v>
      </c>
      <c r="Q555">
        <f>VLOOKUP(A555,DB!A:I,8,FALSE)</f>
        <v>0.71050000000000002</v>
      </c>
      <c r="R555">
        <f>VLOOKUP(A555,DB!A:I,9,FALSE)</f>
        <v>0.78620000000000001</v>
      </c>
      <c r="S555">
        <f>N555 *SQRT(H555)</f>
        <v>6.3219854476264015</v>
      </c>
      <c r="T555">
        <f>L555/N555</f>
        <v>92.93150684931507</v>
      </c>
    </row>
    <row r="556" spans="1:20" x14ac:dyDescent="0.25">
      <c r="A556" t="s">
        <v>1138</v>
      </c>
      <c r="B556" t="s">
        <v>549</v>
      </c>
      <c r="C556" s="4">
        <v>8.5624000000000006E-2</v>
      </c>
      <c r="D556" s="4">
        <v>0.35199999999999998</v>
      </c>
      <c r="E556" s="4">
        <v>2.2297999999999998E-2</v>
      </c>
      <c r="F556" s="4">
        <v>0.45700000000000002</v>
      </c>
      <c r="G556">
        <v>5.13E-3</v>
      </c>
      <c r="H556">
        <f>VLOOKUP(A556,DB!A:I,2,FALSE)</f>
        <v>2100000</v>
      </c>
      <c r="I556">
        <f>VLOOKUP(A556,'RE@CD'!A:D,2,FALSE)</f>
        <v>275000</v>
      </c>
      <c r="J556">
        <f>VLOOKUP(A556,'RE@CD'!A:D,3,FALSE)</f>
        <v>50000</v>
      </c>
      <c r="K556">
        <f>VLOOKUP(A556,'RE@CD'!A:D,4,FALSE)</f>
        <v>200000</v>
      </c>
      <c r="L556">
        <f>VLOOKUP(A556,DB!A:I,3,FALSE)</f>
        <v>0.309</v>
      </c>
      <c r="M556">
        <f>VLOOKUP(A556,DB!A:I,4,FALSE)</f>
        <v>-6.93E-2</v>
      </c>
      <c r="N556">
        <f>VLOOKUP(A556,DB!A:I,5,FALSE)</f>
        <v>3.6099999999999999E-3</v>
      </c>
      <c r="O556">
        <f>VLOOKUP(A556,DB!A:I,6,FALSE)</f>
        <v>3.0599999999999998E-3</v>
      </c>
      <c r="P556">
        <f>VLOOKUP(A556,DB!A:I,7,FALSE)</f>
        <v>5.5000000000000003E-4</v>
      </c>
      <c r="Q556">
        <f>VLOOKUP(A556,DB!A:I,8,FALSE)</f>
        <v>0.74950000000000006</v>
      </c>
      <c r="R556">
        <f>VLOOKUP(A556,DB!A:I,9,FALSE)</f>
        <v>0.76480000000000004</v>
      </c>
      <c r="S556">
        <f>N556 *SQRT(H556)</f>
        <v>5.2313870053743878</v>
      </c>
      <c r="T556">
        <f>L556/N556</f>
        <v>85.59556786703601</v>
      </c>
    </row>
    <row r="557" spans="1:20" x14ac:dyDescent="0.25">
      <c r="A557" t="s">
        <v>962</v>
      </c>
      <c r="B557" t="s">
        <v>373</v>
      </c>
      <c r="C557" s="4">
        <v>6.9980000000000001E-2</v>
      </c>
      <c r="D557" s="4">
        <v>0.33900000000000002</v>
      </c>
      <c r="E557" s="4">
        <v>0</v>
      </c>
      <c r="F557" s="4">
        <v>2.7E-2</v>
      </c>
      <c r="G557">
        <v>1.72E-3</v>
      </c>
      <c r="H557">
        <f>VLOOKUP(A557,DB!A:I,2,FALSE)</f>
        <v>3000000</v>
      </c>
      <c r="I557">
        <f>VLOOKUP(A557,'RE@CD'!A:D,2,FALSE)</f>
        <v>125000</v>
      </c>
      <c r="J557">
        <f>VLOOKUP(A557,'RE@CD'!A:D,3,FALSE)</f>
        <v>50000</v>
      </c>
      <c r="K557">
        <f>VLOOKUP(A557,'RE@CD'!A:D,4,FALSE)</f>
        <v>100000</v>
      </c>
      <c r="L557">
        <f>VLOOKUP(A557,DB!A:I,3,FALSE)</f>
        <v>0</v>
      </c>
      <c r="M557">
        <f>VLOOKUP(A557,DB!A:I,4,FALSE)</f>
        <v>0</v>
      </c>
      <c r="N557">
        <f>VLOOKUP(A557,DB!A:I,5,FALSE)</f>
        <v>3.5799999999999998E-3</v>
      </c>
      <c r="O557">
        <f>VLOOKUP(A557,DB!A:I,6,FALSE)</f>
        <v>3.32E-3</v>
      </c>
      <c r="P557">
        <f>VLOOKUP(A557,DB!A:I,7,FALSE)</f>
        <v>2.5999999999999998E-4</v>
      </c>
      <c r="Q557">
        <f>VLOOKUP(A557,DB!A:I,8,FALSE)</f>
        <v>0.67549999999999999</v>
      </c>
      <c r="R557">
        <f>VLOOKUP(A557,DB!A:I,9,FALSE)</f>
        <v>0.67549999999999999</v>
      </c>
      <c r="S557">
        <f>N557 *SQRT(H557)</f>
        <v>6.2007418910965804</v>
      </c>
      <c r="T557">
        <f>L557/N557</f>
        <v>0</v>
      </c>
    </row>
    <row r="558" spans="1:20" x14ac:dyDescent="0.25">
      <c r="A558" t="s">
        <v>1074</v>
      </c>
      <c r="B558" t="s">
        <v>485</v>
      </c>
      <c r="C558" s="4">
        <v>6.9976999999999998E-2</v>
      </c>
      <c r="D558" s="4">
        <v>0.29799999999999999</v>
      </c>
      <c r="E558" s="4">
        <v>1.3632E-2</v>
      </c>
      <c r="F558" s="4">
        <v>0.34399999999999997</v>
      </c>
      <c r="G558">
        <v>2.4599999999999999E-3</v>
      </c>
      <c r="H558">
        <f>VLOOKUP(A558,DB!A:I,2,FALSE)</f>
        <v>2100000</v>
      </c>
      <c r="I558">
        <f>VLOOKUP(A558,'RE@CD'!A:D,2,FALSE)</f>
        <v>150000</v>
      </c>
      <c r="J558">
        <f>VLOOKUP(A558,'RE@CD'!A:D,3,FALSE)</f>
        <v>50000</v>
      </c>
      <c r="K558">
        <f>VLOOKUP(A558,'RE@CD'!A:D,4,FALSE)</f>
        <v>125000</v>
      </c>
      <c r="L558">
        <f>VLOOKUP(A558,DB!A:I,3,FALSE)</f>
        <v>0.17749999999999999</v>
      </c>
      <c r="M558">
        <f>VLOOKUP(A558,DB!A:I,4,FALSE)</f>
        <v>-3.6299999999999999E-2</v>
      </c>
      <c r="N558">
        <f>VLOOKUP(A558,DB!A:I,5,FALSE)</f>
        <v>3.5799999999999998E-3</v>
      </c>
      <c r="O558">
        <f>VLOOKUP(A558,DB!A:I,6,FALSE)</f>
        <v>3.15E-3</v>
      </c>
      <c r="P558">
        <f>VLOOKUP(A558,DB!A:I,7,FALSE)</f>
        <v>4.2999999999999999E-4</v>
      </c>
      <c r="Q558">
        <f>VLOOKUP(A558,DB!A:I,8,FALSE)</f>
        <v>0.68289999999999995</v>
      </c>
      <c r="R558">
        <f>VLOOKUP(A558,DB!A:I,9,FALSE)</f>
        <v>0.81779999999999997</v>
      </c>
      <c r="S558">
        <f>N558 *SQRT(H558)</f>
        <v>5.1879128751358188</v>
      </c>
      <c r="T558">
        <f>L558/N558</f>
        <v>49.581005586592177</v>
      </c>
    </row>
    <row r="559" spans="1:20" x14ac:dyDescent="0.25">
      <c r="A559" t="s">
        <v>1093</v>
      </c>
      <c r="B559" t="s">
        <v>504</v>
      </c>
      <c r="C559" s="4">
        <v>7.9899999999999999E-2</v>
      </c>
      <c r="D559" s="4">
        <v>0.34799999999999998</v>
      </c>
      <c r="E559" s="4">
        <v>1.6721E-2</v>
      </c>
      <c r="F559" s="4">
        <v>0.41299999999999998</v>
      </c>
      <c r="G559">
        <v>3.6600000000000001E-3</v>
      </c>
      <c r="H559">
        <f>VLOOKUP(A559,DB!A:I,2,FALSE)</f>
        <v>2300000</v>
      </c>
      <c r="I559">
        <f>VLOOKUP(A559,'RE@CD'!A:D,2,FALSE)</f>
        <v>225000</v>
      </c>
      <c r="J559">
        <f>VLOOKUP(A559,'RE@CD'!A:D,3,FALSE)</f>
        <v>50000</v>
      </c>
      <c r="K559">
        <f>VLOOKUP(A559,'RE@CD'!A:D,4,FALSE)</f>
        <v>200000</v>
      </c>
      <c r="L559">
        <f>VLOOKUP(A559,DB!A:I,3,FALSE)</f>
        <v>0.21729999999999999</v>
      </c>
      <c r="M559">
        <f>VLOOKUP(A559,DB!A:I,4,FALSE)</f>
        <v>-4.6600000000000003E-2</v>
      </c>
      <c r="N559">
        <f>VLOOKUP(A559,DB!A:I,5,FALSE)</f>
        <v>3.5799999999999998E-3</v>
      </c>
      <c r="O559">
        <f>VLOOKUP(A559,DB!A:I,6,FALSE)</f>
        <v>3.14E-3</v>
      </c>
      <c r="P559">
        <f>VLOOKUP(A559,DB!A:I,7,FALSE)</f>
        <v>4.4000000000000002E-4</v>
      </c>
      <c r="Q559">
        <f>VLOOKUP(A559,DB!A:I,8,FALSE)</f>
        <v>0.71179999999999999</v>
      </c>
      <c r="R559">
        <f>VLOOKUP(A559,DB!A:I,9,FALSE)</f>
        <v>0.76419999999999999</v>
      </c>
      <c r="S559">
        <f>N559 *SQRT(H559)</f>
        <v>5.4293388179409101</v>
      </c>
      <c r="T559">
        <f>L559/N559</f>
        <v>60.69832402234637</v>
      </c>
    </row>
    <row r="560" spans="1:20" x14ac:dyDescent="0.25">
      <c r="A560" t="s">
        <v>625</v>
      </c>
      <c r="B560" t="s">
        <v>40</v>
      </c>
      <c r="C560" s="4">
        <v>0.14274000000000001</v>
      </c>
      <c r="D560" s="4">
        <v>0.40200000000000002</v>
      </c>
      <c r="E560" s="4">
        <v>2.8628000000000001E-2</v>
      </c>
      <c r="F560" s="4">
        <v>0.40200000000000002</v>
      </c>
      <c r="G560">
        <v>8.5299999999999994E-3</v>
      </c>
      <c r="H560">
        <f>VLOOKUP(A560,DB!A:I,2,FALSE)</f>
        <v>3000000</v>
      </c>
      <c r="I560">
        <f>VLOOKUP(A560,'RE@CD'!A:D,2,FALSE)</f>
        <v>650000</v>
      </c>
      <c r="J560">
        <f>VLOOKUP(A560,'RE@CD'!A:D,3,FALSE)</f>
        <v>300000</v>
      </c>
      <c r="K560">
        <f>VLOOKUP(A560,'RE@CD'!A:D,4,FALSE)</f>
        <v>600000</v>
      </c>
      <c r="L560">
        <f>VLOOKUP(A560,DB!A:I,3,FALSE)</f>
        <v>0.31859999999999999</v>
      </c>
      <c r="M560">
        <f>VLOOKUP(A560,DB!A:I,4,FALSE)</f>
        <v>-6.3600000000000004E-2</v>
      </c>
      <c r="N560">
        <f>VLOOKUP(A560,DB!A:I,5,FALSE)</f>
        <v>3.5500000000000002E-3</v>
      </c>
      <c r="O560">
        <f>VLOOKUP(A560,DB!A:I,6,FALSE)</f>
        <v>2.8300000000000001E-3</v>
      </c>
      <c r="P560">
        <f>VLOOKUP(A560,DB!A:I,7,FALSE)</f>
        <v>7.2000000000000005E-4</v>
      </c>
      <c r="Q560">
        <f>VLOOKUP(A560,DB!A:I,8,FALSE)</f>
        <v>0.69289999999999996</v>
      </c>
      <c r="R560">
        <f>VLOOKUP(A560,DB!A:I,9,FALSE)</f>
        <v>0.80920000000000003</v>
      </c>
      <c r="S560">
        <f>N560 *SQRT(H560)</f>
        <v>6.1487803668695147</v>
      </c>
      <c r="T560">
        <f>L560/N560</f>
        <v>89.746478873239425</v>
      </c>
    </row>
    <row r="561" spans="1:20" x14ac:dyDescent="0.25">
      <c r="A561" t="s">
        <v>1079</v>
      </c>
      <c r="B561" t="s">
        <v>490</v>
      </c>
      <c r="C561" s="4">
        <v>6.0220000000000003E-2</v>
      </c>
      <c r="D561" s="4">
        <v>0.23300000000000001</v>
      </c>
      <c r="E561" s="4">
        <v>0</v>
      </c>
      <c r="F561" s="4">
        <v>3.9E-2</v>
      </c>
      <c r="G561">
        <v>4.1399999999999996E-3</v>
      </c>
      <c r="H561">
        <f>VLOOKUP(A561,DB!A:I,2,FALSE)</f>
        <v>1350000</v>
      </c>
      <c r="I561">
        <f>VLOOKUP(A561,'RE@CD'!A:D,2,FALSE)</f>
        <v>125000</v>
      </c>
      <c r="J561">
        <f>VLOOKUP(A561,'RE@CD'!A:D,3,FALSE)</f>
        <v>50000</v>
      </c>
      <c r="K561">
        <f>VLOOKUP(A561,'RE@CD'!A:D,4,FALSE)</f>
        <v>100000</v>
      </c>
      <c r="L561">
        <f>VLOOKUP(A561,DB!A:I,3,FALSE)</f>
        <v>0</v>
      </c>
      <c r="M561">
        <f>VLOOKUP(A561,DB!A:I,4,FALSE)</f>
        <v>0</v>
      </c>
      <c r="N561">
        <f>VLOOKUP(A561,DB!A:I,5,FALSE)</f>
        <v>3.5400000000000002E-3</v>
      </c>
      <c r="O561">
        <f>VLOOKUP(A561,DB!A:I,6,FALSE)</f>
        <v>2.97E-3</v>
      </c>
      <c r="P561">
        <f>VLOOKUP(A561,DB!A:I,7,FALSE)</f>
        <v>5.6999999999999998E-4</v>
      </c>
      <c r="Q561">
        <f>VLOOKUP(A561,DB!A:I,8,FALSE)</f>
        <v>0.81940000000000002</v>
      </c>
      <c r="R561">
        <f>VLOOKUP(A561,DB!A:I,9,FALSE)</f>
        <v>0.81940000000000002</v>
      </c>
      <c r="S561">
        <f>N561 *SQRT(H561)</f>
        <v>4.113108313672277</v>
      </c>
      <c r="T561">
        <f>L561/N561</f>
        <v>0</v>
      </c>
    </row>
    <row r="562" spans="1:20" x14ac:dyDescent="0.25">
      <c r="A562" t="s">
        <v>701</v>
      </c>
      <c r="B562" t="s">
        <v>116</v>
      </c>
      <c r="C562" s="4">
        <v>0.11388</v>
      </c>
      <c r="D562" s="4">
        <v>0.377</v>
      </c>
      <c r="E562" s="4">
        <v>0</v>
      </c>
      <c r="F562" s="4">
        <v>1.2E-2</v>
      </c>
      <c r="G562">
        <v>1.2600000000000001E-3</v>
      </c>
      <c r="H562">
        <f>VLOOKUP(A562,DB!A:I,2,FALSE)</f>
        <v>3000000</v>
      </c>
      <c r="I562">
        <f>VLOOKUP(A562,'RE@CD'!A:D,2,FALSE)</f>
        <v>325000</v>
      </c>
      <c r="J562">
        <f>VLOOKUP(A562,'RE@CD'!A:D,3,FALSE)</f>
        <v>125000</v>
      </c>
      <c r="K562">
        <f>VLOOKUP(A562,'RE@CD'!A:D,4,FALSE)</f>
        <v>300000</v>
      </c>
      <c r="L562">
        <f>VLOOKUP(A562,DB!A:I,3,FALSE)</f>
        <v>0</v>
      </c>
      <c r="M562">
        <f>VLOOKUP(A562,DB!A:I,4,FALSE)</f>
        <v>0</v>
      </c>
      <c r="N562">
        <f>VLOOKUP(A562,DB!A:I,5,FALSE)</f>
        <v>3.5200000000000001E-3</v>
      </c>
      <c r="O562">
        <f>VLOOKUP(A562,DB!A:I,6,FALSE)</f>
        <v>3.1199999999999999E-3</v>
      </c>
      <c r="P562">
        <f>VLOOKUP(A562,DB!A:I,7,FALSE)</f>
        <v>4.0000000000000002E-4</v>
      </c>
      <c r="Q562">
        <f>VLOOKUP(A562,DB!A:I,8,FALSE)</f>
        <v>0.70489999999999997</v>
      </c>
      <c r="R562">
        <f>VLOOKUP(A562,DB!A:I,9,FALSE)</f>
        <v>0.70540000000000003</v>
      </c>
      <c r="S562">
        <f>N562 *SQRT(H562)</f>
        <v>6.0968188426424481</v>
      </c>
      <c r="T562">
        <f>L562/N562</f>
        <v>0</v>
      </c>
    </row>
    <row r="563" spans="1:20" x14ac:dyDescent="0.25">
      <c r="A563" t="s">
        <v>945</v>
      </c>
      <c r="B563" t="s">
        <v>356</v>
      </c>
      <c r="C563" s="4">
        <v>8.0600000000000005E-2</v>
      </c>
      <c r="D563" s="4">
        <v>0.40200000000000002</v>
      </c>
      <c r="E563" s="4">
        <v>2.1989999999999999E-2</v>
      </c>
      <c r="F563" s="4">
        <v>0.5</v>
      </c>
      <c r="G563">
        <v>3.2299999999999998E-3</v>
      </c>
      <c r="H563">
        <f>VLOOKUP(A563,DB!A:I,2,FALSE)</f>
        <v>3000000</v>
      </c>
      <c r="I563">
        <f>VLOOKUP(A563,'RE@CD'!A:D,2,FALSE)</f>
        <v>275000</v>
      </c>
      <c r="J563">
        <f>VLOOKUP(A563,'RE@CD'!A:D,3,FALSE)</f>
        <v>50000</v>
      </c>
      <c r="K563">
        <f>VLOOKUP(A563,'RE@CD'!A:D,4,FALSE)</f>
        <v>275000</v>
      </c>
      <c r="L563">
        <f>VLOOKUP(A563,DB!A:I,3,FALSE)</f>
        <v>0.3523</v>
      </c>
      <c r="M563">
        <f>VLOOKUP(A563,DB!A:I,4,FALSE)</f>
        <v>-8.5000000000000006E-2</v>
      </c>
      <c r="N563">
        <f>VLOOKUP(A563,DB!A:I,5,FALSE)</f>
        <v>3.5100000000000001E-3</v>
      </c>
      <c r="O563">
        <f>VLOOKUP(A563,DB!A:I,6,FALSE)</f>
        <v>3.13E-3</v>
      </c>
      <c r="P563">
        <f>VLOOKUP(A563,DB!A:I,7,FALSE)</f>
        <v>3.8000000000000002E-4</v>
      </c>
      <c r="Q563">
        <f>VLOOKUP(A563,DB!A:I,8,FALSE)</f>
        <v>0.73399999999999999</v>
      </c>
      <c r="R563">
        <f>VLOOKUP(A563,DB!A:I,9,FALSE)</f>
        <v>0.69340000000000002</v>
      </c>
      <c r="S563">
        <f>N563 *SQRT(H563)</f>
        <v>6.0794983345667593</v>
      </c>
      <c r="T563">
        <f>L563/N563</f>
        <v>100.37037037037037</v>
      </c>
    </row>
    <row r="564" spans="1:20" x14ac:dyDescent="0.25">
      <c r="A564" t="s">
        <v>1080</v>
      </c>
      <c r="B564" t="s">
        <v>491</v>
      </c>
      <c r="C564" s="4">
        <v>0.12021999999999999</v>
      </c>
      <c r="D564" s="4">
        <v>0.373</v>
      </c>
      <c r="E564" s="4">
        <v>0</v>
      </c>
      <c r="F564" s="4">
        <v>0.80600000000000005</v>
      </c>
      <c r="G564">
        <v>1.2359999999999999E-2</v>
      </c>
      <c r="H564">
        <f>VLOOKUP(A564,DB!A:I,2,FALSE)</f>
        <v>3000000</v>
      </c>
      <c r="I564">
        <f>VLOOKUP(A564,'RE@CD'!A:D,2,FALSE)</f>
        <v>375000</v>
      </c>
      <c r="J564">
        <f>VLOOKUP(A564,'RE@CD'!A:D,3,FALSE)</f>
        <v>175000</v>
      </c>
      <c r="K564">
        <f>VLOOKUP(A564,'RE@CD'!A:D,4,FALSE)</f>
        <v>350000</v>
      </c>
      <c r="L564">
        <f>VLOOKUP(A564,DB!A:I,3,FALSE)</f>
        <v>0</v>
      </c>
      <c r="M564">
        <f>VLOOKUP(A564,DB!A:I,4,FALSE)</f>
        <v>0</v>
      </c>
      <c r="N564">
        <f>VLOOKUP(A564,DB!A:I,5,FALSE)</f>
        <v>3.5100000000000001E-3</v>
      </c>
      <c r="O564">
        <f>VLOOKUP(A564,DB!A:I,6,FALSE)</f>
        <v>2.97E-3</v>
      </c>
      <c r="P564">
        <f>VLOOKUP(A564,DB!A:I,7,FALSE)</f>
        <v>5.4000000000000001E-4</v>
      </c>
      <c r="Q564">
        <f>VLOOKUP(A564,DB!A:I,8,FALSE)</f>
        <v>0.71870000000000001</v>
      </c>
      <c r="R564">
        <f>VLOOKUP(A564,DB!A:I,9,FALSE)</f>
        <v>0.71850000000000003</v>
      </c>
      <c r="S564">
        <f>N564 *SQRT(H564)</f>
        <v>6.0794983345667593</v>
      </c>
      <c r="T564">
        <f>L564/N564</f>
        <v>0</v>
      </c>
    </row>
    <row r="565" spans="1:20" x14ac:dyDescent="0.25">
      <c r="A565" t="s">
        <v>848</v>
      </c>
      <c r="B565" t="s">
        <v>263</v>
      </c>
      <c r="C565" s="4">
        <v>0.06</v>
      </c>
      <c r="D565" s="4">
        <v>0.3</v>
      </c>
      <c r="E565" s="4">
        <v>0</v>
      </c>
      <c r="F565" s="4">
        <v>0.01</v>
      </c>
      <c r="G565">
        <v>6.4700000000000001E-3</v>
      </c>
      <c r="H565">
        <f>VLOOKUP(A565,DB!A:I,2,FALSE)</f>
        <v>1550000</v>
      </c>
      <c r="I565">
        <f>VLOOKUP(A565,'RE@CD'!A:D,2,FALSE)</f>
        <v>125000</v>
      </c>
      <c r="J565">
        <f>VLOOKUP(A565,'RE@CD'!A:D,3,FALSE)</f>
        <v>50000</v>
      </c>
      <c r="K565">
        <f>VLOOKUP(A565,'RE@CD'!A:D,4,FALSE)</f>
        <v>100000</v>
      </c>
      <c r="L565">
        <f>VLOOKUP(A565,DB!A:I,3,FALSE)</f>
        <v>0</v>
      </c>
      <c r="M565">
        <f>VLOOKUP(A565,DB!A:I,4,FALSE)</f>
        <v>0</v>
      </c>
      <c r="N565">
        <f>VLOOKUP(A565,DB!A:I,5,FALSE)</f>
        <v>3.47E-3</v>
      </c>
      <c r="O565">
        <f>VLOOKUP(A565,DB!A:I,6,FALSE)</f>
        <v>2.97E-3</v>
      </c>
      <c r="P565">
        <f>VLOOKUP(A565,DB!A:I,7,FALSE)</f>
        <v>5.0000000000000001E-4</v>
      </c>
      <c r="Q565">
        <f>VLOOKUP(A565,DB!A:I,8,FALSE)</f>
        <v>0.80500000000000005</v>
      </c>
      <c r="R565">
        <f>VLOOKUP(A565,DB!A:I,9,FALSE)</f>
        <v>0.80430000000000001</v>
      </c>
      <c r="S565">
        <f>N565 *SQRT(H565)</f>
        <v>4.3201151605020902</v>
      </c>
      <c r="T565">
        <f>L565/N565</f>
        <v>0</v>
      </c>
    </row>
    <row r="566" spans="1:20" x14ac:dyDescent="0.25">
      <c r="A566" t="s">
        <v>636</v>
      </c>
      <c r="B566" t="s">
        <v>51</v>
      </c>
      <c r="C566" s="4">
        <v>0.1211</v>
      </c>
      <c r="D566" s="4">
        <v>0.435</v>
      </c>
      <c r="E566" s="4">
        <v>0</v>
      </c>
      <c r="F566" s="4">
        <v>0.999</v>
      </c>
      <c r="G566">
        <v>5.7999999999999996E-3</v>
      </c>
      <c r="H566">
        <f>VLOOKUP(A566,DB!A:I,2,FALSE)</f>
        <v>3000000</v>
      </c>
      <c r="I566">
        <f>VLOOKUP(A566,'RE@CD'!A:D,2,FALSE)</f>
        <v>475000</v>
      </c>
      <c r="J566">
        <f>VLOOKUP(A566,'RE@CD'!A:D,3,FALSE)</f>
        <v>225000</v>
      </c>
      <c r="K566">
        <f>VLOOKUP(A566,'RE@CD'!A:D,4,FALSE)</f>
        <v>475000</v>
      </c>
      <c r="L566">
        <f>VLOOKUP(A566,DB!A:I,3,FALSE)</f>
        <v>0</v>
      </c>
      <c r="M566">
        <f>VLOOKUP(A566,DB!A:I,4,FALSE)</f>
        <v>0</v>
      </c>
      <c r="N566">
        <f>VLOOKUP(A566,DB!A:I,5,FALSE)</f>
        <v>3.3E-3</v>
      </c>
      <c r="O566">
        <f>VLOOKUP(A566,DB!A:I,6,FALSE)</f>
        <v>2.7899999999999999E-3</v>
      </c>
      <c r="P566">
        <f>VLOOKUP(A566,DB!A:I,7,FALSE)</f>
        <v>5.0000000000000001E-4</v>
      </c>
      <c r="Q566">
        <f>VLOOKUP(A566,DB!A:I,8,FALSE)</f>
        <v>0.76870000000000005</v>
      </c>
      <c r="R566">
        <f>VLOOKUP(A566,DB!A:I,9,FALSE)</f>
        <v>0.76900000000000002</v>
      </c>
      <c r="S566">
        <f>N566 *SQRT(H566)</f>
        <v>5.715767664977295</v>
      </c>
      <c r="T566">
        <f>L566/N566</f>
        <v>0</v>
      </c>
    </row>
    <row r="567" spans="1:20" x14ac:dyDescent="0.25">
      <c r="A567" t="s">
        <v>727</v>
      </c>
      <c r="B567" t="s">
        <v>142</v>
      </c>
      <c r="C567" s="4">
        <v>4.0786999999999997E-2</v>
      </c>
      <c r="D567" s="4">
        <v>7.8E-2</v>
      </c>
      <c r="E567" s="4">
        <v>8.0460000000000004E-2</v>
      </c>
      <c r="F567" s="4">
        <v>0.35899999999999999</v>
      </c>
      <c r="G567">
        <v>2.6099999999999999E-3</v>
      </c>
      <c r="H567">
        <f>VLOOKUP(A567,DB!A:I,2,FALSE)</f>
        <v>175000</v>
      </c>
      <c r="I567">
        <f>VLOOKUP(A567,'RE@CD'!A:D,2,FALSE)</f>
        <v>175000</v>
      </c>
      <c r="J567">
        <f>VLOOKUP(A567,'RE@CD'!A:D,3,FALSE)</f>
        <v>175000</v>
      </c>
      <c r="K567">
        <f>VLOOKUP(A567,'RE@CD'!A:D,4,FALSE)</f>
        <v>70000</v>
      </c>
      <c r="L567">
        <f>VLOOKUP(A567,DB!A:I,3,FALSE)</f>
        <v>0.55020000000000002</v>
      </c>
      <c r="M567">
        <f>VLOOKUP(A567,DB!A:I,4,FALSE)</f>
        <v>-9.6000000000000002E-2</v>
      </c>
      <c r="N567">
        <f>VLOOKUP(A567,DB!A:I,5,FALSE)</f>
        <v>2.9270000000000001E-2</v>
      </c>
      <c r="O567">
        <f>VLOOKUP(A567,DB!A:I,6,FALSE)</f>
        <v>6.1000000000000004E-3</v>
      </c>
      <c r="P567">
        <f>VLOOKUP(A567,DB!A:I,7,FALSE)</f>
        <v>2.317E-2</v>
      </c>
      <c r="Q567">
        <f>VLOOKUP(A567,DB!A:I,8,FALSE)</f>
        <v>0.6089</v>
      </c>
      <c r="R567">
        <f>VLOOKUP(A567,DB!A:I,9,FALSE)</f>
        <v>7.8600000000000003E-2</v>
      </c>
      <c r="S567">
        <f>N567 *SQRT(H567)</f>
        <v>12.244519488326196</v>
      </c>
      <c r="T567">
        <f>L567/N567</f>
        <v>18.797403484796721</v>
      </c>
    </row>
    <row r="568" spans="1:20" x14ac:dyDescent="0.25">
      <c r="A568" t="s">
        <v>845</v>
      </c>
      <c r="B568" t="s">
        <v>260</v>
      </c>
      <c r="C568" s="4">
        <v>9.0074000000000001E-2</v>
      </c>
      <c r="D568" s="4">
        <v>0.443</v>
      </c>
      <c r="E568" s="4">
        <v>2.7614E-2</v>
      </c>
      <c r="F568" s="4">
        <v>0.66300000000000003</v>
      </c>
      <c r="G568">
        <v>1.3799999999999999E-3</v>
      </c>
      <c r="H568">
        <f>VLOOKUP(A568,DB!A:I,2,FALSE)</f>
        <v>3000000</v>
      </c>
      <c r="I568">
        <f>VLOOKUP(A568,'RE@CD'!A:D,2,FALSE)</f>
        <v>475000</v>
      </c>
      <c r="J568">
        <f>VLOOKUP(A568,'RE@CD'!A:D,3,FALSE)</f>
        <v>80000</v>
      </c>
      <c r="K568">
        <f>VLOOKUP(A568,'RE@CD'!A:D,4,FALSE)</f>
        <v>500000</v>
      </c>
      <c r="L568">
        <f>VLOOKUP(A568,DB!A:I,3,FALSE)</f>
        <v>0.4859</v>
      </c>
      <c r="M568">
        <f>VLOOKUP(A568,DB!A:I,4,FALSE)</f>
        <v>-0.13120000000000001</v>
      </c>
      <c r="N568">
        <f>VLOOKUP(A568,DB!A:I,5,FALSE)</f>
        <v>3.2299999999999998E-3</v>
      </c>
      <c r="O568">
        <f>VLOOKUP(A568,DB!A:I,6,FALSE)</f>
        <v>2.7200000000000002E-3</v>
      </c>
      <c r="P568">
        <f>VLOOKUP(A568,DB!A:I,7,FALSE)</f>
        <v>5.1999999999999995E-4</v>
      </c>
      <c r="Q568">
        <f>VLOOKUP(A568,DB!A:I,8,FALSE)</f>
        <v>0.87690000000000001</v>
      </c>
      <c r="R568">
        <f>VLOOKUP(A568,DB!A:I,9,FALSE)</f>
        <v>0.65700000000000003</v>
      </c>
      <c r="S568">
        <f t="shared" ref="S514:S577" si="0">N568 *SQRT(H568)</f>
        <v>5.5945241084474731</v>
      </c>
      <c r="T568">
        <f t="shared" ref="T514:T577" si="1">L568/N568</f>
        <v>150.43343653250776</v>
      </c>
    </row>
    <row r="569" spans="1:20" x14ac:dyDescent="0.25">
      <c r="A569" t="s">
        <v>1003</v>
      </c>
      <c r="B569" t="s">
        <v>414</v>
      </c>
      <c r="C569" s="4">
        <v>0.05</v>
      </c>
      <c r="D569" s="4">
        <v>0.20200000000000001</v>
      </c>
      <c r="E569" s="4">
        <v>0</v>
      </c>
      <c r="F569" s="4">
        <v>0.45700000000000002</v>
      </c>
      <c r="G569">
        <v>5.0600000000000003E-3</v>
      </c>
      <c r="H569">
        <f>VLOOKUP(A569,DB!A:I,2,FALSE)</f>
        <v>1100000</v>
      </c>
      <c r="I569">
        <f>VLOOKUP(A569,'RE@CD'!A:D,2,FALSE)</f>
        <v>90000</v>
      </c>
      <c r="J569">
        <f>VLOOKUP(A569,'RE@CD'!A:D,3,FALSE)</f>
        <v>50000</v>
      </c>
      <c r="K569">
        <f>VLOOKUP(A569,'RE@CD'!A:D,4,FALSE)</f>
        <v>100000</v>
      </c>
      <c r="L569">
        <f>VLOOKUP(A569,DB!A:I,3,FALSE)</f>
        <v>0</v>
      </c>
      <c r="M569">
        <f>VLOOKUP(A569,DB!A:I,4,FALSE)</f>
        <v>0</v>
      </c>
      <c r="N569">
        <f>VLOOKUP(A569,DB!A:I,5,FALSE)</f>
        <v>3.13E-3</v>
      </c>
      <c r="O569">
        <f>VLOOKUP(A569,DB!A:I,6,FALSE)</f>
        <v>2.31E-3</v>
      </c>
      <c r="P569">
        <f>VLOOKUP(A569,DB!A:I,7,FALSE)</f>
        <v>8.1999999999999998E-4</v>
      </c>
      <c r="Q569">
        <f>VLOOKUP(A569,DB!A:I,8,FALSE)</f>
        <v>0.9667</v>
      </c>
      <c r="R569">
        <f>VLOOKUP(A569,DB!A:I,9,FALSE)</f>
        <v>0.96650000000000003</v>
      </c>
      <c r="S569">
        <f t="shared" si="0"/>
        <v>3.2827716947725745</v>
      </c>
      <c r="T569">
        <f t="shared" si="1"/>
        <v>0</v>
      </c>
    </row>
    <row r="570" spans="1:20" x14ac:dyDescent="0.25">
      <c r="A570" t="s">
        <v>957</v>
      </c>
      <c r="B570" t="s">
        <v>368</v>
      </c>
      <c r="C570" s="4">
        <v>8.4005999999999997E-2</v>
      </c>
      <c r="D570" s="4">
        <v>0.19500000000000001</v>
      </c>
      <c r="E570" s="4">
        <v>4.6231000000000001E-2</v>
      </c>
      <c r="F570" s="4">
        <v>0.309</v>
      </c>
      <c r="G570">
        <v>2.49E-3</v>
      </c>
      <c r="H570">
        <f>VLOOKUP(A570,DB!A:I,2,FALSE)</f>
        <v>2600000</v>
      </c>
      <c r="I570">
        <f>VLOOKUP(A570,'RE@CD'!A:D,2,FALSE)</f>
        <v>625000</v>
      </c>
      <c r="J570">
        <f>VLOOKUP(A570,'RE@CD'!A:D,3,FALSE)</f>
        <v>80000</v>
      </c>
      <c r="K570">
        <f>VLOOKUP(A570,'RE@CD'!A:D,4,FALSE)</f>
        <v>625000</v>
      </c>
      <c r="L570">
        <f>VLOOKUP(A570,DB!A:I,3,FALSE)</f>
        <v>0.56479999999999997</v>
      </c>
      <c r="M570">
        <f>VLOOKUP(A570,DB!A:I,4,FALSE)</f>
        <v>-9.9699999999999997E-2</v>
      </c>
      <c r="N570">
        <f>VLOOKUP(A570,DB!A:I,5,FALSE)</f>
        <v>3.0999999999999999E-3</v>
      </c>
      <c r="O570">
        <f>VLOOKUP(A570,DB!A:I,6,FALSE)</f>
        <v>6.6400000000000001E-3</v>
      </c>
      <c r="P570">
        <f>VLOOKUP(A570,DB!A:I,7,FALSE)</f>
        <v>-3.5500000000000002E-3</v>
      </c>
      <c r="Q570">
        <f>VLOOKUP(A570,DB!A:I,8,FALSE)</f>
        <v>0.14660000000000001</v>
      </c>
      <c r="R570">
        <f>VLOOKUP(A570,DB!A:I,9,FALSE)</f>
        <v>2.3300000000000001E-2</v>
      </c>
      <c r="S570">
        <f t="shared" si="0"/>
        <v>4.9985998039451003</v>
      </c>
      <c r="T570">
        <f t="shared" si="1"/>
        <v>182.19354838709677</v>
      </c>
    </row>
    <row r="571" spans="1:20" x14ac:dyDescent="0.25">
      <c r="A571" t="s">
        <v>844</v>
      </c>
      <c r="B571" t="s">
        <v>259</v>
      </c>
      <c r="C571" s="4">
        <v>8.9989E-2</v>
      </c>
      <c r="D571" s="4">
        <v>0.44900000000000001</v>
      </c>
      <c r="E571" s="4">
        <v>1.3394E-2</v>
      </c>
      <c r="F571" s="4">
        <v>0.503</v>
      </c>
      <c r="G571">
        <v>1.2099999999999999E-3</v>
      </c>
      <c r="H571">
        <f>VLOOKUP(A571,DB!A:I,2,FALSE)</f>
        <v>3000000</v>
      </c>
      <c r="I571">
        <f>VLOOKUP(A571,'RE@CD'!A:D,2,FALSE)</f>
        <v>400000</v>
      </c>
      <c r="J571">
        <f>VLOOKUP(A571,'RE@CD'!A:D,3,FALSE)</f>
        <v>60000</v>
      </c>
      <c r="K571">
        <f>VLOOKUP(A571,'RE@CD'!A:D,4,FALSE)</f>
        <v>425000</v>
      </c>
      <c r="L571">
        <f>VLOOKUP(A571,DB!A:I,3,FALSE)</f>
        <v>0.1845</v>
      </c>
      <c r="M571">
        <f>VLOOKUP(A571,DB!A:I,4,FALSE)</f>
        <v>-4.4900000000000002E-2</v>
      </c>
      <c r="N571">
        <f>VLOOKUP(A571,DB!A:I,5,FALSE)</f>
        <v>3.0400000000000002E-3</v>
      </c>
      <c r="O571">
        <f>VLOOKUP(A571,DB!A:I,6,FALSE)</f>
        <v>2.6199999999999999E-3</v>
      </c>
      <c r="P571">
        <f>VLOOKUP(A571,DB!A:I,7,FALSE)</f>
        <v>4.2999999999999999E-4</v>
      </c>
      <c r="Q571">
        <f>VLOOKUP(A571,DB!A:I,8,FALSE)</f>
        <v>0.78859999999999997</v>
      </c>
      <c r="R571">
        <f>VLOOKUP(A571,DB!A:I,9,FALSE)</f>
        <v>0.83499999999999996</v>
      </c>
      <c r="S571">
        <f t="shared" si="0"/>
        <v>5.2654344550093866</v>
      </c>
      <c r="T571">
        <f t="shared" si="1"/>
        <v>60.690789473684205</v>
      </c>
    </row>
    <row r="572" spans="1:20" x14ac:dyDescent="0.25">
      <c r="A572" t="s">
        <v>660</v>
      </c>
      <c r="B572" t="s">
        <v>75</v>
      </c>
      <c r="C572" s="4">
        <v>8.4543999999999994E-2</v>
      </c>
      <c r="D572" s="4">
        <v>0.36899999999999999</v>
      </c>
      <c r="E572" s="4">
        <v>1.1212E-2</v>
      </c>
      <c r="F572" s="4">
        <v>0.42799999999999999</v>
      </c>
      <c r="G572">
        <v>3.0799999999999998E-3</v>
      </c>
      <c r="H572">
        <f>VLOOKUP(A572,DB!A:I,2,FALSE)</f>
        <v>3000000</v>
      </c>
      <c r="I572">
        <f>VLOOKUP(A572,'RE@CD'!A:D,2,FALSE)</f>
        <v>250000</v>
      </c>
      <c r="J572">
        <f>VLOOKUP(A572,'RE@CD'!A:D,3,FALSE)</f>
        <v>50000</v>
      </c>
      <c r="K572">
        <f>VLOOKUP(A572,'RE@CD'!A:D,4,FALSE)</f>
        <v>425000</v>
      </c>
      <c r="L572">
        <f>VLOOKUP(A572,DB!A:I,3,FALSE)</f>
        <v>0.1067</v>
      </c>
      <c r="M572">
        <f>VLOOKUP(A572,DB!A:I,4,FALSE)</f>
        <v>-1.8100000000000002E-2</v>
      </c>
      <c r="N572">
        <f>VLOOKUP(A572,DB!A:I,5,FALSE)</f>
        <v>3.0200000000000001E-3</v>
      </c>
      <c r="O572">
        <f>VLOOKUP(A572,DB!A:I,6,FALSE)</f>
        <v>2.4199999999999998E-3</v>
      </c>
      <c r="P572">
        <f>VLOOKUP(A572,DB!A:I,7,FALSE)</f>
        <v>5.9999999999999995E-4</v>
      </c>
      <c r="Q572">
        <f>VLOOKUP(A572,DB!A:I,8,FALSE)</f>
        <v>0.77500000000000002</v>
      </c>
      <c r="R572">
        <f>VLOOKUP(A572,DB!A:I,9,FALSE)</f>
        <v>0.84570000000000001</v>
      </c>
      <c r="S572">
        <f t="shared" si="0"/>
        <v>5.2307934388580097</v>
      </c>
      <c r="T572">
        <f t="shared" si="1"/>
        <v>35.331125827814567</v>
      </c>
    </row>
    <row r="573" spans="1:20" x14ac:dyDescent="0.25">
      <c r="A573" t="s">
        <v>1029</v>
      </c>
      <c r="B573" t="s">
        <v>440</v>
      </c>
      <c r="C573" s="4">
        <v>9.0038000000000007E-2</v>
      </c>
      <c r="D573" s="4">
        <v>0.39300000000000002</v>
      </c>
      <c r="E573" s="4">
        <v>1.3161000000000001E-2</v>
      </c>
      <c r="F573" s="4">
        <v>0.373</v>
      </c>
      <c r="G573">
        <v>1.5499999999999999E-3</v>
      </c>
      <c r="H573">
        <f>VLOOKUP(A573,DB!A:I,2,FALSE)</f>
        <v>2500000</v>
      </c>
      <c r="I573">
        <f>VLOOKUP(A573,'RE@CD'!A:D,2,FALSE)</f>
        <v>400000</v>
      </c>
      <c r="J573">
        <f>VLOOKUP(A573,'RE@CD'!A:D,3,FALSE)</f>
        <v>50000</v>
      </c>
      <c r="K573">
        <f>VLOOKUP(A573,'RE@CD'!A:D,4,FALSE)</f>
        <v>475000</v>
      </c>
      <c r="L573">
        <f>VLOOKUP(A573,DB!A:I,3,FALSE)</f>
        <v>0.13900000000000001</v>
      </c>
      <c r="M573">
        <f>VLOOKUP(A573,DB!A:I,4,FALSE)</f>
        <v>-2.5899999999999999E-2</v>
      </c>
      <c r="N573">
        <f>VLOOKUP(A573,DB!A:I,5,FALSE)</f>
        <v>2.8999999999999998E-3</v>
      </c>
      <c r="O573">
        <f>VLOOKUP(A573,DB!A:I,6,FALSE)</f>
        <v>2.4199999999999998E-3</v>
      </c>
      <c r="P573">
        <f>VLOOKUP(A573,DB!A:I,7,FALSE)</f>
        <v>4.8000000000000001E-4</v>
      </c>
      <c r="Q573">
        <f>VLOOKUP(A573,DB!A:I,8,FALSE)</f>
        <v>0.79710000000000003</v>
      </c>
      <c r="R573">
        <f>VLOOKUP(A573,DB!A:I,9,FALSE)</f>
        <v>0.87709999999999999</v>
      </c>
      <c r="S573">
        <f t="shared" si="0"/>
        <v>4.5853026072441496</v>
      </c>
      <c r="T573">
        <f t="shared" si="1"/>
        <v>47.931034482758626</v>
      </c>
    </row>
    <row r="574" spans="1:20" x14ac:dyDescent="0.25">
      <c r="A574" t="s">
        <v>1030</v>
      </c>
      <c r="B574" t="s">
        <v>441</v>
      </c>
      <c r="C574" s="4">
        <v>9.9834000000000006E-2</v>
      </c>
      <c r="D574" s="4">
        <v>0.39600000000000002</v>
      </c>
      <c r="E574" s="4">
        <v>1.4687E-2</v>
      </c>
      <c r="F574" s="4">
        <v>0.39600000000000002</v>
      </c>
      <c r="G574">
        <v>1.5299999999999999E-3</v>
      </c>
      <c r="H574">
        <f>VLOOKUP(A574,DB!A:I,2,FALSE)</f>
        <v>2800000</v>
      </c>
      <c r="I574">
        <f>VLOOKUP(A574,'RE@CD'!A:D,2,FALSE)</f>
        <v>500000</v>
      </c>
      <c r="J574">
        <f>VLOOKUP(A574,'RE@CD'!A:D,3,FALSE)</f>
        <v>80000</v>
      </c>
      <c r="K574">
        <f>VLOOKUP(A574,'RE@CD'!A:D,4,FALSE)</f>
        <v>575000</v>
      </c>
      <c r="L574">
        <f>VLOOKUP(A574,DB!A:I,3,FALSE)</f>
        <v>0.1651</v>
      </c>
      <c r="M574">
        <f>VLOOKUP(A574,DB!A:I,4,FALSE)</f>
        <v>-3.2399999999999998E-2</v>
      </c>
      <c r="N574">
        <f>VLOOKUP(A574,DB!A:I,5,FALSE)</f>
        <v>2.8600000000000001E-3</v>
      </c>
      <c r="O574">
        <f>VLOOKUP(A574,DB!A:I,6,FALSE)</f>
        <v>2.3600000000000001E-3</v>
      </c>
      <c r="P574">
        <f>VLOOKUP(A574,DB!A:I,7,FALSE)</f>
        <v>5.0000000000000001E-4</v>
      </c>
      <c r="Q574">
        <f>VLOOKUP(A574,DB!A:I,8,FALSE)</f>
        <v>0.79990000000000006</v>
      </c>
      <c r="R574">
        <f>VLOOKUP(A574,DB!A:I,9,FALSE)</f>
        <v>0.872</v>
      </c>
      <c r="S574">
        <f t="shared" si="0"/>
        <v>4.7856953517749119</v>
      </c>
      <c r="T574">
        <f t="shared" si="1"/>
        <v>57.727272727272727</v>
      </c>
    </row>
    <row r="575" spans="1:20" x14ac:dyDescent="0.25">
      <c r="A575" t="s">
        <v>1028</v>
      </c>
      <c r="B575" t="s">
        <v>439</v>
      </c>
      <c r="C575" s="4">
        <v>7.9911999999999997E-2</v>
      </c>
      <c r="D575" s="4">
        <v>0.375</v>
      </c>
      <c r="E575" s="4">
        <v>1.2814000000000001E-2</v>
      </c>
      <c r="F575" s="4">
        <v>0.39</v>
      </c>
      <c r="G575">
        <v>1.3600000000000001E-3</v>
      </c>
      <c r="H575">
        <f>VLOOKUP(A575,DB!A:I,2,FALSE)</f>
        <v>2200000</v>
      </c>
      <c r="I575">
        <f>VLOOKUP(A575,'RE@CD'!A:D,2,FALSE)</f>
        <v>275000</v>
      </c>
      <c r="J575">
        <f>VLOOKUP(A575,'RE@CD'!A:D,3,FALSE)</f>
        <v>50000</v>
      </c>
      <c r="K575">
        <f>VLOOKUP(A575,'RE@CD'!A:D,4,FALSE)</f>
        <v>375000</v>
      </c>
      <c r="L575">
        <f>VLOOKUP(A575,DB!A:I,3,FALSE)</f>
        <v>0.10879999999999999</v>
      </c>
      <c r="M575">
        <f>VLOOKUP(A575,DB!A:I,4,FALSE)</f>
        <v>-1.8100000000000002E-2</v>
      </c>
      <c r="N575">
        <f>VLOOKUP(A575,DB!A:I,5,FALSE)</f>
        <v>2.82E-3</v>
      </c>
      <c r="O575">
        <f>VLOOKUP(A575,DB!A:I,6,FALSE)</f>
        <v>2.3500000000000001E-3</v>
      </c>
      <c r="P575">
        <f>VLOOKUP(A575,DB!A:I,7,FALSE)</f>
        <v>4.6000000000000001E-4</v>
      </c>
      <c r="Q575">
        <f>VLOOKUP(A575,DB!A:I,8,FALSE)</f>
        <v>0.81459999999999999</v>
      </c>
      <c r="R575">
        <f>VLOOKUP(A575,DB!A:I,9,FALSE)</f>
        <v>0.89939999999999998</v>
      </c>
      <c r="S575">
        <f t="shared" si="0"/>
        <v>4.1827359467219543</v>
      </c>
      <c r="T575">
        <f t="shared" si="1"/>
        <v>38.581560283687942</v>
      </c>
    </row>
    <row r="576" spans="1:20" x14ac:dyDescent="0.25">
      <c r="A576" t="s">
        <v>1032</v>
      </c>
      <c r="B576" t="s">
        <v>443</v>
      </c>
      <c r="C576" s="4">
        <v>0.119919</v>
      </c>
      <c r="D576" s="4">
        <v>0.42399999999999999</v>
      </c>
      <c r="E576" s="4">
        <v>1.5077999999999999E-2</v>
      </c>
      <c r="F576" s="4">
        <v>0.39700000000000002</v>
      </c>
      <c r="G576">
        <v>2.1700000000000001E-3</v>
      </c>
      <c r="H576">
        <f>VLOOKUP(A576,DB!A:I,2,FALSE)</f>
        <v>3000000</v>
      </c>
      <c r="I576">
        <f>VLOOKUP(A576,'RE@CD'!A:D,2,FALSE)</f>
        <v>675000</v>
      </c>
      <c r="J576">
        <f>VLOOKUP(A576,'RE@CD'!A:D,3,FALSE)</f>
        <v>275000</v>
      </c>
      <c r="K576">
        <f>VLOOKUP(A576,'RE@CD'!A:D,4,FALSE)</f>
        <v>775000</v>
      </c>
      <c r="L576">
        <f>VLOOKUP(A576,DB!A:I,3,FALSE)</f>
        <v>0.16900000000000001</v>
      </c>
      <c r="M576">
        <f>VLOOKUP(A576,DB!A:I,4,FALSE)</f>
        <v>-3.4099999999999998E-2</v>
      </c>
      <c r="N576">
        <f>VLOOKUP(A576,DB!A:I,5,FALSE)</f>
        <v>2.82E-3</v>
      </c>
      <c r="O576">
        <f>VLOOKUP(A576,DB!A:I,6,FALSE)</f>
        <v>2.1700000000000001E-3</v>
      </c>
      <c r="P576">
        <f>VLOOKUP(A576,DB!A:I,7,FALSE)</f>
        <v>6.4999999999999997E-4</v>
      </c>
      <c r="Q576">
        <f>VLOOKUP(A576,DB!A:I,8,FALSE)</f>
        <v>0.83560000000000001</v>
      </c>
      <c r="R576">
        <f>VLOOKUP(A576,DB!A:I,9,FALSE)</f>
        <v>0.87790000000000001</v>
      </c>
      <c r="S576">
        <f t="shared" si="0"/>
        <v>4.8843832773442335</v>
      </c>
      <c r="T576">
        <f t="shared" si="1"/>
        <v>59.929078014184398</v>
      </c>
    </row>
    <row r="577" spans="1:20" x14ac:dyDescent="0.25">
      <c r="A577" t="s">
        <v>1031</v>
      </c>
      <c r="B577" t="s">
        <v>442</v>
      </c>
      <c r="C577" s="4">
        <v>0.109903</v>
      </c>
      <c r="D577" s="4">
        <v>0.42299999999999999</v>
      </c>
      <c r="E577" s="4">
        <v>1.5184E-2</v>
      </c>
      <c r="F577" s="4">
        <v>0.39700000000000002</v>
      </c>
      <c r="G577">
        <v>1.7099999999999999E-3</v>
      </c>
      <c r="H577">
        <f>VLOOKUP(A577,DB!A:I,2,FALSE)</f>
        <v>3000000</v>
      </c>
      <c r="I577">
        <f>VLOOKUP(A577,'RE@CD'!A:D,2,FALSE)</f>
        <v>600000</v>
      </c>
      <c r="J577">
        <f>VLOOKUP(A577,'RE@CD'!A:D,3,FALSE)</f>
        <v>175000</v>
      </c>
      <c r="K577">
        <f>VLOOKUP(A577,'RE@CD'!A:D,4,FALSE)</f>
        <v>750000</v>
      </c>
      <c r="L577">
        <f>VLOOKUP(A577,DB!A:I,3,FALSE)</f>
        <v>0.17169999999999999</v>
      </c>
      <c r="M577">
        <f>VLOOKUP(A577,DB!A:I,4,FALSE)</f>
        <v>-3.4500000000000003E-2</v>
      </c>
      <c r="N577">
        <f>VLOOKUP(A577,DB!A:I,5,FALSE)</f>
        <v>2.8E-3</v>
      </c>
      <c r="O577">
        <f>VLOOKUP(A577,DB!A:I,6,FALSE)</f>
        <v>2.2599999999999999E-3</v>
      </c>
      <c r="P577">
        <f>VLOOKUP(A577,DB!A:I,7,FALSE)</f>
        <v>5.4000000000000001E-4</v>
      </c>
      <c r="Q577">
        <f>VLOOKUP(A577,DB!A:I,8,FALSE)</f>
        <v>0.81850000000000001</v>
      </c>
      <c r="R577">
        <f>VLOOKUP(A577,DB!A:I,9,FALSE)</f>
        <v>0.87119999999999997</v>
      </c>
      <c r="S577">
        <f t="shared" si="0"/>
        <v>4.8497422611928558</v>
      </c>
      <c r="T577">
        <f t="shared" si="1"/>
        <v>61.321428571428569</v>
      </c>
    </row>
  </sheetData>
  <autoFilter ref="A1:T577" xr:uid="{82A35749-818E-4D96-9DBA-A920D8BDC994}">
    <sortState xmlns:xlrd2="http://schemas.microsoft.com/office/spreadsheetml/2017/richdata2" ref="A506:T532">
      <sortCondition ref="S1:S577"/>
    </sortState>
  </autoFilter>
  <pageMargins left="0.7" right="0.7" top="0.75" bottom="0.75" header="0.3" footer="0.3"/>
  <pageSetup paperSize="9" orientation="portrait" r:id="rId1"/>
  <headerFooter differentOddEven="1" differentFirst="1">
    <oddFooter>&amp;L &amp;"arial,Regular"&amp;10Internal Use</oddFooter>
    <evenFooter>&amp;L &amp;"arial,Regular"&amp;10Internal Use</evenFooter>
    <firstFooter>&amp;L &amp;"arial,Regular"&amp;10Internal Use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85BF-2AA1-4534-858D-AA61318464D0}">
  <sheetPr codeName="Sheet2"/>
  <dimension ref="A1:I577"/>
  <sheetViews>
    <sheetView topLeftCell="A547" workbookViewId="0">
      <selection activeCell="N574" sqref="N574"/>
    </sheetView>
  </sheetViews>
  <sheetFormatPr defaultRowHeight="15" x14ac:dyDescent="0.25"/>
  <sheetData>
    <row r="1" spans="1:9" x14ac:dyDescent="0.25">
      <c r="A1" s="5" t="s">
        <v>589</v>
      </c>
      <c r="B1" s="5" t="s">
        <v>581</v>
      </c>
      <c r="C1" s="5" t="s">
        <v>582</v>
      </c>
      <c r="D1" s="5" t="s">
        <v>583</v>
      </c>
      <c r="E1" s="5" t="s">
        <v>584</v>
      </c>
      <c r="F1" s="5" t="s">
        <v>585</v>
      </c>
      <c r="G1" s="5" t="s">
        <v>586</v>
      </c>
      <c r="H1" s="5" t="s">
        <v>587</v>
      </c>
      <c r="I1" s="5" t="s">
        <v>588</v>
      </c>
    </row>
    <row r="2" spans="1:9" x14ac:dyDescent="0.25">
      <c r="A2" t="s">
        <v>592</v>
      </c>
      <c r="B2">
        <v>1250000</v>
      </c>
      <c r="C2">
        <v>0.18870000000000001</v>
      </c>
      <c r="D2">
        <v>-3.1300000000000001E-2</v>
      </c>
      <c r="E2">
        <v>3.9199999999999999E-3</v>
      </c>
      <c r="F2">
        <v>3.2100000000000002E-3</v>
      </c>
      <c r="G2">
        <v>6.9999999999999999E-4</v>
      </c>
      <c r="H2">
        <v>0.66410000000000002</v>
      </c>
      <c r="I2">
        <v>0.94830000000000003</v>
      </c>
    </row>
    <row r="3" spans="1:9" x14ac:dyDescent="0.25">
      <c r="A3" t="s">
        <v>593</v>
      </c>
      <c r="B3">
        <v>925000</v>
      </c>
      <c r="C3">
        <v>0.18129999999999999</v>
      </c>
      <c r="D3">
        <v>-3.4700000000000002E-2</v>
      </c>
      <c r="E3">
        <v>4.0899999999999999E-3</v>
      </c>
      <c r="F3">
        <v>3.31E-3</v>
      </c>
      <c r="G3">
        <v>7.7999999999999999E-4</v>
      </c>
      <c r="H3">
        <v>0.72</v>
      </c>
      <c r="I3">
        <v>0.98219999999999996</v>
      </c>
    </row>
    <row r="4" spans="1:9" x14ac:dyDescent="0.25">
      <c r="A4" t="s">
        <v>594</v>
      </c>
      <c r="B4">
        <v>900000</v>
      </c>
      <c r="C4">
        <v>0.19209999999999999</v>
      </c>
      <c r="D4">
        <v>-3.8100000000000002E-2</v>
      </c>
      <c r="E4">
        <v>3.8700000000000002E-3</v>
      </c>
      <c r="F4">
        <v>3.0899999999999999E-3</v>
      </c>
      <c r="G4">
        <v>7.7999999999999999E-4</v>
      </c>
      <c r="H4">
        <v>0.78200000000000003</v>
      </c>
      <c r="I4">
        <v>0.99360000000000004</v>
      </c>
    </row>
    <row r="5" spans="1:9" x14ac:dyDescent="0.25">
      <c r="A5" t="s">
        <v>595</v>
      </c>
      <c r="B5">
        <v>700000</v>
      </c>
      <c r="C5">
        <v>0.18</v>
      </c>
      <c r="D5">
        <v>-3.3099999999999997E-2</v>
      </c>
      <c r="E5">
        <v>4.0000000000000001E-3</v>
      </c>
      <c r="F5">
        <v>3.0599999999999998E-3</v>
      </c>
      <c r="G5">
        <v>9.3999999999999997E-4</v>
      </c>
      <c r="H5">
        <v>0.85109999999999997</v>
      </c>
      <c r="I5">
        <v>1</v>
      </c>
    </row>
    <row r="6" spans="1:9" x14ac:dyDescent="0.25">
      <c r="A6" t="s">
        <v>596</v>
      </c>
      <c r="B6">
        <v>700000</v>
      </c>
      <c r="C6">
        <v>0.16650000000000001</v>
      </c>
      <c r="D6">
        <v>-3.09E-2</v>
      </c>
      <c r="E6">
        <v>3.9300000000000003E-3</v>
      </c>
      <c r="F6">
        <v>2.82E-3</v>
      </c>
      <c r="G6">
        <v>1.1100000000000001E-3</v>
      </c>
      <c r="H6">
        <v>0.91090000000000004</v>
      </c>
      <c r="I6">
        <v>1</v>
      </c>
    </row>
    <row r="7" spans="1:9" x14ac:dyDescent="0.25">
      <c r="A7" t="s">
        <v>597</v>
      </c>
      <c r="B7">
        <v>525000</v>
      </c>
      <c r="C7">
        <v>0.22550000000000001</v>
      </c>
      <c r="D7">
        <v>-3.5900000000000001E-2</v>
      </c>
      <c r="E7">
        <v>4.8500000000000001E-3</v>
      </c>
      <c r="F7">
        <v>3.4399999999999999E-3</v>
      </c>
      <c r="G7">
        <v>1.41E-3</v>
      </c>
      <c r="H7">
        <v>0.81369999999999998</v>
      </c>
      <c r="I7">
        <v>1</v>
      </c>
    </row>
    <row r="8" spans="1:9" x14ac:dyDescent="0.25">
      <c r="A8" t="s">
        <v>598</v>
      </c>
      <c r="B8">
        <v>750000</v>
      </c>
      <c r="C8">
        <v>0.21909999999999999</v>
      </c>
      <c r="D8">
        <v>-4.58E-2</v>
      </c>
      <c r="E8">
        <v>4.2199999999999998E-3</v>
      </c>
      <c r="F8">
        <v>3.3800000000000002E-3</v>
      </c>
      <c r="G8">
        <v>8.4000000000000003E-4</v>
      </c>
      <c r="H8">
        <v>0.75570000000000004</v>
      </c>
      <c r="I8">
        <v>1</v>
      </c>
    </row>
    <row r="9" spans="1:9" x14ac:dyDescent="0.25">
      <c r="A9" t="s">
        <v>599</v>
      </c>
      <c r="B9">
        <v>875000</v>
      </c>
      <c r="C9">
        <v>0.23089999999999999</v>
      </c>
      <c r="D9">
        <v>-4.7899999999999998E-2</v>
      </c>
      <c r="E9">
        <v>4.0000000000000001E-3</v>
      </c>
      <c r="F9">
        <v>3.2599999999999999E-3</v>
      </c>
      <c r="G9">
        <v>7.5000000000000002E-4</v>
      </c>
      <c r="H9">
        <v>0.74309999999999998</v>
      </c>
      <c r="I9">
        <v>1</v>
      </c>
    </row>
    <row r="10" spans="1:9" x14ac:dyDescent="0.25">
      <c r="A10" t="s">
        <v>600</v>
      </c>
      <c r="B10">
        <v>975000</v>
      </c>
      <c r="C10">
        <v>0.2409</v>
      </c>
      <c r="D10">
        <v>-4.9000000000000002E-2</v>
      </c>
      <c r="E10">
        <v>3.8700000000000002E-3</v>
      </c>
      <c r="F10">
        <v>3.1700000000000001E-3</v>
      </c>
      <c r="G10">
        <v>6.8999999999999997E-4</v>
      </c>
      <c r="H10">
        <v>0.7339</v>
      </c>
      <c r="I10">
        <v>1</v>
      </c>
    </row>
    <row r="11" spans="1:9" x14ac:dyDescent="0.25">
      <c r="A11" t="s">
        <v>601</v>
      </c>
      <c r="B11">
        <v>525000</v>
      </c>
      <c r="C11">
        <v>0.2351</v>
      </c>
      <c r="D11">
        <v>-5.1299999999999998E-2</v>
      </c>
      <c r="E11">
        <v>4.7699999999999999E-3</v>
      </c>
      <c r="F11">
        <v>3.6099999999999999E-3</v>
      </c>
      <c r="G11">
        <v>1.16E-3</v>
      </c>
      <c r="H11">
        <v>0.80800000000000005</v>
      </c>
      <c r="I11">
        <v>1</v>
      </c>
    </row>
    <row r="12" spans="1:9" x14ac:dyDescent="0.25">
      <c r="A12" t="s">
        <v>602</v>
      </c>
      <c r="B12">
        <v>700000</v>
      </c>
      <c r="C12">
        <v>0.24440000000000001</v>
      </c>
      <c r="D12">
        <v>-5.1900000000000002E-2</v>
      </c>
      <c r="E12">
        <v>4.2900000000000004E-3</v>
      </c>
      <c r="F12">
        <v>3.3800000000000002E-3</v>
      </c>
      <c r="G12">
        <v>9.1E-4</v>
      </c>
      <c r="H12">
        <v>0.77890000000000004</v>
      </c>
      <c r="I12">
        <v>1</v>
      </c>
    </row>
    <row r="13" spans="1:9" x14ac:dyDescent="0.25">
      <c r="A13" t="s">
        <v>603</v>
      </c>
      <c r="B13">
        <v>875000</v>
      </c>
      <c r="C13">
        <v>0.25430000000000003</v>
      </c>
      <c r="D13">
        <v>-5.28E-2</v>
      </c>
      <c r="E13">
        <v>3.98E-3</v>
      </c>
      <c r="F13">
        <v>3.2100000000000002E-3</v>
      </c>
      <c r="G13">
        <v>7.6999999999999996E-4</v>
      </c>
      <c r="H13">
        <v>0.75880000000000003</v>
      </c>
      <c r="I13">
        <v>1</v>
      </c>
    </row>
    <row r="14" spans="1:9" x14ac:dyDescent="0.25">
      <c r="A14" t="s">
        <v>604</v>
      </c>
      <c r="B14">
        <v>975000</v>
      </c>
      <c r="C14">
        <v>0.26190000000000002</v>
      </c>
      <c r="D14">
        <v>-5.3499999999999999E-2</v>
      </c>
      <c r="E14">
        <v>3.8300000000000001E-3</v>
      </c>
      <c r="F14">
        <v>3.1199999999999999E-3</v>
      </c>
      <c r="G14">
        <v>7.1000000000000002E-4</v>
      </c>
      <c r="H14">
        <v>0.75160000000000005</v>
      </c>
      <c r="I14">
        <v>1</v>
      </c>
    </row>
    <row r="15" spans="1:9" x14ac:dyDescent="0.25">
      <c r="A15" t="s">
        <v>605</v>
      </c>
      <c r="B15">
        <v>3000000</v>
      </c>
      <c r="C15">
        <v>0.41310000000000002</v>
      </c>
      <c r="D15">
        <v>-4.4600000000000001E-2</v>
      </c>
      <c r="E15">
        <v>4.2100000000000002E-3</v>
      </c>
      <c r="F15">
        <v>3.3899999999999998E-3</v>
      </c>
      <c r="G15">
        <v>8.1999999999999998E-4</v>
      </c>
      <c r="H15">
        <v>0.4294</v>
      </c>
      <c r="I15">
        <v>0.9627</v>
      </c>
    </row>
    <row r="16" spans="1:9" x14ac:dyDescent="0.25">
      <c r="A16" t="s">
        <v>606</v>
      </c>
      <c r="B16">
        <v>3000000</v>
      </c>
      <c r="C16">
        <v>0.38919999999999999</v>
      </c>
      <c r="D16">
        <v>-4.3700000000000003E-2</v>
      </c>
      <c r="E16">
        <v>4.13E-3</v>
      </c>
      <c r="F16">
        <v>3.3600000000000001E-3</v>
      </c>
      <c r="G16">
        <v>7.7999999999999999E-4</v>
      </c>
      <c r="H16">
        <v>0.43419999999999997</v>
      </c>
      <c r="I16">
        <v>0.96779999999999999</v>
      </c>
    </row>
    <row r="17" spans="1:9" x14ac:dyDescent="0.25">
      <c r="A17" t="s">
        <v>607</v>
      </c>
      <c r="B17">
        <v>3000000</v>
      </c>
      <c r="C17">
        <v>0.37130000000000002</v>
      </c>
      <c r="D17">
        <v>-4.3900000000000002E-2</v>
      </c>
      <c r="E17">
        <v>4.1900000000000001E-3</v>
      </c>
      <c r="F17">
        <v>3.3800000000000002E-3</v>
      </c>
      <c r="G17">
        <v>8.0999999999999996E-4</v>
      </c>
      <c r="H17">
        <v>0.42280000000000001</v>
      </c>
      <c r="I17">
        <v>0.97440000000000004</v>
      </c>
    </row>
    <row r="18" spans="1:9" x14ac:dyDescent="0.25">
      <c r="A18" t="s">
        <v>608</v>
      </c>
      <c r="B18">
        <v>2900000</v>
      </c>
      <c r="C18">
        <v>0.34320000000000001</v>
      </c>
      <c r="D18">
        <v>-4.4400000000000002E-2</v>
      </c>
      <c r="E18">
        <v>4.15E-3</v>
      </c>
      <c r="F18">
        <v>3.29E-3</v>
      </c>
      <c r="G18">
        <v>8.5999999999999998E-4</v>
      </c>
      <c r="H18">
        <v>0.45600000000000002</v>
      </c>
      <c r="I18">
        <v>0.97650000000000003</v>
      </c>
    </row>
    <row r="19" spans="1:9" x14ac:dyDescent="0.25">
      <c r="A19" t="s">
        <v>609</v>
      </c>
      <c r="B19">
        <v>1050000</v>
      </c>
      <c r="C19">
        <v>0.18609999999999999</v>
      </c>
      <c r="D19">
        <v>-3.1699999999999999E-2</v>
      </c>
      <c r="E19">
        <v>4.3899999999999998E-3</v>
      </c>
      <c r="F19">
        <v>3.5599999999999998E-3</v>
      </c>
      <c r="G19">
        <v>8.4000000000000003E-4</v>
      </c>
      <c r="H19">
        <v>0.624</v>
      </c>
      <c r="I19">
        <v>0.92810000000000004</v>
      </c>
    </row>
    <row r="20" spans="1:9" x14ac:dyDescent="0.25">
      <c r="A20" t="s">
        <v>610</v>
      </c>
      <c r="B20">
        <v>1050000</v>
      </c>
      <c r="C20">
        <v>0.17069999999999999</v>
      </c>
      <c r="D20">
        <v>-2.81E-2</v>
      </c>
      <c r="E20">
        <v>4.3400000000000001E-3</v>
      </c>
      <c r="F20">
        <v>3.5599999999999998E-3</v>
      </c>
      <c r="G20">
        <v>7.9000000000000001E-4</v>
      </c>
      <c r="H20">
        <v>0.61</v>
      </c>
      <c r="I20">
        <v>0.94489999999999996</v>
      </c>
    </row>
    <row r="21" spans="1:9" x14ac:dyDescent="0.25">
      <c r="A21" t="s">
        <v>611</v>
      </c>
      <c r="B21">
        <v>3000000</v>
      </c>
      <c r="C21">
        <v>8.7499999999999994E-2</v>
      </c>
      <c r="D21">
        <v>-2.9100000000000001E-2</v>
      </c>
      <c r="E21">
        <v>5.6899999999999997E-3</v>
      </c>
      <c r="F21">
        <v>5.1900000000000002E-3</v>
      </c>
      <c r="G21">
        <v>5.0000000000000001E-4</v>
      </c>
      <c r="H21">
        <v>0.50529999999999997</v>
      </c>
      <c r="I21">
        <v>0.1512</v>
      </c>
    </row>
    <row r="22" spans="1:9" x14ac:dyDescent="0.25">
      <c r="A22" t="s">
        <v>612</v>
      </c>
      <c r="B22">
        <v>1050000</v>
      </c>
      <c r="C22">
        <v>0.16819999999999999</v>
      </c>
      <c r="D22">
        <v>-2.7300000000000001E-2</v>
      </c>
      <c r="E22">
        <v>4.3600000000000002E-3</v>
      </c>
      <c r="F22">
        <v>3.5599999999999998E-3</v>
      </c>
      <c r="G22">
        <v>8.0000000000000004E-4</v>
      </c>
      <c r="H22">
        <v>0.61240000000000006</v>
      </c>
      <c r="I22">
        <v>0.93740000000000001</v>
      </c>
    </row>
    <row r="23" spans="1:9" x14ac:dyDescent="0.25">
      <c r="A23" t="s">
        <v>613</v>
      </c>
      <c r="B23">
        <v>425000</v>
      </c>
      <c r="C23">
        <v>5.8500000000000003E-2</v>
      </c>
      <c r="D23">
        <v>-2.5100000000000001E-2</v>
      </c>
      <c r="E23">
        <v>5.28E-3</v>
      </c>
      <c r="F23">
        <v>3.79E-3</v>
      </c>
      <c r="G23">
        <v>1.49E-3</v>
      </c>
      <c r="H23">
        <v>0.7772</v>
      </c>
      <c r="I23">
        <v>0.98150000000000004</v>
      </c>
    </row>
    <row r="24" spans="1:9" x14ac:dyDescent="0.25">
      <c r="A24" t="s">
        <v>614</v>
      </c>
      <c r="B24">
        <v>1150000</v>
      </c>
      <c r="C24">
        <v>0.15820000000000001</v>
      </c>
      <c r="D24">
        <v>-2.64E-2</v>
      </c>
      <c r="E24">
        <v>4.1900000000000001E-3</v>
      </c>
      <c r="F24">
        <v>3.48E-3</v>
      </c>
      <c r="G24">
        <v>7.2000000000000005E-4</v>
      </c>
      <c r="H24">
        <v>0.61260000000000003</v>
      </c>
      <c r="I24">
        <v>0.93079999999999996</v>
      </c>
    </row>
    <row r="25" spans="1:9" x14ac:dyDescent="0.25">
      <c r="A25" t="s">
        <v>615</v>
      </c>
      <c r="B25">
        <v>500000</v>
      </c>
      <c r="C25">
        <v>2.3E-2</v>
      </c>
      <c r="D25">
        <v>-2.01E-2</v>
      </c>
      <c r="E25">
        <v>4.4099999999999999E-3</v>
      </c>
      <c r="F25">
        <v>3.14E-3</v>
      </c>
      <c r="G25">
        <v>1.2700000000000001E-3</v>
      </c>
      <c r="H25">
        <v>0.91759999999999997</v>
      </c>
      <c r="I25">
        <v>0.8972</v>
      </c>
    </row>
    <row r="26" spans="1:9" x14ac:dyDescent="0.25">
      <c r="A26" t="s">
        <v>616</v>
      </c>
      <c r="B26">
        <v>1200000</v>
      </c>
      <c r="C26">
        <v>0.122</v>
      </c>
      <c r="D26">
        <v>-0.02</v>
      </c>
      <c r="E26">
        <v>3.8E-3</v>
      </c>
      <c r="F26">
        <v>3.1700000000000001E-3</v>
      </c>
      <c r="G26">
        <v>6.4000000000000005E-4</v>
      </c>
      <c r="H26">
        <v>0.67410000000000003</v>
      </c>
      <c r="I26">
        <v>0.96819999999999995</v>
      </c>
    </row>
    <row r="27" spans="1:9" x14ac:dyDescent="0.25">
      <c r="A27" t="s">
        <v>617</v>
      </c>
      <c r="B27">
        <v>3000000</v>
      </c>
      <c r="C27">
        <v>0.47370000000000001</v>
      </c>
      <c r="D27">
        <v>-0.1027</v>
      </c>
      <c r="E27">
        <v>3.8E-3</v>
      </c>
      <c r="F27">
        <v>3.13E-3</v>
      </c>
      <c r="G27">
        <v>6.7000000000000002E-4</v>
      </c>
      <c r="H27">
        <v>0.68779999999999997</v>
      </c>
      <c r="I27">
        <v>0.73770000000000002</v>
      </c>
    </row>
    <row r="28" spans="1:9" x14ac:dyDescent="0.25">
      <c r="A28" t="s">
        <v>618</v>
      </c>
      <c r="B28">
        <v>2600000</v>
      </c>
      <c r="C28">
        <v>0.69179999999999997</v>
      </c>
      <c r="D28">
        <v>-0.15110000000000001</v>
      </c>
      <c r="E28">
        <v>6.6699999999999997E-3</v>
      </c>
      <c r="F28">
        <v>5.4099999999999999E-3</v>
      </c>
      <c r="G28">
        <v>1.2700000000000001E-3</v>
      </c>
      <c r="H28">
        <v>0.54890000000000005</v>
      </c>
      <c r="I28">
        <v>1.7299999999999999E-2</v>
      </c>
    </row>
    <row r="29" spans="1:9" x14ac:dyDescent="0.25">
      <c r="A29" t="s">
        <v>619</v>
      </c>
      <c r="B29">
        <v>2100000</v>
      </c>
      <c r="C29">
        <v>0.87739999999999996</v>
      </c>
      <c r="D29">
        <v>-0.20399999999999999</v>
      </c>
      <c r="E29">
        <v>6.45E-3</v>
      </c>
      <c r="F29">
        <v>4.5300000000000002E-3</v>
      </c>
      <c r="G29">
        <v>1.92E-3</v>
      </c>
      <c r="H29">
        <v>0.74050000000000005</v>
      </c>
      <c r="I29">
        <v>2.3699999999999999E-2</v>
      </c>
    </row>
    <row r="30" spans="1:9" x14ac:dyDescent="0.25">
      <c r="A30" t="s">
        <v>620</v>
      </c>
      <c r="B30">
        <v>3000000</v>
      </c>
      <c r="C30">
        <v>0.48430000000000001</v>
      </c>
      <c r="D30">
        <v>-0.1148</v>
      </c>
      <c r="E30">
        <v>4.7400000000000003E-3</v>
      </c>
      <c r="F30">
        <v>4.1999999999999997E-3</v>
      </c>
      <c r="G30">
        <v>5.4000000000000001E-4</v>
      </c>
      <c r="H30">
        <v>0.60140000000000005</v>
      </c>
      <c r="I30">
        <v>0.40989999999999999</v>
      </c>
    </row>
    <row r="31" spans="1:9" x14ac:dyDescent="0.25">
      <c r="A31" t="s">
        <v>621</v>
      </c>
      <c r="B31">
        <v>3000000</v>
      </c>
      <c r="C31">
        <v>0.92779999999999996</v>
      </c>
      <c r="D31">
        <v>-0.217</v>
      </c>
      <c r="E31">
        <v>5.2100000000000002E-3</v>
      </c>
      <c r="F31">
        <v>4.2500000000000003E-3</v>
      </c>
      <c r="G31">
        <v>9.7000000000000005E-4</v>
      </c>
      <c r="H31">
        <v>0.62480000000000002</v>
      </c>
      <c r="I31">
        <v>0.32950000000000002</v>
      </c>
    </row>
    <row r="32" spans="1:9" x14ac:dyDescent="0.25">
      <c r="A32" t="s">
        <v>622</v>
      </c>
      <c r="B32">
        <v>2900000</v>
      </c>
      <c r="C32">
        <v>0.9042</v>
      </c>
      <c r="D32">
        <v>-0.2152</v>
      </c>
      <c r="E32">
        <v>5.4000000000000003E-3</v>
      </c>
      <c r="F32">
        <v>4.4000000000000003E-3</v>
      </c>
      <c r="G32">
        <v>1E-3</v>
      </c>
      <c r="H32">
        <v>0.67659999999999998</v>
      </c>
      <c r="I32">
        <v>0.18890000000000001</v>
      </c>
    </row>
    <row r="33" spans="1:9" x14ac:dyDescent="0.25">
      <c r="A33" t="s">
        <v>623</v>
      </c>
      <c r="B33">
        <v>2300000</v>
      </c>
      <c r="C33">
        <v>0.3972</v>
      </c>
      <c r="D33">
        <v>-7.7899999999999997E-2</v>
      </c>
      <c r="E33">
        <v>4.1599999999999996E-3</v>
      </c>
      <c r="F33">
        <v>3.3700000000000002E-3</v>
      </c>
      <c r="G33">
        <v>7.9000000000000001E-4</v>
      </c>
      <c r="H33">
        <v>0.68359999999999999</v>
      </c>
      <c r="I33">
        <v>0.72419999999999995</v>
      </c>
    </row>
    <row r="34" spans="1:9" x14ac:dyDescent="0.25">
      <c r="A34" t="s">
        <v>624</v>
      </c>
      <c r="B34">
        <v>3000000</v>
      </c>
      <c r="C34">
        <v>0.34150000000000003</v>
      </c>
      <c r="D34">
        <v>-6.7100000000000007E-2</v>
      </c>
      <c r="E34">
        <v>3.81E-3</v>
      </c>
      <c r="F34">
        <v>3.1900000000000001E-3</v>
      </c>
      <c r="G34">
        <v>6.0999999999999997E-4</v>
      </c>
      <c r="H34">
        <v>0.68</v>
      </c>
      <c r="I34">
        <v>0.7117</v>
      </c>
    </row>
    <row r="35" spans="1:9" x14ac:dyDescent="0.25">
      <c r="A35" t="s">
        <v>625</v>
      </c>
      <c r="B35">
        <v>3000000</v>
      </c>
      <c r="C35">
        <v>0.31859999999999999</v>
      </c>
      <c r="D35">
        <v>-6.3600000000000004E-2</v>
      </c>
      <c r="E35">
        <v>3.5500000000000002E-3</v>
      </c>
      <c r="F35">
        <v>2.8300000000000001E-3</v>
      </c>
      <c r="G35">
        <v>7.2000000000000005E-4</v>
      </c>
      <c r="H35">
        <v>0.69289999999999996</v>
      </c>
      <c r="I35">
        <v>0.80920000000000003</v>
      </c>
    </row>
    <row r="36" spans="1:9" x14ac:dyDescent="0.25">
      <c r="A36" t="s">
        <v>626</v>
      </c>
      <c r="B36">
        <v>2200000</v>
      </c>
      <c r="C36">
        <v>0.3226</v>
      </c>
      <c r="D36">
        <v>-5.8500000000000003E-2</v>
      </c>
      <c r="E36">
        <v>4.2100000000000002E-3</v>
      </c>
      <c r="F36">
        <v>3.4199999999999999E-3</v>
      </c>
      <c r="G36">
        <v>7.9000000000000001E-4</v>
      </c>
      <c r="H36">
        <v>0.65469999999999995</v>
      </c>
      <c r="I36">
        <v>0.76819999999999999</v>
      </c>
    </row>
    <row r="37" spans="1:9" x14ac:dyDescent="0.25">
      <c r="A37" t="s">
        <v>627</v>
      </c>
      <c r="B37">
        <v>2300000</v>
      </c>
      <c r="C37">
        <v>0.1145</v>
      </c>
      <c r="D37">
        <v>7.0000000000000001E-3</v>
      </c>
      <c r="E37">
        <v>5.6699999999999997E-3</v>
      </c>
      <c r="F37">
        <v>4.6699999999999997E-3</v>
      </c>
      <c r="G37">
        <v>1E-3</v>
      </c>
      <c r="H37">
        <v>0.52439999999999998</v>
      </c>
      <c r="I37">
        <v>0.45190000000000002</v>
      </c>
    </row>
    <row r="38" spans="1:9" x14ac:dyDescent="0.25">
      <c r="A38" t="s">
        <v>628</v>
      </c>
      <c r="B38">
        <v>3000000</v>
      </c>
      <c r="C38">
        <v>0.34660000000000002</v>
      </c>
      <c r="D38">
        <v>-4.7199999999999999E-2</v>
      </c>
      <c r="E38">
        <v>6.5300000000000002E-3</v>
      </c>
      <c r="F38">
        <v>5.4999999999999997E-3</v>
      </c>
      <c r="G38">
        <v>1.0300000000000001E-3</v>
      </c>
      <c r="H38">
        <v>0.46329999999999999</v>
      </c>
      <c r="I38">
        <v>0.1171</v>
      </c>
    </row>
    <row r="39" spans="1:9" x14ac:dyDescent="0.25">
      <c r="A39" t="s">
        <v>629</v>
      </c>
      <c r="B39">
        <v>1800000</v>
      </c>
      <c r="C39">
        <v>6.0999999999999999E-2</v>
      </c>
      <c r="D39">
        <v>1.26E-2</v>
      </c>
      <c r="E39">
        <v>4.0000000000000001E-3</v>
      </c>
      <c r="F39">
        <v>3.0100000000000001E-3</v>
      </c>
      <c r="G39">
        <v>9.8999999999999999E-4</v>
      </c>
      <c r="H39">
        <v>0.6734</v>
      </c>
      <c r="I39">
        <v>0.87319999999999998</v>
      </c>
    </row>
    <row r="40" spans="1:9" x14ac:dyDescent="0.25">
      <c r="A40" t="s">
        <v>630</v>
      </c>
      <c r="B40">
        <v>3000000</v>
      </c>
      <c r="C40">
        <v>0.42909999999999998</v>
      </c>
      <c r="D40">
        <v>-8.8499999999999995E-2</v>
      </c>
      <c r="E40">
        <v>4.2100000000000002E-3</v>
      </c>
      <c r="F40">
        <v>3.3999999999999998E-3</v>
      </c>
      <c r="G40">
        <v>8.0999999999999996E-4</v>
      </c>
      <c r="H40">
        <v>0.65529999999999999</v>
      </c>
      <c r="I40">
        <v>0.67469999999999997</v>
      </c>
    </row>
    <row r="41" spans="1:9" x14ac:dyDescent="0.25">
      <c r="A41" t="s">
        <v>631</v>
      </c>
      <c r="B41">
        <v>3000000</v>
      </c>
      <c r="C41">
        <v>0.1202</v>
      </c>
      <c r="D41">
        <v>-1.5800000000000002E-2</v>
      </c>
      <c r="E41">
        <v>8.6800000000000002E-3</v>
      </c>
      <c r="F41">
        <v>6.2700000000000004E-3</v>
      </c>
      <c r="G41">
        <v>2.3999999999999998E-3</v>
      </c>
      <c r="H41">
        <v>0.1915</v>
      </c>
      <c r="I41">
        <v>0.20319999999999999</v>
      </c>
    </row>
    <row r="42" spans="1:9" x14ac:dyDescent="0.25">
      <c r="A42" t="s">
        <v>632</v>
      </c>
      <c r="B42">
        <v>3000000</v>
      </c>
      <c r="C42">
        <v>0.47489999999999999</v>
      </c>
      <c r="D42">
        <v>-0.107</v>
      </c>
      <c r="E42">
        <v>4.28E-3</v>
      </c>
      <c r="F42">
        <v>3.4199999999999999E-3</v>
      </c>
      <c r="G42">
        <v>8.5999999999999998E-4</v>
      </c>
      <c r="H42">
        <v>0.64239999999999997</v>
      </c>
      <c r="I42">
        <v>0.70320000000000005</v>
      </c>
    </row>
    <row r="43" spans="1:9" x14ac:dyDescent="0.25">
      <c r="A43" t="s">
        <v>633</v>
      </c>
      <c r="B43">
        <v>3000000</v>
      </c>
      <c r="C43">
        <v>0.4466</v>
      </c>
      <c r="D43">
        <v>-9.8900000000000002E-2</v>
      </c>
      <c r="E43">
        <v>3.8600000000000001E-3</v>
      </c>
      <c r="F43">
        <v>2.7799999999999999E-3</v>
      </c>
      <c r="G43">
        <v>1.08E-3</v>
      </c>
      <c r="H43">
        <v>0.72970000000000002</v>
      </c>
      <c r="I43">
        <v>0.82269999999999999</v>
      </c>
    </row>
    <row r="44" spans="1:9" x14ac:dyDescent="0.25">
      <c r="A44" t="s">
        <v>634</v>
      </c>
      <c r="B44">
        <v>2700000</v>
      </c>
      <c r="C44">
        <v>0.4133</v>
      </c>
      <c r="D44">
        <v>-6.88E-2</v>
      </c>
      <c r="E44">
        <v>4.3800000000000002E-3</v>
      </c>
      <c r="F44">
        <v>3.4499999999999999E-3</v>
      </c>
      <c r="G44">
        <v>9.3000000000000005E-4</v>
      </c>
      <c r="H44">
        <v>0.58399999999999996</v>
      </c>
      <c r="I44">
        <v>0.74119999999999997</v>
      </c>
    </row>
    <row r="45" spans="1:9" x14ac:dyDescent="0.25">
      <c r="A45" t="s">
        <v>635</v>
      </c>
      <c r="B45">
        <v>3000000</v>
      </c>
      <c r="C45">
        <v>0.45200000000000001</v>
      </c>
      <c r="D45">
        <v>-9.0899999999999995E-2</v>
      </c>
      <c r="E45">
        <v>4.2199999999999998E-3</v>
      </c>
      <c r="F45">
        <v>3.2000000000000002E-3</v>
      </c>
      <c r="G45">
        <v>1.01E-3</v>
      </c>
      <c r="H45">
        <v>0.62509999999999999</v>
      </c>
      <c r="I45">
        <v>0.78259999999999996</v>
      </c>
    </row>
    <row r="46" spans="1:9" x14ac:dyDescent="0.25">
      <c r="A46" t="s">
        <v>636</v>
      </c>
      <c r="B46">
        <v>3000000</v>
      </c>
      <c r="C46">
        <v>0</v>
      </c>
      <c r="D46">
        <v>0</v>
      </c>
      <c r="E46">
        <v>3.3E-3</v>
      </c>
      <c r="F46">
        <v>2.7899999999999999E-3</v>
      </c>
      <c r="G46">
        <v>5.0000000000000001E-4</v>
      </c>
      <c r="H46">
        <v>0.76870000000000005</v>
      </c>
      <c r="I46">
        <v>0.76900000000000002</v>
      </c>
    </row>
    <row r="47" spans="1:9" x14ac:dyDescent="0.25">
      <c r="A47" t="s">
        <v>637</v>
      </c>
      <c r="B47">
        <v>3000000</v>
      </c>
      <c r="C47">
        <v>0.57389999999999997</v>
      </c>
      <c r="D47">
        <v>-0.1326</v>
      </c>
      <c r="E47">
        <v>3.7599999999999999E-3</v>
      </c>
      <c r="F47">
        <v>3.0400000000000002E-3</v>
      </c>
      <c r="G47">
        <v>7.2000000000000005E-4</v>
      </c>
      <c r="H47">
        <v>0.73360000000000003</v>
      </c>
      <c r="I47">
        <v>0.72019999999999995</v>
      </c>
    </row>
    <row r="48" spans="1:9" x14ac:dyDescent="0.25">
      <c r="A48" t="s">
        <v>638</v>
      </c>
      <c r="B48">
        <v>2400000</v>
      </c>
      <c r="C48">
        <v>0.1938</v>
      </c>
      <c r="D48">
        <v>-2.3400000000000001E-2</v>
      </c>
      <c r="E48">
        <v>3.6600000000000001E-3</v>
      </c>
      <c r="F48">
        <v>2.7599999999999999E-3</v>
      </c>
      <c r="G48">
        <v>8.9999999999999998E-4</v>
      </c>
      <c r="H48">
        <v>0.71050000000000002</v>
      </c>
      <c r="I48">
        <v>0.8538</v>
      </c>
    </row>
    <row r="49" spans="1:9" x14ac:dyDescent="0.25">
      <c r="A49" t="s">
        <v>639</v>
      </c>
      <c r="B49">
        <v>3000000</v>
      </c>
      <c r="C49">
        <v>0.4083</v>
      </c>
      <c r="D49">
        <v>-7.6999999999999999E-2</v>
      </c>
      <c r="E49">
        <v>3.9399999999999999E-3</v>
      </c>
      <c r="F49">
        <v>3.0500000000000002E-3</v>
      </c>
      <c r="G49">
        <v>8.8000000000000003E-4</v>
      </c>
      <c r="H49">
        <v>0.64249999999999996</v>
      </c>
      <c r="I49">
        <v>0.79610000000000003</v>
      </c>
    </row>
    <row r="50" spans="1:9" x14ac:dyDescent="0.25">
      <c r="A50" t="s">
        <v>640</v>
      </c>
      <c r="B50">
        <v>3000000</v>
      </c>
      <c r="C50">
        <v>0.40960000000000002</v>
      </c>
      <c r="D50">
        <v>-7.6700000000000004E-2</v>
      </c>
      <c r="E50">
        <v>4.0099999999999997E-3</v>
      </c>
      <c r="F50">
        <v>3.1199999999999999E-3</v>
      </c>
      <c r="G50">
        <v>8.8999999999999995E-4</v>
      </c>
      <c r="H50">
        <v>0.62360000000000004</v>
      </c>
      <c r="I50">
        <v>0.79669999999999996</v>
      </c>
    </row>
    <row r="51" spans="1:9" x14ac:dyDescent="0.25">
      <c r="A51" t="s">
        <v>641</v>
      </c>
      <c r="B51">
        <v>1250000</v>
      </c>
      <c r="C51">
        <v>0.18079999999999999</v>
      </c>
      <c r="D51">
        <v>-1.9900000000000001E-2</v>
      </c>
      <c r="E51">
        <v>5.0600000000000003E-3</v>
      </c>
      <c r="F51">
        <v>3.2799999999999999E-3</v>
      </c>
      <c r="G51">
        <v>1.7899999999999999E-3</v>
      </c>
      <c r="H51">
        <v>0.7339</v>
      </c>
      <c r="I51">
        <v>0.84379999999999999</v>
      </c>
    </row>
    <row r="52" spans="1:9" x14ac:dyDescent="0.25">
      <c r="A52" t="s">
        <v>642</v>
      </c>
      <c r="B52">
        <v>1200000</v>
      </c>
      <c r="C52">
        <v>0.17130000000000001</v>
      </c>
      <c r="D52">
        <v>-1.5599999999999999E-2</v>
      </c>
      <c r="E52">
        <v>5.0000000000000001E-3</v>
      </c>
      <c r="F52">
        <v>3.48E-3</v>
      </c>
      <c r="G52">
        <v>1.5200000000000001E-3</v>
      </c>
      <c r="H52">
        <v>0.70399999999999996</v>
      </c>
      <c r="I52">
        <v>0.83169999999999999</v>
      </c>
    </row>
    <row r="53" spans="1:9" x14ac:dyDescent="0.25">
      <c r="A53" t="s">
        <v>643</v>
      </c>
      <c r="B53">
        <v>2200000</v>
      </c>
      <c r="C53">
        <v>0.20330000000000001</v>
      </c>
      <c r="D53">
        <v>-2.47E-2</v>
      </c>
      <c r="E53">
        <v>3.8E-3</v>
      </c>
      <c r="F53">
        <v>2.81E-3</v>
      </c>
      <c r="G53">
        <v>9.8999999999999999E-4</v>
      </c>
      <c r="H53">
        <v>0.72589999999999999</v>
      </c>
      <c r="I53">
        <v>0.83930000000000005</v>
      </c>
    </row>
    <row r="54" spans="1:9" x14ac:dyDescent="0.25">
      <c r="A54" t="s">
        <v>644</v>
      </c>
      <c r="B54">
        <v>3000000</v>
      </c>
      <c r="C54">
        <v>0.47449999999999998</v>
      </c>
      <c r="D54">
        <v>-9.6799999999999997E-2</v>
      </c>
      <c r="E54">
        <v>5.4599999999999996E-3</v>
      </c>
      <c r="F54">
        <v>4.45E-3</v>
      </c>
      <c r="G54">
        <v>1E-3</v>
      </c>
      <c r="H54">
        <v>0.50019999999999998</v>
      </c>
      <c r="I54">
        <v>0.51829999999999998</v>
      </c>
    </row>
    <row r="55" spans="1:9" x14ac:dyDescent="0.25">
      <c r="A55" t="s">
        <v>645</v>
      </c>
      <c r="B55">
        <v>3000000</v>
      </c>
      <c r="C55">
        <v>0.46029999999999999</v>
      </c>
      <c r="D55">
        <v>-9.3600000000000003E-2</v>
      </c>
      <c r="E55">
        <v>5.7400000000000003E-3</v>
      </c>
      <c r="F55">
        <v>4.5999999999999999E-3</v>
      </c>
      <c r="G55">
        <v>1.14E-3</v>
      </c>
      <c r="H55">
        <v>0.48039999999999999</v>
      </c>
      <c r="I55">
        <v>0.45419999999999999</v>
      </c>
    </row>
    <row r="56" spans="1:9" x14ac:dyDescent="0.25">
      <c r="A56" t="s">
        <v>646</v>
      </c>
      <c r="B56">
        <v>3000000</v>
      </c>
      <c r="C56">
        <v>0.33239999999999997</v>
      </c>
      <c r="D56">
        <v>-6.6000000000000003E-2</v>
      </c>
      <c r="E56">
        <v>5.79E-3</v>
      </c>
      <c r="F56">
        <v>4.4799999999999996E-3</v>
      </c>
      <c r="G56">
        <v>1.31E-3</v>
      </c>
      <c r="H56">
        <v>0.4995</v>
      </c>
      <c r="I56">
        <v>0.48720000000000002</v>
      </c>
    </row>
    <row r="57" spans="1:9" x14ac:dyDescent="0.25">
      <c r="A57" t="s">
        <v>647</v>
      </c>
      <c r="B57">
        <v>3000000</v>
      </c>
      <c r="C57">
        <v>0.38300000000000001</v>
      </c>
      <c r="D57">
        <v>-0.1072</v>
      </c>
      <c r="E57">
        <v>6.7000000000000002E-3</v>
      </c>
      <c r="F57">
        <v>4.5999999999999999E-3</v>
      </c>
      <c r="G57">
        <v>2.0999999999999999E-3</v>
      </c>
      <c r="H57">
        <v>0.47170000000000001</v>
      </c>
      <c r="I57">
        <v>0.44259999999999999</v>
      </c>
    </row>
    <row r="58" spans="1:9" x14ac:dyDescent="0.25">
      <c r="A58" t="s">
        <v>648</v>
      </c>
      <c r="B58">
        <v>3000000</v>
      </c>
      <c r="C58">
        <v>0.41349999999999998</v>
      </c>
      <c r="D58">
        <v>-8.9300000000000004E-2</v>
      </c>
      <c r="E58">
        <v>8.1899999999999994E-3</v>
      </c>
      <c r="F58">
        <v>5.2399999999999999E-3</v>
      </c>
      <c r="G58">
        <v>2.9499999999999999E-3</v>
      </c>
      <c r="H58">
        <v>0.37640000000000001</v>
      </c>
      <c r="I58">
        <v>0.40629999999999999</v>
      </c>
    </row>
    <row r="59" spans="1:9" x14ac:dyDescent="0.25">
      <c r="A59" t="s">
        <v>649</v>
      </c>
      <c r="B59">
        <v>3000000</v>
      </c>
      <c r="C59">
        <v>0.68330000000000002</v>
      </c>
      <c r="D59">
        <v>-0.1394</v>
      </c>
      <c r="E59">
        <v>5.5100000000000001E-3</v>
      </c>
      <c r="F59">
        <v>4.4099999999999999E-3</v>
      </c>
      <c r="G59">
        <v>1.1100000000000001E-3</v>
      </c>
      <c r="H59">
        <v>0.59230000000000005</v>
      </c>
      <c r="I59">
        <v>0.35339999999999999</v>
      </c>
    </row>
    <row r="60" spans="1:9" x14ac:dyDescent="0.25">
      <c r="A60" t="s">
        <v>650</v>
      </c>
      <c r="B60">
        <v>3000000</v>
      </c>
      <c r="C60">
        <v>0.38879999999999998</v>
      </c>
      <c r="D60">
        <v>-7.5300000000000006E-2</v>
      </c>
      <c r="E60">
        <v>3.9699999999999996E-3</v>
      </c>
      <c r="F60">
        <v>3.0200000000000001E-3</v>
      </c>
      <c r="G60">
        <v>9.5E-4</v>
      </c>
      <c r="H60">
        <v>0.64270000000000005</v>
      </c>
      <c r="I60">
        <v>0.81299999999999994</v>
      </c>
    </row>
    <row r="61" spans="1:9" x14ac:dyDescent="0.25">
      <c r="A61" t="s">
        <v>651</v>
      </c>
      <c r="B61">
        <v>3000000</v>
      </c>
      <c r="C61">
        <v>0.28910000000000002</v>
      </c>
      <c r="D61">
        <v>-9.74E-2</v>
      </c>
      <c r="E61">
        <v>7.9299999999999995E-3</v>
      </c>
      <c r="F61">
        <v>5.13E-3</v>
      </c>
      <c r="G61">
        <v>2.8E-3</v>
      </c>
      <c r="H61">
        <v>0.43540000000000001</v>
      </c>
      <c r="I61">
        <v>0.38629999999999998</v>
      </c>
    </row>
    <row r="62" spans="1:9" x14ac:dyDescent="0.25">
      <c r="A62" t="s">
        <v>652</v>
      </c>
      <c r="B62">
        <v>3000000</v>
      </c>
      <c r="C62">
        <v>0.66220000000000001</v>
      </c>
      <c r="D62">
        <v>-0.13320000000000001</v>
      </c>
      <c r="E62">
        <v>5.6699999999999997E-3</v>
      </c>
      <c r="F62">
        <v>4.47E-3</v>
      </c>
      <c r="G62">
        <v>1.2099999999999999E-3</v>
      </c>
      <c r="H62">
        <v>0.58550000000000002</v>
      </c>
      <c r="I62">
        <v>0.36370000000000002</v>
      </c>
    </row>
    <row r="63" spans="1:9" x14ac:dyDescent="0.25">
      <c r="A63" t="s">
        <v>653</v>
      </c>
      <c r="B63">
        <v>3000000</v>
      </c>
      <c r="C63">
        <v>0.66900000000000004</v>
      </c>
      <c r="D63">
        <v>-0.1283</v>
      </c>
      <c r="E63">
        <v>5.8700000000000002E-3</v>
      </c>
      <c r="F63">
        <v>4.9399999999999999E-3</v>
      </c>
      <c r="G63">
        <v>9.3000000000000005E-4</v>
      </c>
      <c r="H63">
        <v>0.58409999999999995</v>
      </c>
      <c r="I63">
        <v>7.4999999999999997E-2</v>
      </c>
    </row>
    <row r="64" spans="1:9" x14ac:dyDescent="0.25">
      <c r="A64" t="s">
        <v>654</v>
      </c>
      <c r="B64">
        <v>3000000</v>
      </c>
      <c r="C64">
        <v>0.68089999999999995</v>
      </c>
      <c r="D64">
        <v>-0.1338</v>
      </c>
      <c r="E64">
        <v>5.9199999999999999E-3</v>
      </c>
      <c r="F64">
        <v>4.9899999999999996E-3</v>
      </c>
      <c r="G64">
        <v>9.3000000000000005E-4</v>
      </c>
      <c r="H64">
        <v>0.59089999999999998</v>
      </c>
      <c r="I64">
        <v>2.5899999999999999E-2</v>
      </c>
    </row>
    <row r="65" spans="1:9" x14ac:dyDescent="0.25">
      <c r="A65" t="s">
        <v>655</v>
      </c>
      <c r="B65">
        <v>3000000</v>
      </c>
      <c r="C65">
        <v>0.74890000000000001</v>
      </c>
      <c r="D65">
        <v>-0.1565</v>
      </c>
      <c r="E65">
        <v>5.7099999999999998E-3</v>
      </c>
      <c r="F65">
        <v>4.7999999999999996E-3</v>
      </c>
      <c r="G65">
        <v>8.9999999999999998E-4</v>
      </c>
      <c r="H65">
        <v>0.62819999999999998</v>
      </c>
      <c r="I65">
        <v>2.9600000000000001E-2</v>
      </c>
    </row>
    <row r="66" spans="1:9" x14ac:dyDescent="0.25">
      <c r="A66" t="s">
        <v>656</v>
      </c>
      <c r="B66">
        <v>1050000</v>
      </c>
      <c r="C66">
        <v>0.47460000000000002</v>
      </c>
      <c r="D66">
        <v>-0.1028</v>
      </c>
      <c r="E66">
        <v>5.9800000000000001E-3</v>
      </c>
      <c r="F66">
        <v>5.0000000000000001E-3</v>
      </c>
      <c r="G66">
        <v>9.7999999999999997E-4</v>
      </c>
      <c r="H66">
        <v>0.63729999999999998</v>
      </c>
      <c r="I66">
        <v>0.50029999999999997</v>
      </c>
    </row>
    <row r="67" spans="1:9" x14ac:dyDescent="0.25">
      <c r="A67" t="s">
        <v>657</v>
      </c>
      <c r="B67">
        <v>3000000</v>
      </c>
      <c r="C67">
        <v>0.40200000000000002</v>
      </c>
      <c r="D67">
        <v>-6.3700000000000007E-2</v>
      </c>
      <c r="E67">
        <v>6.6699999999999997E-3</v>
      </c>
      <c r="F67">
        <v>5.13E-3</v>
      </c>
      <c r="G67">
        <v>1.5399999999999999E-3</v>
      </c>
      <c r="H67">
        <v>0.43380000000000002</v>
      </c>
      <c r="I67">
        <v>0.32850000000000001</v>
      </c>
    </row>
    <row r="68" spans="1:9" x14ac:dyDescent="0.25">
      <c r="A68" t="s">
        <v>658</v>
      </c>
      <c r="B68">
        <v>2400000</v>
      </c>
      <c r="C68">
        <v>0.32440000000000002</v>
      </c>
      <c r="D68">
        <v>-5.2699999999999997E-2</v>
      </c>
      <c r="E68">
        <v>6.3499999999999997E-3</v>
      </c>
      <c r="F68">
        <v>4.9100000000000003E-3</v>
      </c>
      <c r="G68">
        <v>1.4400000000000001E-3</v>
      </c>
      <c r="H68">
        <v>0.34470000000000001</v>
      </c>
      <c r="I68">
        <v>0.64270000000000005</v>
      </c>
    </row>
    <row r="69" spans="1:9" x14ac:dyDescent="0.25">
      <c r="A69" t="s">
        <v>659</v>
      </c>
      <c r="B69">
        <v>2900000</v>
      </c>
      <c r="C69">
        <v>0.26400000000000001</v>
      </c>
      <c r="D69">
        <v>-4.19E-2</v>
      </c>
      <c r="E69">
        <v>5.7099999999999998E-3</v>
      </c>
      <c r="F69">
        <v>4.8900000000000002E-3</v>
      </c>
      <c r="G69">
        <v>8.3000000000000001E-4</v>
      </c>
      <c r="H69">
        <v>0.40129999999999999</v>
      </c>
      <c r="I69">
        <v>0.4516</v>
      </c>
    </row>
    <row r="70" spans="1:9" x14ac:dyDescent="0.25">
      <c r="A70" t="s">
        <v>660</v>
      </c>
      <c r="B70">
        <v>3000000</v>
      </c>
      <c r="C70">
        <v>0.1067</v>
      </c>
      <c r="D70">
        <v>-1.8100000000000002E-2</v>
      </c>
      <c r="E70">
        <v>3.0200000000000001E-3</v>
      </c>
      <c r="F70">
        <v>2.4199999999999998E-3</v>
      </c>
      <c r="G70">
        <v>5.9999999999999995E-4</v>
      </c>
      <c r="H70">
        <v>0.77500000000000002</v>
      </c>
      <c r="I70">
        <v>0.84570000000000001</v>
      </c>
    </row>
    <row r="71" spans="1:9" x14ac:dyDescent="0.25">
      <c r="A71" t="s">
        <v>661</v>
      </c>
      <c r="B71">
        <v>175000</v>
      </c>
      <c r="C71">
        <v>4.1999999999999997E-3</v>
      </c>
      <c r="D71">
        <v>-2.3E-3</v>
      </c>
      <c r="E71">
        <v>1.2070000000000001E-2</v>
      </c>
      <c r="F71">
        <v>7.5700000000000003E-3</v>
      </c>
      <c r="G71">
        <v>4.4999999999999997E-3</v>
      </c>
      <c r="H71">
        <v>0.61760000000000004</v>
      </c>
      <c r="I71">
        <v>0.41810000000000003</v>
      </c>
    </row>
    <row r="72" spans="1:9" x14ac:dyDescent="0.25">
      <c r="A72" t="s">
        <v>662</v>
      </c>
      <c r="B72">
        <v>3000000</v>
      </c>
      <c r="C72">
        <v>0.53810000000000002</v>
      </c>
      <c r="D72">
        <v>-0.1226</v>
      </c>
      <c r="E72">
        <v>5.4400000000000004E-3</v>
      </c>
      <c r="F72">
        <v>4.1200000000000004E-3</v>
      </c>
      <c r="G72">
        <v>1.32E-3</v>
      </c>
      <c r="H72">
        <v>0.59430000000000005</v>
      </c>
      <c r="I72">
        <v>0.52510000000000001</v>
      </c>
    </row>
    <row r="73" spans="1:9" x14ac:dyDescent="0.25">
      <c r="A73" t="s">
        <v>663</v>
      </c>
      <c r="B73">
        <v>3000000</v>
      </c>
      <c r="C73">
        <v>0.55400000000000005</v>
      </c>
      <c r="D73">
        <v>-9.4200000000000006E-2</v>
      </c>
      <c r="E73">
        <v>7.4900000000000001E-3</v>
      </c>
      <c r="F73">
        <v>5.9300000000000004E-3</v>
      </c>
      <c r="G73">
        <v>1.56E-3</v>
      </c>
      <c r="H73">
        <v>0.3281</v>
      </c>
      <c r="I73">
        <v>0.12839999999999999</v>
      </c>
    </row>
    <row r="74" spans="1:9" x14ac:dyDescent="0.25">
      <c r="A74" t="s">
        <v>664</v>
      </c>
      <c r="B74">
        <v>3000000</v>
      </c>
      <c r="C74">
        <v>0.52380000000000004</v>
      </c>
      <c r="D74">
        <v>-9.8299999999999998E-2</v>
      </c>
      <c r="E74">
        <v>7.4599999999999996E-3</v>
      </c>
      <c r="F74">
        <v>5.8100000000000001E-3</v>
      </c>
      <c r="G74">
        <v>1.65E-3</v>
      </c>
      <c r="H74">
        <v>0.32979999999999998</v>
      </c>
      <c r="I74">
        <v>0.1973</v>
      </c>
    </row>
    <row r="75" spans="1:9" x14ac:dyDescent="0.25">
      <c r="A75" t="s">
        <v>665</v>
      </c>
      <c r="B75">
        <v>3000000</v>
      </c>
      <c r="C75">
        <v>0.34899999999999998</v>
      </c>
      <c r="D75">
        <v>-6.0600000000000001E-2</v>
      </c>
      <c r="E75">
        <v>7.2100000000000003E-3</v>
      </c>
      <c r="F75">
        <v>5.77E-3</v>
      </c>
      <c r="G75">
        <v>1.4400000000000001E-3</v>
      </c>
      <c r="H75">
        <v>0.3251</v>
      </c>
      <c r="I75">
        <v>0.2205</v>
      </c>
    </row>
    <row r="76" spans="1:9" x14ac:dyDescent="0.25">
      <c r="A76" t="s">
        <v>666</v>
      </c>
      <c r="B76">
        <v>3000000</v>
      </c>
      <c r="C76">
        <v>0.17680000000000001</v>
      </c>
      <c r="D76">
        <v>-2.2100000000000002E-2</v>
      </c>
      <c r="E76">
        <v>7.0400000000000003E-3</v>
      </c>
      <c r="F76">
        <v>5.7299999999999999E-3</v>
      </c>
      <c r="G76">
        <v>1.31E-3</v>
      </c>
      <c r="H76">
        <v>0.317</v>
      </c>
      <c r="I76">
        <v>0.2477</v>
      </c>
    </row>
    <row r="77" spans="1:9" x14ac:dyDescent="0.25">
      <c r="A77" t="s">
        <v>667</v>
      </c>
      <c r="B77">
        <v>3000000</v>
      </c>
      <c r="C77">
        <v>0.19209999999999999</v>
      </c>
      <c r="D77">
        <v>-2.2100000000000002E-2</v>
      </c>
      <c r="E77">
        <v>7.1199999999999996E-3</v>
      </c>
      <c r="F77">
        <v>5.62E-3</v>
      </c>
      <c r="G77">
        <v>1.5E-3</v>
      </c>
      <c r="H77">
        <v>0.314</v>
      </c>
      <c r="I77">
        <v>0.31519999999999998</v>
      </c>
    </row>
    <row r="78" spans="1:9" x14ac:dyDescent="0.25">
      <c r="A78" t="s">
        <v>668</v>
      </c>
      <c r="B78">
        <v>3000000</v>
      </c>
      <c r="C78">
        <v>0.37880000000000003</v>
      </c>
      <c r="D78">
        <v>-6.25E-2</v>
      </c>
      <c r="E78">
        <v>6.1900000000000002E-3</v>
      </c>
      <c r="F78">
        <v>4.79E-3</v>
      </c>
      <c r="G78">
        <v>1.41E-3</v>
      </c>
      <c r="H78">
        <v>0.3579</v>
      </c>
      <c r="I78">
        <v>0.58789999999999998</v>
      </c>
    </row>
    <row r="79" spans="1:9" x14ac:dyDescent="0.25">
      <c r="A79" t="s">
        <v>669</v>
      </c>
      <c r="B79">
        <v>3000000</v>
      </c>
      <c r="C79">
        <v>0.5605</v>
      </c>
      <c r="D79">
        <v>-0.1084</v>
      </c>
      <c r="E79">
        <v>6.3800000000000003E-3</v>
      </c>
      <c r="F79">
        <v>4.6699999999999997E-3</v>
      </c>
      <c r="G79">
        <v>1.7099999999999999E-3</v>
      </c>
      <c r="H79">
        <v>0.37669999999999998</v>
      </c>
      <c r="I79">
        <v>0.61299999999999999</v>
      </c>
    </row>
    <row r="80" spans="1:9" x14ac:dyDescent="0.25">
      <c r="A80" t="s">
        <v>670</v>
      </c>
      <c r="B80">
        <v>3000000</v>
      </c>
      <c r="C80">
        <v>0</v>
      </c>
      <c r="D80">
        <v>0</v>
      </c>
      <c r="E80">
        <v>5.5399999999999998E-3</v>
      </c>
      <c r="F80">
        <v>4.8900000000000002E-3</v>
      </c>
      <c r="G80">
        <v>6.4999999999999997E-4</v>
      </c>
      <c r="H80">
        <v>0.41599999999999998</v>
      </c>
      <c r="I80">
        <v>0.41570000000000001</v>
      </c>
    </row>
    <row r="81" spans="1:9" x14ac:dyDescent="0.25">
      <c r="A81" t="s">
        <v>671</v>
      </c>
      <c r="B81">
        <v>3000000</v>
      </c>
      <c r="C81">
        <v>0</v>
      </c>
      <c r="D81">
        <v>0</v>
      </c>
      <c r="E81">
        <v>5.79E-3</v>
      </c>
      <c r="F81">
        <v>5.0099999999999997E-3</v>
      </c>
      <c r="G81">
        <v>7.7999999999999999E-4</v>
      </c>
      <c r="H81">
        <v>0.40050000000000002</v>
      </c>
      <c r="I81">
        <v>0.40050000000000002</v>
      </c>
    </row>
    <row r="82" spans="1:9" x14ac:dyDescent="0.25">
      <c r="A82" t="s">
        <v>672</v>
      </c>
      <c r="B82">
        <v>3000000</v>
      </c>
      <c r="C82">
        <v>0</v>
      </c>
      <c r="D82">
        <v>0</v>
      </c>
      <c r="E82">
        <v>4.5599999999999998E-3</v>
      </c>
      <c r="F82">
        <v>4.0400000000000002E-3</v>
      </c>
      <c r="G82">
        <v>5.1999999999999995E-4</v>
      </c>
      <c r="H82">
        <v>0.56389999999999996</v>
      </c>
      <c r="I82">
        <v>0.56399999999999995</v>
      </c>
    </row>
    <row r="83" spans="1:9" x14ac:dyDescent="0.25">
      <c r="A83" t="s">
        <v>673</v>
      </c>
      <c r="B83">
        <v>3000000</v>
      </c>
      <c r="C83">
        <v>0.40720000000000001</v>
      </c>
      <c r="D83">
        <v>-8.2299999999999998E-2</v>
      </c>
      <c r="E83">
        <v>5.0600000000000003E-3</v>
      </c>
      <c r="F83">
        <v>4.5399999999999998E-3</v>
      </c>
      <c r="G83">
        <v>5.1999999999999995E-4</v>
      </c>
      <c r="H83">
        <v>0.55269999999999997</v>
      </c>
      <c r="I83">
        <v>0.34279999999999999</v>
      </c>
    </row>
    <row r="84" spans="1:9" x14ac:dyDescent="0.25">
      <c r="A84" t="s">
        <v>674</v>
      </c>
      <c r="B84">
        <v>3000000</v>
      </c>
      <c r="C84">
        <v>0.31940000000000002</v>
      </c>
      <c r="D84">
        <v>-6.13E-2</v>
      </c>
      <c r="E84">
        <v>4.9300000000000004E-3</v>
      </c>
      <c r="F84">
        <v>4.4600000000000004E-3</v>
      </c>
      <c r="G84">
        <v>4.6999999999999999E-4</v>
      </c>
      <c r="H84">
        <v>0.55589999999999995</v>
      </c>
      <c r="I84">
        <v>0.37659999999999999</v>
      </c>
    </row>
    <row r="85" spans="1:9" x14ac:dyDescent="0.25">
      <c r="A85" t="s">
        <v>675</v>
      </c>
      <c r="B85">
        <v>1100000</v>
      </c>
      <c r="C85">
        <v>0.21870000000000001</v>
      </c>
      <c r="D85">
        <v>-3.7900000000000003E-2</v>
      </c>
      <c r="E85">
        <v>4.7099999999999998E-3</v>
      </c>
      <c r="F85">
        <v>3.81E-3</v>
      </c>
      <c r="G85">
        <v>8.9999999999999998E-4</v>
      </c>
      <c r="H85">
        <v>0.60970000000000002</v>
      </c>
      <c r="I85">
        <v>0.87219999999999998</v>
      </c>
    </row>
    <row r="86" spans="1:9" x14ac:dyDescent="0.25">
      <c r="A86" t="s">
        <v>676</v>
      </c>
      <c r="B86">
        <v>1200000</v>
      </c>
      <c r="C86">
        <v>0.12820000000000001</v>
      </c>
      <c r="D86">
        <v>-1.6400000000000001E-2</v>
      </c>
      <c r="E86">
        <v>4.45E-3</v>
      </c>
      <c r="F86">
        <v>3.6700000000000001E-3</v>
      </c>
      <c r="G86">
        <v>7.7999999999999999E-4</v>
      </c>
      <c r="H86">
        <v>0.6099</v>
      </c>
      <c r="I86">
        <v>0.87419999999999998</v>
      </c>
    </row>
    <row r="87" spans="1:9" x14ac:dyDescent="0.25">
      <c r="A87" t="s">
        <v>677</v>
      </c>
      <c r="B87">
        <v>1250000</v>
      </c>
      <c r="C87">
        <v>3.8899999999999997E-2</v>
      </c>
      <c r="D87">
        <v>5.3E-3</v>
      </c>
      <c r="E87">
        <v>4.2300000000000003E-3</v>
      </c>
      <c r="F87">
        <v>3.5100000000000001E-3</v>
      </c>
      <c r="G87">
        <v>7.2000000000000005E-4</v>
      </c>
      <c r="H87">
        <v>0.61199999999999999</v>
      </c>
      <c r="I87">
        <v>0.90190000000000003</v>
      </c>
    </row>
    <row r="88" spans="1:9" x14ac:dyDescent="0.25">
      <c r="A88" t="s">
        <v>678</v>
      </c>
      <c r="B88">
        <v>1400000</v>
      </c>
      <c r="C88">
        <v>-4.9799999999999997E-2</v>
      </c>
      <c r="D88">
        <v>2.6599999999999999E-2</v>
      </c>
      <c r="E88">
        <v>4.0299999999999997E-3</v>
      </c>
      <c r="F88">
        <v>3.4099999999999998E-3</v>
      </c>
      <c r="G88">
        <v>6.2E-4</v>
      </c>
      <c r="H88">
        <v>0.60980000000000001</v>
      </c>
      <c r="I88">
        <v>0.88470000000000004</v>
      </c>
    </row>
    <row r="89" spans="1:9" x14ac:dyDescent="0.25">
      <c r="A89" t="s">
        <v>679</v>
      </c>
      <c r="B89">
        <v>1450000</v>
      </c>
      <c r="C89">
        <v>-0.1052</v>
      </c>
      <c r="D89">
        <v>4.6800000000000001E-2</v>
      </c>
      <c r="E89">
        <v>4.3299999999999996E-3</v>
      </c>
      <c r="F89">
        <v>3.5599999999999998E-3</v>
      </c>
      <c r="G89">
        <v>7.6999999999999996E-4</v>
      </c>
      <c r="H89">
        <v>0.52029999999999998</v>
      </c>
      <c r="I89">
        <v>0.90490000000000004</v>
      </c>
    </row>
    <row r="90" spans="1:9" x14ac:dyDescent="0.25">
      <c r="A90" t="s">
        <v>680</v>
      </c>
      <c r="B90">
        <v>3000000</v>
      </c>
      <c r="C90">
        <v>0.38059999999999999</v>
      </c>
      <c r="D90">
        <v>-7.7600000000000002E-2</v>
      </c>
      <c r="E90">
        <v>5.0800000000000003E-3</v>
      </c>
      <c r="F90">
        <v>4.4799999999999996E-3</v>
      </c>
      <c r="G90">
        <v>5.9999999999999995E-4</v>
      </c>
      <c r="H90">
        <v>0.55289999999999995</v>
      </c>
      <c r="I90">
        <v>0.39429999999999998</v>
      </c>
    </row>
    <row r="91" spans="1:9" x14ac:dyDescent="0.25">
      <c r="A91" t="s">
        <v>681</v>
      </c>
      <c r="B91">
        <v>3000000</v>
      </c>
      <c r="C91">
        <v>0.34360000000000002</v>
      </c>
      <c r="D91">
        <v>-7.0499999999999993E-2</v>
      </c>
      <c r="E91">
        <v>4.96E-3</v>
      </c>
      <c r="F91">
        <v>4.3099999999999996E-3</v>
      </c>
      <c r="G91">
        <v>6.4999999999999997E-4</v>
      </c>
      <c r="H91">
        <v>0.54930000000000001</v>
      </c>
      <c r="I91">
        <v>0.4788</v>
      </c>
    </row>
    <row r="92" spans="1:9" x14ac:dyDescent="0.25">
      <c r="A92" t="s">
        <v>682</v>
      </c>
      <c r="B92">
        <v>3000000</v>
      </c>
      <c r="C92">
        <v>0.3054</v>
      </c>
      <c r="D92">
        <v>-6.3E-2</v>
      </c>
      <c r="E92">
        <v>5.0299999999999997E-3</v>
      </c>
      <c r="F92">
        <v>4.3200000000000001E-3</v>
      </c>
      <c r="G92">
        <v>7.1000000000000002E-4</v>
      </c>
      <c r="H92">
        <v>0.54669999999999996</v>
      </c>
      <c r="I92">
        <v>0.48399999999999999</v>
      </c>
    </row>
    <row r="93" spans="1:9" x14ac:dyDescent="0.25">
      <c r="A93" t="s">
        <v>683</v>
      </c>
      <c r="B93">
        <v>3000000</v>
      </c>
      <c r="C93">
        <v>0.37059999999999998</v>
      </c>
      <c r="D93">
        <v>-8.0500000000000002E-2</v>
      </c>
      <c r="E93">
        <v>4.96E-3</v>
      </c>
      <c r="F93">
        <v>4.3E-3</v>
      </c>
      <c r="G93">
        <v>6.6E-4</v>
      </c>
      <c r="H93">
        <v>0.55259999999999998</v>
      </c>
      <c r="I93">
        <v>0.47810000000000002</v>
      </c>
    </row>
    <row r="94" spans="1:9" x14ac:dyDescent="0.25">
      <c r="A94" t="s">
        <v>684</v>
      </c>
      <c r="B94">
        <v>3000000</v>
      </c>
      <c r="C94">
        <v>0.36180000000000001</v>
      </c>
      <c r="D94">
        <v>-8.4199999999999997E-2</v>
      </c>
      <c r="E94">
        <v>5.11E-3</v>
      </c>
      <c r="F94">
        <v>4.3800000000000002E-3</v>
      </c>
      <c r="G94">
        <v>7.3999999999999999E-4</v>
      </c>
      <c r="H94">
        <v>0.55179999999999996</v>
      </c>
      <c r="I94">
        <v>0.46029999999999999</v>
      </c>
    </row>
    <row r="95" spans="1:9" x14ac:dyDescent="0.25">
      <c r="A95" t="s">
        <v>685</v>
      </c>
      <c r="B95">
        <v>1050000</v>
      </c>
      <c r="C95">
        <v>0.25040000000000001</v>
      </c>
      <c r="D95">
        <v>-4.2900000000000001E-2</v>
      </c>
      <c r="E95">
        <v>5.2599999999999999E-3</v>
      </c>
      <c r="F95">
        <v>4.1200000000000004E-3</v>
      </c>
      <c r="G95">
        <v>1.15E-3</v>
      </c>
      <c r="H95">
        <v>0.5484</v>
      </c>
      <c r="I95">
        <v>0.87250000000000005</v>
      </c>
    </row>
    <row r="96" spans="1:9" x14ac:dyDescent="0.25">
      <c r="A96" t="s">
        <v>686</v>
      </c>
      <c r="B96">
        <v>3000000</v>
      </c>
      <c r="C96">
        <v>0.25940000000000002</v>
      </c>
      <c r="D96">
        <v>-4.9299999999999997E-2</v>
      </c>
      <c r="E96">
        <v>5.0800000000000003E-3</v>
      </c>
      <c r="F96">
        <v>4.4099999999999999E-3</v>
      </c>
      <c r="G96">
        <v>6.6E-4</v>
      </c>
      <c r="H96">
        <v>0.49740000000000001</v>
      </c>
      <c r="I96">
        <v>0.50349999999999995</v>
      </c>
    </row>
    <row r="97" spans="1:9" x14ac:dyDescent="0.25">
      <c r="A97" t="s">
        <v>687</v>
      </c>
      <c r="B97">
        <v>3000000</v>
      </c>
      <c r="C97">
        <v>0.24909999999999999</v>
      </c>
      <c r="D97">
        <v>-5.2499999999999998E-2</v>
      </c>
      <c r="E97">
        <v>5.2500000000000003E-3</v>
      </c>
      <c r="F97">
        <v>4.5199999999999997E-3</v>
      </c>
      <c r="G97">
        <v>7.3999999999999999E-4</v>
      </c>
      <c r="H97">
        <v>0.49669999999999997</v>
      </c>
      <c r="I97">
        <v>0.48149999999999998</v>
      </c>
    </row>
    <row r="98" spans="1:9" x14ac:dyDescent="0.25">
      <c r="A98" t="s">
        <v>688</v>
      </c>
      <c r="B98">
        <v>3000000</v>
      </c>
      <c r="C98">
        <v>0.57469999999999999</v>
      </c>
      <c r="D98">
        <v>-0.13020000000000001</v>
      </c>
      <c r="E98">
        <v>5.5900000000000004E-3</v>
      </c>
      <c r="F98">
        <v>4.5500000000000002E-3</v>
      </c>
      <c r="G98">
        <v>1.0300000000000001E-3</v>
      </c>
      <c r="H98">
        <v>0.49530000000000002</v>
      </c>
      <c r="I98">
        <v>0.47620000000000001</v>
      </c>
    </row>
    <row r="99" spans="1:9" x14ac:dyDescent="0.25">
      <c r="A99" t="s">
        <v>689</v>
      </c>
      <c r="B99">
        <v>3000000</v>
      </c>
      <c r="C99">
        <v>0.43730000000000002</v>
      </c>
      <c r="D99">
        <v>-0.1071</v>
      </c>
      <c r="E99">
        <v>4.6800000000000001E-3</v>
      </c>
      <c r="F99">
        <v>4.0099999999999997E-3</v>
      </c>
      <c r="G99">
        <v>6.8000000000000005E-4</v>
      </c>
      <c r="H99">
        <v>0.5796</v>
      </c>
      <c r="I99">
        <v>0.55940000000000001</v>
      </c>
    </row>
    <row r="100" spans="1:9" x14ac:dyDescent="0.25">
      <c r="A100" t="s">
        <v>690</v>
      </c>
      <c r="B100">
        <v>3000000</v>
      </c>
      <c r="C100">
        <v>0.50039999999999996</v>
      </c>
      <c r="D100">
        <v>-0.125</v>
      </c>
      <c r="E100">
        <v>4.8799999999999998E-3</v>
      </c>
      <c r="F100">
        <v>4.2100000000000002E-3</v>
      </c>
      <c r="G100">
        <v>6.7000000000000002E-4</v>
      </c>
      <c r="H100">
        <v>0.58989999999999998</v>
      </c>
      <c r="I100">
        <v>0.4451</v>
      </c>
    </row>
    <row r="101" spans="1:9" x14ac:dyDescent="0.25">
      <c r="A101" t="s">
        <v>691</v>
      </c>
      <c r="B101">
        <v>3000000</v>
      </c>
      <c r="C101">
        <v>0.61650000000000005</v>
      </c>
      <c r="D101">
        <v>-0.14560000000000001</v>
      </c>
      <c r="E101">
        <v>4.8300000000000001E-3</v>
      </c>
      <c r="F101">
        <v>4.0099999999999997E-3</v>
      </c>
      <c r="G101">
        <v>8.1999999999999998E-4</v>
      </c>
      <c r="H101">
        <v>0.59330000000000005</v>
      </c>
      <c r="I101">
        <v>0.52990000000000004</v>
      </c>
    </row>
    <row r="102" spans="1:9" x14ac:dyDescent="0.25">
      <c r="A102" t="s">
        <v>692</v>
      </c>
      <c r="B102">
        <v>3000000</v>
      </c>
      <c r="C102">
        <v>0.83889999999999998</v>
      </c>
      <c r="D102">
        <v>-0.2064</v>
      </c>
      <c r="E102">
        <v>5.1700000000000001E-3</v>
      </c>
      <c r="F102">
        <v>4.13E-3</v>
      </c>
      <c r="G102">
        <v>1.0399999999999999E-3</v>
      </c>
      <c r="H102">
        <v>0.63060000000000005</v>
      </c>
      <c r="I102">
        <v>0.39639999999999997</v>
      </c>
    </row>
    <row r="103" spans="1:9" x14ac:dyDescent="0.25">
      <c r="A103" t="s">
        <v>693</v>
      </c>
      <c r="B103">
        <v>1500000</v>
      </c>
      <c r="C103">
        <v>0.1009</v>
      </c>
      <c r="D103">
        <v>-3.7000000000000002E-3</v>
      </c>
      <c r="E103">
        <v>4.3899999999999998E-3</v>
      </c>
      <c r="F103">
        <v>3.47E-3</v>
      </c>
      <c r="G103">
        <v>9.2000000000000003E-4</v>
      </c>
      <c r="H103">
        <v>0.60650000000000004</v>
      </c>
      <c r="I103">
        <v>0.87409999999999999</v>
      </c>
    </row>
    <row r="104" spans="1:9" x14ac:dyDescent="0.25">
      <c r="A104" t="s">
        <v>694</v>
      </c>
      <c r="B104">
        <v>1350000</v>
      </c>
      <c r="C104">
        <v>7.6100000000000001E-2</v>
      </c>
      <c r="D104">
        <v>-8.0000000000000004E-4</v>
      </c>
      <c r="E104">
        <v>4.3699999999999998E-3</v>
      </c>
      <c r="F104">
        <v>3.62E-3</v>
      </c>
      <c r="G104">
        <v>7.5000000000000002E-4</v>
      </c>
      <c r="H104">
        <v>0.5665</v>
      </c>
      <c r="I104">
        <v>0.87890000000000001</v>
      </c>
    </row>
    <row r="105" spans="1:9" x14ac:dyDescent="0.25">
      <c r="A105" t="s">
        <v>695</v>
      </c>
      <c r="B105">
        <v>3000000</v>
      </c>
      <c r="C105">
        <v>0.39050000000000001</v>
      </c>
      <c r="D105">
        <v>-9.2299999999999993E-2</v>
      </c>
      <c r="E105">
        <v>4.6499999999999996E-3</v>
      </c>
      <c r="F105">
        <v>4.0800000000000003E-3</v>
      </c>
      <c r="G105">
        <v>5.6999999999999998E-4</v>
      </c>
      <c r="H105">
        <v>0.58709999999999996</v>
      </c>
      <c r="I105">
        <v>0.50139999999999996</v>
      </c>
    </row>
    <row r="106" spans="1:9" x14ac:dyDescent="0.25">
      <c r="A106" t="s">
        <v>696</v>
      </c>
      <c r="B106">
        <v>3000000</v>
      </c>
      <c r="C106">
        <v>0.253</v>
      </c>
      <c r="D106">
        <v>-5.8099999999999999E-2</v>
      </c>
      <c r="E106">
        <v>4.5799999999999999E-3</v>
      </c>
      <c r="F106">
        <v>4.0800000000000003E-3</v>
      </c>
      <c r="G106">
        <v>5.0000000000000001E-4</v>
      </c>
      <c r="H106">
        <v>0.57489999999999997</v>
      </c>
      <c r="I106">
        <v>0.51729999999999998</v>
      </c>
    </row>
    <row r="107" spans="1:9" x14ac:dyDescent="0.25">
      <c r="A107" t="s">
        <v>697</v>
      </c>
      <c r="B107">
        <v>3000000</v>
      </c>
      <c r="C107">
        <v>0.1123</v>
      </c>
      <c r="D107">
        <v>-2.3199999999999998E-2</v>
      </c>
      <c r="E107">
        <v>4.5700000000000003E-3</v>
      </c>
      <c r="F107">
        <v>4.1000000000000003E-3</v>
      </c>
      <c r="G107">
        <v>4.6999999999999999E-4</v>
      </c>
      <c r="H107">
        <v>0.56130000000000002</v>
      </c>
      <c r="I107">
        <v>0.52729999999999999</v>
      </c>
    </row>
    <row r="108" spans="1:9" x14ac:dyDescent="0.25">
      <c r="A108" t="s">
        <v>698</v>
      </c>
      <c r="B108">
        <v>2800000</v>
      </c>
      <c r="C108">
        <v>-2.7199999999999998E-2</v>
      </c>
      <c r="D108">
        <v>1.15E-2</v>
      </c>
      <c r="E108">
        <v>4.5799999999999999E-3</v>
      </c>
      <c r="F108">
        <v>4.1099999999999999E-3</v>
      </c>
      <c r="G108">
        <v>4.8000000000000001E-4</v>
      </c>
      <c r="H108">
        <v>0.55679999999999996</v>
      </c>
      <c r="I108">
        <v>0.55259999999999998</v>
      </c>
    </row>
    <row r="109" spans="1:9" x14ac:dyDescent="0.25">
      <c r="A109" t="s">
        <v>699</v>
      </c>
      <c r="B109">
        <v>2100000</v>
      </c>
      <c r="C109">
        <v>-0.17369999999999999</v>
      </c>
      <c r="D109">
        <v>4.7600000000000003E-2</v>
      </c>
      <c r="E109">
        <v>4.6100000000000004E-3</v>
      </c>
      <c r="F109">
        <v>4.0600000000000002E-3</v>
      </c>
      <c r="G109">
        <v>5.5999999999999995E-4</v>
      </c>
      <c r="H109">
        <v>0.57820000000000005</v>
      </c>
      <c r="I109">
        <v>0.62590000000000001</v>
      </c>
    </row>
    <row r="110" spans="1:9" x14ac:dyDescent="0.25">
      <c r="A110" t="s">
        <v>700</v>
      </c>
      <c r="B110">
        <v>3000000</v>
      </c>
      <c r="C110">
        <v>0.3211</v>
      </c>
      <c r="D110">
        <v>-5.8700000000000002E-2</v>
      </c>
      <c r="E110">
        <v>4.6800000000000001E-3</v>
      </c>
      <c r="F110">
        <v>3.5699999999999998E-3</v>
      </c>
      <c r="G110">
        <v>1.1100000000000001E-3</v>
      </c>
      <c r="H110">
        <v>0.56479999999999997</v>
      </c>
      <c r="I110">
        <v>0.75170000000000003</v>
      </c>
    </row>
    <row r="111" spans="1:9" x14ac:dyDescent="0.25">
      <c r="A111" t="s">
        <v>701</v>
      </c>
      <c r="B111">
        <v>3000000</v>
      </c>
      <c r="C111">
        <v>0</v>
      </c>
      <c r="D111">
        <v>0</v>
      </c>
      <c r="E111">
        <v>3.5200000000000001E-3</v>
      </c>
      <c r="F111">
        <v>3.1199999999999999E-3</v>
      </c>
      <c r="G111">
        <v>4.0000000000000002E-4</v>
      </c>
      <c r="H111">
        <v>0.70489999999999997</v>
      </c>
      <c r="I111">
        <v>0.70540000000000003</v>
      </c>
    </row>
    <row r="112" spans="1:9" x14ac:dyDescent="0.25">
      <c r="A112" t="s">
        <v>702</v>
      </c>
      <c r="B112">
        <v>3000000</v>
      </c>
      <c r="C112">
        <v>-8.6099999999999996E-2</v>
      </c>
      <c r="D112">
        <v>5.45E-2</v>
      </c>
      <c r="E112">
        <v>4.4900000000000001E-3</v>
      </c>
      <c r="F112">
        <v>3.7299999999999998E-3</v>
      </c>
      <c r="G112">
        <v>7.6000000000000004E-4</v>
      </c>
      <c r="H112">
        <v>0.37919999999999998</v>
      </c>
      <c r="I112">
        <v>0.82120000000000004</v>
      </c>
    </row>
    <row r="113" spans="1:9" x14ac:dyDescent="0.25">
      <c r="A113" t="s">
        <v>703</v>
      </c>
      <c r="B113">
        <v>3000000</v>
      </c>
      <c r="C113">
        <v>8.9999999999999993E-3</v>
      </c>
      <c r="D113">
        <v>3.1699999999999999E-2</v>
      </c>
      <c r="E113">
        <v>4.62E-3</v>
      </c>
      <c r="F113">
        <v>3.8899999999999998E-3</v>
      </c>
      <c r="G113">
        <v>7.2999999999999996E-4</v>
      </c>
      <c r="H113">
        <v>0.38319999999999999</v>
      </c>
      <c r="I113">
        <v>0.77680000000000005</v>
      </c>
    </row>
    <row r="114" spans="1:9" x14ac:dyDescent="0.25">
      <c r="A114" t="s">
        <v>704</v>
      </c>
      <c r="B114">
        <v>3000000</v>
      </c>
      <c r="C114">
        <v>9.9400000000000002E-2</v>
      </c>
      <c r="D114">
        <v>1.03E-2</v>
      </c>
      <c r="E114">
        <v>4.6800000000000001E-3</v>
      </c>
      <c r="F114">
        <v>3.8300000000000001E-3</v>
      </c>
      <c r="G114">
        <v>8.4999999999999995E-4</v>
      </c>
      <c r="H114">
        <v>0.38800000000000001</v>
      </c>
      <c r="I114">
        <v>0.80110000000000003</v>
      </c>
    </row>
    <row r="115" spans="1:9" x14ac:dyDescent="0.25">
      <c r="A115" t="s">
        <v>705</v>
      </c>
      <c r="B115">
        <v>2800000</v>
      </c>
      <c r="C115">
        <v>0.192</v>
      </c>
      <c r="D115">
        <v>-1.17E-2</v>
      </c>
      <c r="E115">
        <v>4.9399999999999999E-3</v>
      </c>
      <c r="F115">
        <v>4.0299999999999997E-3</v>
      </c>
      <c r="G115">
        <v>9.1E-4</v>
      </c>
      <c r="H115">
        <v>0.39460000000000001</v>
      </c>
      <c r="I115">
        <v>0.76160000000000005</v>
      </c>
    </row>
    <row r="116" spans="1:9" x14ac:dyDescent="0.25">
      <c r="A116" t="s">
        <v>706</v>
      </c>
      <c r="B116">
        <v>2100000</v>
      </c>
      <c r="C116">
        <v>0.27560000000000001</v>
      </c>
      <c r="D116">
        <v>-3.09E-2</v>
      </c>
      <c r="E116">
        <v>5.4099999999999999E-3</v>
      </c>
      <c r="F116">
        <v>4.2700000000000004E-3</v>
      </c>
      <c r="G116">
        <v>1.14E-3</v>
      </c>
      <c r="H116">
        <v>0.4118</v>
      </c>
      <c r="I116">
        <v>0.76390000000000002</v>
      </c>
    </row>
    <row r="117" spans="1:9" x14ac:dyDescent="0.25">
      <c r="A117" t="s">
        <v>707</v>
      </c>
      <c r="B117">
        <v>1150000</v>
      </c>
      <c r="C117">
        <v>-5.9299999999999999E-2</v>
      </c>
      <c r="D117">
        <v>5.1200000000000002E-2</v>
      </c>
      <c r="E117">
        <v>5.4999999999999997E-3</v>
      </c>
      <c r="F117">
        <v>4.4299999999999999E-3</v>
      </c>
      <c r="G117">
        <v>1.08E-3</v>
      </c>
      <c r="H117">
        <v>0.4264</v>
      </c>
      <c r="I117">
        <v>0.81820000000000004</v>
      </c>
    </row>
    <row r="118" spans="1:9" x14ac:dyDescent="0.25">
      <c r="A118" t="s">
        <v>708</v>
      </c>
      <c r="B118">
        <v>1450000</v>
      </c>
      <c r="C118">
        <v>2.7799999999999998E-2</v>
      </c>
      <c r="D118">
        <v>3.0499999999999999E-2</v>
      </c>
      <c r="E118">
        <v>5.2199999999999998E-3</v>
      </c>
      <c r="F118">
        <v>4.1999999999999997E-3</v>
      </c>
      <c r="G118">
        <v>1.0200000000000001E-3</v>
      </c>
      <c r="H118">
        <v>0.41749999999999998</v>
      </c>
      <c r="I118">
        <v>0.82199999999999995</v>
      </c>
    </row>
    <row r="119" spans="1:9" x14ac:dyDescent="0.25">
      <c r="A119" t="s">
        <v>709</v>
      </c>
      <c r="B119">
        <v>1050000</v>
      </c>
      <c r="C119">
        <v>0.1158</v>
      </c>
      <c r="D119">
        <v>9.4999999999999998E-3</v>
      </c>
      <c r="E119">
        <v>5.8399999999999997E-3</v>
      </c>
      <c r="F119">
        <v>4.4900000000000001E-3</v>
      </c>
      <c r="G119">
        <v>1.3600000000000001E-3</v>
      </c>
      <c r="H119">
        <v>0.43869999999999998</v>
      </c>
      <c r="I119">
        <v>0.82809999999999995</v>
      </c>
    </row>
    <row r="120" spans="1:9" x14ac:dyDescent="0.25">
      <c r="A120" t="s">
        <v>710</v>
      </c>
      <c r="B120">
        <v>600000</v>
      </c>
      <c r="C120">
        <v>0.20380000000000001</v>
      </c>
      <c r="D120">
        <v>-1.0699999999999999E-2</v>
      </c>
      <c r="E120">
        <v>7.1999999999999998E-3</v>
      </c>
      <c r="F120">
        <v>5.0200000000000002E-3</v>
      </c>
      <c r="G120">
        <v>2.1800000000000001E-3</v>
      </c>
      <c r="H120">
        <v>0.47199999999999998</v>
      </c>
      <c r="I120">
        <v>0.85389999999999999</v>
      </c>
    </row>
    <row r="121" spans="1:9" x14ac:dyDescent="0.25">
      <c r="A121" t="s">
        <v>711</v>
      </c>
      <c r="B121">
        <v>3000000</v>
      </c>
      <c r="C121">
        <v>0.33</v>
      </c>
      <c r="D121">
        <v>-3.8800000000000001E-2</v>
      </c>
      <c r="E121">
        <v>7.11E-3</v>
      </c>
      <c r="F121">
        <v>6.0299999999999998E-3</v>
      </c>
      <c r="G121">
        <v>1.08E-3</v>
      </c>
      <c r="H121">
        <v>0.39439999999999997</v>
      </c>
      <c r="I121">
        <v>1.9199999999999998E-2</v>
      </c>
    </row>
    <row r="122" spans="1:9" x14ac:dyDescent="0.25">
      <c r="A122" t="s">
        <v>712</v>
      </c>
      <c r="B122">
        <v>1600000</v>
      </c>
      <c r="C122">
        <v>-4.9399999999999999E-2</v>
      </c>
      <c r="D122">
        <v>5.1700000000000003E-2</v>
      </c>
      <c r="E122">
        <v>5.2300000000000003E-3</v>
      </c>
      <c r="F122">
        <v>4.1799999999999997E-3</v>
      </c>
      <c r="G122">
        <v>1.0499999999999999E-3</v>
      </c>
      <c r="H122">
        <v>0.39329999999999998</v>
      </c>
      <c r="I122">
        <v>0.82640000000000002</v>
      </c>
    </row>
    <row r="123" spans="1:9" x14ac:dyDescent="0.25">
      <c r="A123" t="s">
        <v>713</v>
      </c>
      <c r="B123">
        <v>1950000</v>
      </c>
      <c r="C123">
        <v>3.6600000000000001E-2</v>
      </c>
      <c r="D123">
        <v>3.1099999999999999E-2</v>
      </c>
      <c r="E123">
        <v>5.2199999999999998E-3</v>
      </c>
      <c r="F123">
        <v>4.1799999999999997E-3</v>
      </c>
      <c r="G123">
        <v>1.0399999999999999E-3</v>
      </c>
      <c r="H123">
        <v>0.35049999999999998</v>
      </c>
      <c r="I123">
        <v>0.82730000000000004</v>
      </c>
    </row>
    <row r="124" spans="1:9" x14ac:dyDescent="0.25">
      <c r="A124" t="s">
        <v>714</v>
      </c>
      <c r="B124">
        <v>1450000</v>
      </c>
      <c r="C124">
        <v>0.12859999999999999</v>
      </c>
      <c r="D124">
        <v>9.7000000000000003E-3</v>
      </c>
      <c r="E124">
        <v>5.64E-3</v>
      </c>
      <c r="F124">
        <v>4.3600000000000002E-3</v>
      </c>
      <c r="G124">
        <v>1.2800000000000001E-3</v>
      </c>
      <c r="H124">
        <v>0.40529999999999999</v>
      </c>
      <c r="I124">
        <v>0.81179999999999997</v>
      </c>
    </row>
    <row r="125" spans="1:9" x14ac:dyDescent="0.25">
      <c r="A125" t="s">
        <v>715</v>
      </c>
      <c r="B125">
        <v>1150000</v>
      </c>
      <c r="C125">
        <v>0.21540000000000001</v>
      </c>
      <c r="D125">
        <v>-1.06E-2</v>
      </c>
      <c r="E125">
        <v>6.1599999999999997E-3</v>
      </c>
      <c r="F125">
        <v>4.5399999999999998E-3</v>
      </c>
      <c r="G125">
        <v>1.6199999999999999E-3</v>
      </c>
      <c r="H125">
        <v>0.41899999999999998</v>
      </c>
      <c r="I125">
        <v>0.82420000000000004</v>
      </c>
    </row>
    <row r="126" spans="1:9" x14ac:dyDescent="0.25">
      <c r="A126" t="s">
        <v>716</v>
      </c>
      <c r="B126">
        <v>3000000</v>
      </c>
      <c r="C126">
        <v>0.3448</v>
      </c>
      <c r="D126">
        <v>-3.9100000000000003E-2</v>
      </c>
      <c r="E126">
        <v>7.4599999999999996E-3</v>
      </c>
      <c r="F126">
        <v>6.1900000000000002E-3</v>
      </c>
      <c r="G126">
        <v>1.2800000000000001E-3</v>
      </c>
      <c r="H126">
        <v>0.38500000000000001</v>
      </c>
      <c r="I126">
        <v>8.3999999999999995E-3</v>
      </c>
    </row>
    <row r="127" spans="1:9" x14ac:dyDescent="0.25">
      <c r="A127" t="s">
        <v>717</v>
      </c>
      <c r="B127">
        <v>1500000</v>
      </c>
      <c r="C127">
        <v>5.0700000000000002E-2</v>
      </c>
      <c r="D127">
        <v>3.1300000000000001E-2</v>
      </c>
      <c r="E127">
        <v>5.6800000000000002E-3</v>
      </c>
      <c r="F127">
        <v>4.3400000000000001E-3</v>
      </c>
      <c r="G127">
        <v>1.34E-3</v>
      </c>
      <c r="H127">
        <v>0.38319999999999999</v>
      </c>
      <c r="I127">
        <v>0.82469999999999999</v>
      </c>
    </row>
    <row r="128" spans="1:9" x14ac:dyDescent="0.25">
      <c r="A128" t="s">
        <v>718</v>
      </c>
      <c r="B128">
        <v>1350000</v>
      </c>
      <c r="C128">
        <v>0.13900000000000001</v>
      </c>
      <c r="D128">
        <v>1.0699999999999999E-2</v>
      </c>
      <c r="E128">
        <v>5.9899999999999997E-3</v>
      </c>
      <c r="F128">
        <v>4.47E-3</v>
      </c>
      <c r="G128">
        <v>1.5200000000000001E-3</v>
      </c>
      <c r="H128">
        <v>0.39229999999999998</v>
      </c>
      <c r="I128">
        <v>0.8155</v>
      </c>
    </row>
    <row r="129" spans="1:9" x14ac:dyDescent="0.25">
      <c r="A129" t="s">
        <v>719</v>
      </c>
      <c r="B129">
        <v>3000000</v>
      </c>
      <c r="C129">
        <v>0.27410000000000001</v>
      </c>
      <c r="D129">
        <v>-1.8800000000000001E-2</v>
      </c>
      <c r="E129">
        <v>7.8100000000000001E-3</v>
      </c>
      <c r="F129">
        <v>6.2500000000000003E-3</v>
      </c>
      <c r="G129">
        <v>1.56E-3</v>
      </c>
      <c r="H129">
        <v>0.36720000000000003</v>
      </c>
      <c r="I129">
        <v>8.3999999999999995E-3</v>
      </c>
    </row>
    <row r="130" spans="1:9" x14ac:dyDescent="0.25">
      <c r="A130" t="s">
        <v>720</v>
      </c>
      <c r="B130">
        <v>3000000</v>
      </c>
      <c r="C130">
        <v>0.35589999999999999</v>
      </c>
      <c r="D130">
        <v>-3.8100000000000002E-2</v>
      </c>
      <c r="E130">
        <v>7.5900000000000004E-3</v>
      </c>
      <c r="F130">
        <v>6.1500000000000001E-3</v>
      </c>
      <c r="G130">
        <v>1.4300000000000001E-3</v>
      </c>
      <c r="H130">
        <v>0.37340000000000001</v>
      </c>
      <c r="I130">
        <v>4.0599999999999997E-2</v>
      </c>
    </row>
    <row r="131" spans="1:9" x14ac:dyDescent="0.25">
      <c r="A131" t="s">
        <v>721</v>
      </c>
      <c r="B131">
        <v>3000000</v>
      </c>
      <c r="C131">
        <v>0.1041</v>
      </c>
      <c r="D131">
        <v>-6.3E-3</v>
      </c>
      <c r="E131">
        <v>4.28E-3</v>
      </c>
      <c r="F131">
        <v>3.65E-3</v>
      </c>
      <c r="G131">
        <v>6.2E-4</v>
      </c>
      <c r="H131">
        <v>0.51729999999999998</v>
      </c>
      <c r="I131">
        <v>0.72629999999999995</v>
      </c>
    </row>
    <row r="132" spans="1:9" x14ac:dyDescent="0.25">
      <c r="A132" t="s">
        <v>722</v>
      </c>
      <c r="B132">
        <v>3000000</v>
      </c>
      <c r="C132">
        <v>8.48E-2</v>
      </c>
      <c r="D132">
        <v>5.9999999999999995E-4</v>
      </c>
      <c r="E132">
        <v>4.3099999999999996E-3</v>
      </c>
      <c r="F132">
        <v>3.6900000000000001E-3</v>
      </c>
      <c r="G132">
        <v>6.0999999999999997E-4</v>
      </c>
      <c r="H132">
        <v>0.51690000000000003</v>
      </c>
      <c r="I132">
        <v>0.70860000000000001</v>
      </c>
    </row>
    <row r="133" spans="1:9" x14ac:dyDescent="0.25">
      <c r="A133" t="s">
        <v>723</v>
      </c>
      <c r="B133">
        <v>2600000</v>
      </c>
      <c r="C133">
        <v>0.1925</v>
      </c>
      <c r="D133">
        <v>-3.4799999999999998E-2</v>
      </c>
      <c r="E133">
        <v>4.1700000000000001E-3</v>
      </c>
      <c r="F133">
        <v>3.5999999999999999E-3</v>
      </c>
      <c r="G133">
        <v>5.6999999999999998E-4</v>
      </c>
      <c r="H133">
        <v>0.59250000000000003</v>
      </c>
      <c r="I133">
        <v>0.72870000000000001</v>
      </c>
    </row>
    <row r="134" spans="1:9" x14ac:dyDescent="0.25">
      <c r="A134" t="s">
        <v>724</v>
      </c>
      <c r="B134">
        <v>625000</v>
      </c>
      <c r="C134">
        <v>0.61950000000000005</v>
      </c>
      <c r="D134">
        <v>-0.1065</v>
      </c>
      <c r="E134">
        <v>2.521E-2</v>
      </c>
      <c r="F134">
        <v>4.5799999999999999E-3</v>
      </c>
      <c r="G134">
        <v>2.0639999999999999E-2</v>
      </c>
      <c r="H134">
        <v>0.53410000000000002</v>
      </c>
      <c r="I134">
        <v>1.0200000000000001E-2</v>
      </c>
    </row>
    <row r="135" spans="1:9" x14ac:dyDescent="0.25">
      <c r="A135" t="s">
        <v>725</v>
      </c>
      <c r="B135">
        <v>350000</v>
      </c>
      <c r="C135">
        <v>0.61250000000000004</v>
      </c>
      <c r="D135">
        <v>-0.10879999999999999</v>
      </c>
      <c r="E135">
        <v>7.8799999999999999E-3</v>
      </c>
      <c r="F135">
        <v>4.9800000000000001E-3</v>
      </c>
      <c r="G135">
        <v>2.8999999999999998E-3</v>
      </c>
      <c r="H135">
        <v>0.56079999999999997</v>
      </c>
      <c r="I135">
        <v>3.8699999999999998E-2</v>
      </c>
    </row>
    <row r="136" spans="1:9" x14ac:dyDescent="0.25">
      <c r="A136" t="s">
        <v>726</v>
      </c>
      <c r="B136">
        <v>3000000</v>
      </c>
      <c r="C136">
        <v>0.67349999999999999</v>
      </c>
      <c r="D136">
        <v>-0.11550000000000001</v>
      </c>
      <c r="E136">
        <v>8.8199999999999997E-3</v>
      </c>
      <c r="F136">
        <v>4.6699999999999997E-3</v>
      </c>
      <c r="G136">
        <v>4.15E-3</v>
      </c>
      <c r="H136">
        <v>0.46660000000000001</v>
      </c>
      <c r="I136">
        <v>1.1900000000000001E-2</v>
      </c>
    </row>
    <row r="137" spans="1:9" x14ac:dyDescent="0.25">
      <c r="A137" t="s">
        <v>727</v>
      </c>
      <c r="B137">
        <v>175000</v>
      </c>
      <c r="C137">
        <v>0.55020000000000002</v>
      </c>
      <c r="D137">
        <v>-9.6000000000000002E-2</v>
      </c>
      <c r="E137">
        <v>2.9270000000000001E-2</v>
      </c>
      <c r="F137">
        <v>6.1000000000000004E-3</v>
      </c>
      <c r="G137">
        <v>2.317E-2</v>
      </c>
      <c r="H137">
        <v>0.6089</v>
      </c>
      <c r="I137">
        <v>7.8600000000000003E-2</v>
      </c>
    </row>
    <row r="138" spans="1:9" x14ac:dyDescent="0.25">
      <c r="A138" t="s">
        <v>728</v>
      </c>
      <c r="B138">
        <v>900000</v>
      </c>
      <c r="C138">
        <v>0.52410000000000001</v>
      </c>
      <c r="D138">
        <v>-8.2299999999999998E-2</v>
      </c>
      <c r="E138">
        <v>2.359E-2</v>
      </c>
      <c r="F138">
        <v>4.3299999999999996E-3</v>
      </c>
      <c r="G138">
        <v>1.9259999999999999E-2</v>
      </c>
      <c r="H138">
        <v>0.503</v>
      </c>
      <c r="I138">
        <v>4.3E-3</v>
      </c>
    </row>
    <row r="139" spans="1:9" x14ac:dyDescent="0.25">
      <c r="A139" t="s">
        <v>729</v>
      </c>
      <c r="B139">
        <v>3000000</v>
      </c>
      <c r="C139">
        <v>0.7319</v>
      </c>
      <c r="D139">
        <v>-0.16270000000000001</v>
      </c>
      <c r="E139">
        <v>5.3499999999999997E-3</v>
      </c>
      <c r="F139">
        <v>4.64E-3</v>
      </c>
      <c r="G139">
        <v>7.1000000000000002E-4</v>
      </c>
      <c r="H139">
        <v>0.58030000000000004</v>
      </c>
      <c r="I139">
        <v>0.2203</v>
      </c>
    </row>
    <row r="140" spans="1:9" x14ac:dyDescent="0.25">
      <c r="A140" t="s">
        <v>730</v>
      </c>
      <c r="B140">
        <v>3000000</v>
      </c>
      <c r="C140">
        <v>0.4</v>
      </c>
      <c r="D140">
        <v>-8.0399999999999999E-2</v>
      </c>
      <c r="E140">
        <v>5.1000000000000004E-3</v>
      </c>
      <c r="F140">
        <v>4.5700000000000003E-3</v>
      </c>
      <c r="G140">
        <v>5.2999999999999998E-4</v>
      </c>
      <c r="H140">
        <v>0.54779999999999995</v>
      </c>
      <c r="I140">
        <v>0.34379999999999999</v>
      </c>
    </row>
    <row r="141" spans="1:9" x14ac:dyDescent="0.25">
      <c r="A141" t="s">
        <v>731</v>
      </c>
      <c r="B141">
        <v>3000000</v>
      </c>
      <c r="C141">
        <v>0.46650000000000003</v>
      </c>
      <c r="D141">
        <v>-0.1002</v>
      </c>
      <c r="E141">
        <v>4.8500000000000001E-3</v>
      </c>
      <c r="F141">
        <v>4.2399999999999998E-3</v>
      </c>
      <c r="G141">
        <v>5.9999999999999995E-4</v>
      </c>
      <c r="H141">
        <v>0.55569999999999997</v>
      </c>
      <c r="I141">
        <v>0.46910000000000002</v>
      </c>
    </row>
    <row r="142" spans="1:9" x14ac:dyDescent="0.25">
      <c r="A142" t="s">
        <v>732</v>
      </c>
      <c r="B142">
        <v>3000000</v>
      </c>
      <c r="C142">
        <v>0.55359999999999998</v>
      </c>
      <c r="D142">
        <v>-0.1255</v>
      </c>
      <c r="E142">
        <v>4.9399999999999999E-3</v>
      </c>
      <c r="F142">
        <v>4.2100000000000002E-3</v>
      </c>
      <c r="G142">
        <v>7.2999999999999996E-4</v>
      </c>
      <c r="H142">
        <v>0.56520000000000004</v>
      </c>
      <c r="I142">
        <v>0.48209999999999997</v>
      </c>
    </row>
    <row r="143" spans="1:9" x14ac:dyDescent="0.25">
      <c r="A143" t="s">
        <v>733</v>
      </c>
      <c r="B143">
        <v>2900000</v>
      </c>
      <c r="C143">
        <v>0.73629999999999995</v>
      </c>
      <c r="D143">
        <v>-0.17480000000000001</v>
      </c>
      <c r="E143">
        <v>5.2199999999999998E-3</v>
      </c>
      <c r="F143">
        <v>4.3400000000000001E-3</v>
      </c>
      <c r="G143">
        <v>8.8000000000000003E-4</v>
      </c>
      <c r="H143">
        <v>0.62529999999999997</v>
      </c>
      <c r="I143">
        <v>0.33700000000000002</v>
      </c>
    </row>
    <row r="144" spans="1:9" x14ac:dyDescent="0.25">
      <c r="A144" t="s">
        <v>734</v>
      </c>
      <c r="B144">
        <v>3000000</v>
      </c>
      <c r="C144">
        <v>0.74250000000000005</v>
      </c>
      <c r="D144">
        <v>-0.1734</v>
      </c>
      <c r="E144">
        <v>5.28E-3</v>
      </c>
      <c r="F144">
        <v>4.3600000000000002E-3</v>
      </c>
      <c r="G144">
        <v>9.2000000000000003E-4</v>
      </c>
      <c r="H144">
        <v>0.61560000000000004</v>
      </c>
      <c r="I144">
        <v>0.33329999999999999</v>
      </c>
    </row>
    <row r="145" spans="1:9" x14ac:dyDescent="0.25">
      <c r="A145" t="s">
        <v>735</v>
      </c>
      <c r="B145">
        <v>3000000</v>
      </c>
      <c r="C145">
        <v>0.72899999999999998</v>
      </c>
      <c r="D145">
        <v>-0.17299999999999999</v>
      </c>
      <c r="E145">
        <v>5.2399999999999999E-3</v>
      </c>
      <c r="F145">
        <v>4.3099999999999996E-3</v>
      </c>
      <c r="G145">
        <v>9.3000000000000005E-4</v>
      </c>
      <c r="H145">
        <v>0.62450000000000006</v>
      </c>
      <c r="I145">
        <v>0.34649999999999997</v>
      </c>
    </row>
    <row r="146" spans="1:9" x14ac:dyDescent="0.25">
      <c r="A146" t="s">
        <v>736</v>
      </c>
      <c r="B146">
        <v>2900000</v>
      </c>
      <c r="C146">
        <v>0.71530000000000005</v>
      </c>
      <c r="D146">
        <v>-0.1646</v>
      </c>
      <c r="E146">
        <v>5.64E-3</v>
      </c>
      <c r="F146">
        <v>4.5799999999999999E-3</v>
      </c>
      <c r="G146">
        <v>1.07E-3</v>
      </c>
      <c r="H146">
        <v>0.56620000000000004</v>
      </c>
      <c r="I146">
        <v>0.3468</v>
      </c>
    </row>
    <row r="147" spans="1:9" x14ac:dyDescent="0.25">
      <c r="A147" t="s">
        <v>737</v>
      </c>
      <c r="B147">
        <v>3000000</v>
      </c>
      <c r="C147">
        <v>0.71220000000000006</v>
      </c>
      <c r="D147">
        <v>-0.1661</v>
      </c>
      <c r="E147">
        <v>5.6299999999999996E-3</v>
      </c>
      <c r="F147">
        <v>4.5399999999999998E-3</v>
      </c>
      <c r="G147">
        <v>1.09E-3</v>
      </c>
      <c r="H147">
        <v>0.56430000000000002</v>
      </c>
      <c r="I147">
        <v>0.35699999999999998</v>
      </c>
    </row>
    <row r="148" spans="1:9" x14ac:dyDescent="0.25">
      <c r="A148" t="s">
        <v>738</v>
      </c>
      <c r="B148">
        <v>3000000</v>
      </c>
      <c r="C148">
        <v>0.60260000000000002</v>
      </c>
      <c r="D148">
        <v>-0.1598</v>
      </c>
      <c r="E148">
        <v>3.81E-3</v>
      </c>
      <c r="F148">
        <v>3.0599999999999998E-3</v>
      </c>
      <c r="G148">
        <v>7.6000000000000004E-4</v>
      </c>
      <c r="H148">
        <v>0.80049999999999999</v>
      </c>
      <c r="I148">
        <v>0.57969999999999999</v>
      </c>
    </row>
    <row r="149" spans="1:9" x14ac:dyDescent="0.25">
      <c r="A149" t="s">
        <v>739</v>
      </c>
      <c r="B149">
        <v>3000000</v>
      </c>
      <c r="C149">
        <v>0.63939999999999997</v>
      </c>
      <c r="D149">
        <v>-0.1681</v>
      </c>
      <c r="E149">
        <v>3.9300000000000003E-3</v>
      </c>
      <c r="F149">
        <v>3.1900000000000001E-3</v>
      </c>
      <c r="G149">
        <v>7.3999999999999999E-4</v>
      </c>
      <c r="H149">
        <v>0.78010000000000002</v>
      </c>
      <c r="I149">
        <v>0.56489999999999996</v>
      </c>
    </row>
    <row r="150" spans="1:9" x14ac:dyDescent="0.25">
      <c r="A150" t="s">
        <v>740</v>
      </c>
      <c r="B150">
        <v>3000000</v>
      </c>
      <c r="C150">
        <v>0.59899999999999998</v>
      </c>
      <c r="D150">
        <v>-0.1633</v>
      </c>
      <c r="E150">
        <v>3.6700000000000001E-3</v>
      </c>
      <c r="F150">
        <v>2.9499999999999999E-3</v>
      </c>
      <c r="G150">
        <v>7.2000000000000005E-4</v>
      </c>
      <c r="H150">
        <v>0.82979999999999998</v>
      </c>
      <c r="I150">
        <v>0.58150000000000002</v>
      </c>
    </row>
    <row r="151" spans="1:9" x14ac:dyDescent="0.25">
      <c r="A151" t="s">
        <v>741</v>
      </c>
      <c r="B151">
        <v>3000000</v>
      </c>
      <c r="C151">
        <v>1.1613</v>
      </c>
      <c r="D151">
        <v>-0.23699999999999999</v>
      </c>
      <c r="E151">
        <v>7.9699999999999997E-3</v>
      </c>
      <c r="F151">
        <v>5.4799999999999996E-3</v>
      </c>
      <c r="G151">
        <v>2.49E-3</v>
      </c>
      <c r="H151">
        <v>0.45290000000000002</v>
      </c>
      <c r="I151">
        <v>7.2599999999999998E-2</v>
      </c>
    </row>
    <row r="152" spans="1:9" x14ac:dyDescent="0.25">
      <c r="A152" t="s">
        <v>742</v>
      </c>
      <c r="B152">
        <v>3000000</v>
      </c>
      <c r="C152">
        <v>0.93910000000000005</v>
      </c>
      <c r="D152">
        <v>-0.1855</v>
      </c>
      <c r="E152">
        <v>7.4000000000000003E-3</v>
      </c>
      <c r="F152">
        <v>5.4999999999999997E-3</v>
      </c>
      <c r="G152">
        <v>1.9E-3</v>
      </c>
      <c r="H152">
        <v>0.42959999999999998</v>
      </c>
      <c r="I152">
        <v>0.12859999999999999</v>
      </c>
    </row>
    <row r="153" spans="1:9" x14ac:dyDescent="0.25">
      <c r="A153" t="s">
        <v>743</v>
      </c>
      <c r="B153">
        <v>3000000</v>
      </c>
      <c r="C153">
        <v>0.70289999999999997</v>
      </c>
      <c r="D153">
        <v>-0.12540000000000001</v>
      </c>
      <c r="E153">
        <v>7.1000000000000004E-3</v>
      </c>
      <c r="F153">
        <v>5.62E-3</v>
      </c>
      <c r="G153">
        <v>1.48E-3</v>
      </c>
      <c r="H153">
        <v>0.4032</v>
      </c>
      <c r="I153">
        <v>0.13139999999999999</v>
      </c>
    </row>
    <row r="154" spans="1:9" x14ac:dyDescent="0.25">
      <c r="A154" t="s">
        <v>744</v>
      </c>
      <c r="B154">
        <v>3000000</v>
      </c>
      <c r="C154">
        <v>1.1186</v>
      </c>
      <c r="D154">
        <v>-0.2389</v>
      </c>
      <c r="E154">
        <v>7.0499999999999998E-3</v>
      </c>
      <c r="F154">
        <v>5.13E-3</v>
      </c>
      <c r="G154">
        <v>1.92E-3</v>
      </c>
      <c r="H154">
        <v>0.52800000000000002</v>
      </c>
      <c r="I154">
        <v>7.2400000000000006E-2</v>
      </c>
    </row>
    <row r="155" spans="1:9" x14ac:dyDescent="0.25">
      <c r="A155" t="s">
        <v>745</v>
      </c>
      <c r="B155">
        <v>1250000</v>
      </c>
      <c r="C155">
        <v>0.1055</v>
      </c>
      <c r="D155">
        <v>-2.2700000000000001E-2</v>
      </c>
      <c r="E155">
        <v>6.6699999999999997E-3</v>
      </c>
      <c r="F155">
        <v>5.6800000000000002E-3</v>
      </c>
      <c r="G155">
        <v>9.8999999999999999E-4</v>
      </c>
      <c r="H155">
        <v>0.45500000000000002</v>
      </c>
      <c r="I155">
        <v>0.37980000000000003</v>
      </c>
    </row>
    <row r="156" spans="1:9" x14ac:dyDescent="0.25">
      <c r="A156" t="s">
        <v>746</v>
      </c>
      <c r="B156">
        <v>3000000</v>
      </c>
      <c r="C156">
        <v>8.2100000000000006E-2</v>
      </c>
      <c r="D156">
        <v>-1.89E-2</v>
      </c>
      <c r="E156">
        <v>6.5399999999999998E-3</v>
      </c>
      <c r="F156">
        <v>5.7299999999999999E-3</v>
      </c>
      <c r="G156">
        <v>8.0999999999999996E-4</v>
      </c>
      <c r="H156">
        <v>0.28249999999999997</v>
      </c>
      <c r="I156">
        <v>0.2601</v>
      </c>
    </row>
    <row r="157" spans="1:9" x14ac:dyDescent="0.25">
      <c r="A157" t="s">
        <v>747</v>
      </c>
      <c r="B157">
        <v>3000000</v>
      </c>
      <c r="C157">
        <v>0.60809999999999997</v>
      </c>
      <c r="D157">
        <v>-0.13159999999999999</v>
      </c>
      <c r="E157">
        <v>4.4900000000000001E-3</v>
      </c>
      <c r="F157">
        <v>3.5000000000000001E-3</v>
      </c>
      <c r="G157">
        <v>9.8999999999999999E-4</v>
      </c>
      <c r="H157">
        <v>0.62090000000000001</v>
      </c>
      <c r="I157">
        <v>0.69569999999999999</v>
      </c>
    </row>
    <row r="158" spans="1:9" x14ac:dyDescent="0.25">
      <c r="A158" t="s">
        <v>748</v>
      </c>
      <c r="B158">
        <v>3000000</v>
      </c>
      <c r="C158">
        <v>0.58660000000000001</v>
      </c>
      <c r="D158">
        <v>-0.1192</v>
      </c>
      <c r="E158">
        <v>4.9800000000000001E-3</v>
      </c>
      <c r="F158">
        <v>3.8400000000000001E-3</v>
      </c>
      <c r="G158">
        <v>1.14E-3</v>
      </c>
      <c r="H158">
        <v>0.54069999999999996</v>
      </c>
      <c r="I158">
        <v>0.6825</v>
      </c>
    </row>
    <row r="159" spans="1:9" x14ac:dyDescent="0.25">
      <c r="A159" t="s">
        <v>749</v>
      </c>
      <c r="B159">
        <v>3000000</v>
      </c>
      <c r="C159">
        <v>0.61870000000000003</v>
      </c>
      <c r="D159">
        <v>-0.1396</v>
      </c>
      <c r="E159">
        <v>4.1900000000000001E-3</v>
      </c>
      <c r="F159">
        <v>3.29E-3</v>
      </c>
      <c r="G159">
        <v>8.9999999999999998E-4</v>
      </c>
      <c r="H159">
        <v>0.67320000000000002</v>
      </c>
      <c r="I159">
        <v>0.70109999999999995</v>
      </c>
    </row>
    <row r="160" spans="1:9" x14ac:dyDescent="0.25">
      <c r="A160" t="s">
        <v>750</v>
      </c>
      <c r="B160">
        <v>2900000</v>
      </c>
      <c r="C160">
        <v>0.51149999999999995</v>
      </c>
      <c r="D160">
        <v>-0.1022</v>
      </c>
      <c r="E160">
        <v>4.28E-3</v>
      </c>
      <c r="F160">
        <v>3.4299999999999999E-3</v>
      </c>
      <c r="G160">
        <v>8.4999999999999995E-4</v>
      </c>
      <c r="H160">
        <v>0.61429999999999996</v>
      </c>
      <c r="I160">
        <v>0.72499999999999998</v>
      </c>
    </row>
    <row r="161" spans="1:9" x14ac:dyDescent="0.25">
      <c r="A161" t="s">
        <v>751</v>
      </c>
      <c r="B161">
        <v>3000000</v>
      </c>
      <c r="C161">
        <v>0.71009999999999995</v>
      </c>
      <c r="D161">
        <v>-0.16300000000000001</v>
      </c>
      <c r="E161">
        <v>4.8500000000000001E-3</v>
      </c>
      <c r="F161">
        <v>3.7599999999999999E-3</v>
      </c>
      <c r="G161">
        <v>1.09E-3</v>
      </c>
      <c r="H161">
        <v>0.62739999999999996</v>
      </c>
      <c r="I161">
        <v>0.5847</v>
      </c>
    </row>
    <row r="162" spans="1:9" x14ac:dyDescent="0.25">
      <c r="A162" t="s">
        <v>752</v>
      </c>
      <c r="B162">
        <v>3000000</v>
      </c>
      <c r="C162">
        <v>0.69179999999999997</v>
      </c>
      <c r="D162">
        <v>-0.16689999999999999</v>
      </c>
      <c r="E162">
        <v>4.1799999999999997E-3</v>
      </c>
      <c r="F162">
        <v>3.7499999999999999E-3</v>
      </c>
      <c r="G162">
        <v>4.4000000000000002E-4</v>
      </c>
      <c r="H162">
        <v>0.73839999999999995</v>
      </c>
      <c r="I162">
        <v>0.3599</v>
      </c>
    </row>
    <row r="163" spans="1:9" x14ac:dyDescent="0.25">
      <c r="A163" t="s">
        <v>753</v>
      </c>
      <c r="B163">
        <v>3000000</v>
      </c>
      <c r="C163">
        <v>0</v>
      </c>
      <c r="D163">
        <v>0</v>
      </c>
      <c r="E163">
        <v>7.26E-3</v>
      </c>
      <c r="F163">
        <v>6.1900000000000002E-3</v>
      </c>
      <c r="G163">
        <v>1.07E-3</v>
      </c>
      <c r="H163">
        <v>0.21249999999999999</v>
      </c>
      <c r="I163">
        <v>0.21249999999999999</v>
      </c>
    </row>
    <row r="164" spans="1:9" x14ac:dyDescent="0.25">
      <c r="A164" t="s">
        <v>754</v>
      </c>
      <c r="B164">
        <v>3000000</v>
      </c>
      <c r="C164">
        <v>0</v>
      </c>
      <c r="D164">
        <v>0</v>
      </c>
      <c r="E164">
        <v>7.2199999999999999E-3</v>
      </c>
      <c r="F164">
        <v>5.9500000000000004E-3</v>
      </c>
      <c r="G164">
        <v>1.2700000000000001E-3</v>
      </c>
      <c r="H164">
        <v>0.26800000000000002</v>
      </c>
      <c r="I164">
        <v>0.26800000000000002</v>
      </c>
    </row>
    <row r="165" spans="1:9" x14ac:dyDescent="0.25">
      <c r="A165" t="s">
        <v>755</v>
      </c>
      <c r="B165">
        <v>3000000</v>
      </c>
      <c r="C165">
        <v>0</v>
      </c>
      <c r="D165">
        <v>0</v>
      </c>
      <c r="E165">
        <v>7.1900000000000002E-3</v>
      </c>
      <c r="F165">
        <v>6.0200000000000002E-3</v>
      </c>
      <c r="G165">
        <v>1.1800000000000001E-3</v>
      </c>
      <c r="H165">
        <v>0.25080000000000002</v>
      </c>
      <c r="I165">
        <v>0.25069999999999998</v>
      </c>
    </row>
    <row r="166" spans="1:9" x14ac:dyDescent="0.25">
      <c r="A166" t="s">
        <v>756</v>
      </c>
      <c r="B166">
        <v>3000000</v>
      </c>
      <c r="C166">
        <v>0</v>
      </c>
      <c r="D166">
        <v>0</v>
      </c>
      <c r="E166">
        <v>7.3499999999999998E-3</v>
      </c>
      <c r="F166">
        <v>6.0200000000000002E-3</v>
      </c>
      <c r="G166">
        <v>1.33E-3</v>
      </c>
      <c r="H166">
        <v>0.26350000000000001</v>
      </c>
      <c r="I166">
        <v>0.26350000000000001</v>
      </c>
    </row>
    <row r="167" spans="1:9" x14ac:dyDescent="0.25">
      <c r="A167" t="s">
        <v>757</v>
      </c>
      <c r="B167">
        <v>3000000</v>
      </c>
      <c r="C167">
        <v>0</v>
      </c>
      <c r="D167">
        <v>0</v>
      </c>
      <c r="E167">
        <v>6.4200000000000004E-3</v>
      </c>
      <c r="F167">
        <v>5.3400000000000001E-3</v>
      </c>
      <c r="G167">
        <v>1.07E-3</v>
      </c>
      <c r="H167">
        <v>0.35</v>
      </c>
      <c r="I167">
        <v>0.34989999999999999</v>
      </c>
    </row>
    <row r="168" spans="1:9" x14ac:dyDescent="0.25">
      <c r="A168" t="s">
        <v>758</v>
      </c>
      <c r="B168">
        <v>2500000</v>
      </c>
      <c r="C168">
        <v>9.9599999999999994E-2</v>
      </c>
      <c r="D168">
        <v>-1.1599999999999999E-2</v>
      </c>
      <c r="E168">
        <v>4.5100000000000001E-3</v>
      </c>
      <c r="F168">
        <v>3.8800000000000002E-3</v>
      </c>
      <c r="G168">
        <v>6.3000000000000003E-4</v>
      </c>
      <c r="H168">
        <v>0.55259999999999998</v>
      </c>
      <c r="I168">
        <v>0.67220000000000002</v>
      </c>
    </row>
    <row r="169" spans="1:9" x14ac:dyDescent="0.25">
      <c r="A169" t="s">
        <v>759</v>
      </c>
      <c r="B169">
        <v>275000</v>
      </c>
      <c r="C169">
        <v>0.76290000000000002</v>
      </c>
      <c r="D169">
        <v>-0.17380000000000001</v>
      </c>
      <c r="E169">
        <v>1.8720000000000001E-2</v>
      </c>
      <c r="F169">
        <v>1.1639999999999999E-2</v>
      </c>
      <c r="G169">
        <v>7.0699999999999999E-3</v>
      </c>
      <c r="H169">
        <v>3.7000000000000002E-3</v>
      </c>
      <c r="I169">
        <v>1.26E-2</v>
      </c>
    </row>
    <row r="170" spans="1:9" x14ac:dyDescent="0.25">
      <c r="A170" t="s">
        <v>760</v>
      </c>
      <c r="B170">
        <v>3000000</v>
      </c>
      <c r="C170">
        <v>0.1318</v>
      </c>
      <c r="D170">
        <v>-1.9E-2</v>
      </c>
      <c r="E170">
        <v>4.2500000000000003E-3</v>
      </c>
      <c r="F170">
        <v>3.49E-3</v>
      </c>
      <c r="G170">
        <v>7.6000000000000004E-4</v>
      </c>
      <c r="H170">
        <v>0.63090000000000002</v>
      </c>
      <c r="I170">
        <v>0.70920000000000005</v>
      </c>
    </row>
    <row r="171" spans="1:9" x14ac:dyDescent="0.25">
      <c r="A171" t="s">
        <v>761</v>
      </c>
      <c r="B171">
        <v>3000000</v>
      </c>
      <c r="C171">
        <v>0</v>
      </c>
      <c r="D171">
        <v>0</v>
      </c>
      <c r="E171">
        <v>4.1399999999999996E-3</v>
      </c>
      <c r="F171">
        <v>3.5500000000000002E-3</v>
      </c>
      <c r="G171">
        <v>5.9000000000000003E-4</v>
      </c>
      <c r="H171">
        <v>0.62450000000000006</v>
      </c>
      <c r="I171">
        <v>0.62419999999999998</v>
      </c>
    </row>
    <row r="172" spans="1:9" x14ac:dyDescent="0.25">
      <c r="A172" t="s">
        <v>762</v>
      </c>
      <c r="B172">
        <v>3000000</v>
      </c>
      <c r="C172">
        <v>0</v>
      </c>
      <c r="D172">
        <v>0</v>
      </c>
      <c r="E172">
        <v>3.8600000000000001E-3</v>
      </c>
      <c r="F172">
        <v>3.3500000000000001E-3</v>
      </c>
      <c r="G172">
        <v>5.1999999999999995E-4</v>
      </c>
      <c r="H172">
        <v>0.65910000000000002</v>
      </c>
      <c r="I172">
        <v>0.65910000000000002</v>
      </c>
    </row>
    <row r="173" spans="1:9" x14ac:dyDescent="0.25">
      <c r="A173" t="s">
        <v>763</v>
      </c>
      <c r="B173">
        <v>3000000</v>
      </c>
      <c r="C173">
        <v>0.28510000000000002</v>
      </c>
      <c r="D173">
        <v>-6.25E-2</v>
      </c>
      <c r="E173">
        <v>4.5100000000000001E-3</v>
      </c>
      <c r="F173">
        <v>3.4399999999999999E-3</v>
      </c>
      <c r="G173">
        <v>1.07E-3</v>
      </c>
      <c r="H173">
        <v>0.64939999999999998</v>
      </c>
      <c r="I173">
        <v>0.70720000000000005</v>
      </c>
    </row>
    <row r="174" spans="1:9" x14ac:dyDescent="0.25">
      <c r="A174" t="s">
        <v>764</v>
      </c>
      <c r="B174">
        <v>1750000</v>
      </c>
      <c r="C174">
        <v>0.2417</v>
      </c>
      <c r="D174">
        <v>-4.9399999999999999E-2</v>
      </c>
      <c r="E174">
        <v>5.8399999999999997E-3</v>
      </c>
      <c r="F174">
        <v>3.96E-3</v>
      </c>
      <c r="G174">
        <v>1.8799999999999999E-3</v>
      </c>
      <c r="H174">
        <v>0.61260000000000003</v>
      </c>
      <c r="I174">
        <v>0.7661</v>
      </c>
    </row>
    <row r="175" spans="1:9" x14ac:dyDescent="0.25">
      <c r="A175" t="s">
        <v>765</v>
      </c>
      <c r="B175">
        <v>3000000</v>
      </c>
      <c r="C175">
        <v>0.21590000000000001</v>
      </c>
      <c r="D175">
        <v>-3.5799999999999998E-2</v>
      </c>
      <c r="E175">
        <v>4.7299999999999998E-3</v>
      </c>
      <c r="F175">
        <v>3.5200000000000001E-3</v>
      </c>
      <c r="G175">
        <v>1.2099999999999999E-3</v>
      </c>
      <c r="H175">
        <v>0.57420000000000004</v>
      </c>
      <c r="I175">
        <v>0.75609999999999999</v>
      </c>
    </row>
    <row r="176" spans="1:9" x14ac:dyDescent="0.25">
      <c r="A176" t="s">
        <v>766</v>
      </c>
      <c r="B176">
        <v>3000000</v>
      </c>
      <c r="C176">
        <v>0.25750000000000001</v>
      </c>
      <c r="D176">
        <v>-4.9200000000000001E-2</v>
      </c>
      <c r="E176">
        <v>4.7800000000000004E-3</v>
      </c>
      <c r="F176">
        <v>3.6800000000000001E-3</v>
      </c>
      <c r="G176">
        <v>1.09E-3</v>
      </c>
      <c r="H176">
        <v>0.5746</v>
      </c>
      <c r="I176">
        <v>0.70960000000000001</v>
      </c>
    </row>
    <row r="177" spans="1:9" x14ac:dyDescent="0.25">
      <c r="A177" t="s">
        <v>767</v>
      </c>
      <c r="B177">
        <v>3000000</v>
      </c>
      <c r="C177">
        <v>0.29360000000000003</v>
      </c>
      <c r="D177">
        <v>-6.0999999999999999E-2</v>
      </c>
      <c r="E177">
        <v>4.8599999999999997E-3</v>
      </c>
      <c r="F177">
        <v>3.81E-3</v>
      </c>
      <c r="G177">
        <v>1.0399999999999999E-3</v>
      </c>
      <c r="H177">
        <v>0.5746</v>
      </c>
      <c r="I177">
        <v>0.66200000000000003</v>
      </c>
    </row>
    <row r="178" spans="1:9" x14ac:dyDescent="0.25">
      <c r="A178" t="s">
        <v>768</v>
      </c>
      <c r="B178">
        <v>2900000</v>
      </c>
      <c r="C178">
        <v>0.33100000000000002</v>
      </c>
      <c r="D178">
        <v>-7.2800000000000004E-2</v>
      </c>
      <c r="E178">
        <v>5.2399999999999999E-3</v>
      </c>
      <c r="F178">
        <v>4.1900000000000001E-3</v>
      </c>
      <c r="G178">
        <v>1.0499999999999999E-3</v>
      </c>
      <c r="H178">
        <v>0.52790000000000004</v>
      </c>
      <c r="I178">
        <v>0.60440000000000005</v>
      </c>
    </row>
    <row r="179" spans="1:9" x14ac:dyDescent="0.25">
      <c r="A179" t="s">
        <v>769</v>
      </c>
      <c r="B179">
        <v>3000000</v>
      </c>
      <c r="C179">
        <v>0.26219999999999999</v>
      </c>
      <c r="D179">
        <v>-5.1700000000000003E-2</v>
      </c>
      <c r="E179">
        <v>4.96E-3</v>
      </c>
      <c r="F179">
        <v>3.9699999999999996E-3</v>
      </c>
      <c r="G179">
        <v>9.8999999999999999E-4</v>
      </c>
      <c r="H179">
        <v>0.52890000000000004</v>
      </c>
      <c r="I179">
        <v>0.66369999999999996</v>
      </c>
    </row>
    <row r="180" spans="1:9" x14ac:dyDescent="0.25">
      <c r="A180" t="s">
        <v>770</v>
      </c>
      <c r="B180">
        <v>3000000</v>
      </c>
      <c r="C180">
        <v>0.2661</v>
      </c>
      <c r="D180">
        <v>-4.8599999999999997E-2</v>
      </c>
      <c r="E180">
        <v>5.0899999999999999E-3</v>
      </c>
      <c r="F180">
        <v>4.0099999999999997E-3</v>
      </c>
      <c r="G180">
        <v>1.08E-3</v>
      </c>
      <c r="H180">
        <v>0.51419999999999999</v>
      </c>
      <c r="I180">
        <v>0.66379999999999995</v>
      </c>
    </row>
    <row r="181" spans="1:9" x14ac:dyDescent="0.25">
      <c r="A181" t="s">
        <v>771</v>
      </c>
      <c r="B181">
        <v>3000000</v>
      </c>
      <c r="C181">
        <v>0.247</v>
      </c>
      <c r="D181">
        <v>-3.85E-2</v>
      </c>
      <c r="E181">
        <v>5.3499999999999997E-3</v>
      </c>
      <c r="F181">
        <v>4.1999999999999997E-3</v>
      </c>
      <c r="G181">
        <v>1.14E-3</v>
      </c>
      <c r="H181">
        <v>0.45190000000000002</v>
      </c>
      <c r="I181">
        <v>0.66320000000000001</v>
      </c>
    </row>
    <row r="182" spans="1:9" x14ac:dyDescent="0.25">
      <c r="A182" t="s">
        <v>772</v>
      </c>
      <c r="B182">
        <v>3000000</v>
      </c>
      <c r="C182">
        <v>0.35310000000000002</v>
      </c>
      <c r="D182">
        <v>-7.5600000000000001E-2</v>
      </c>
      <c r="E182">
        <v>5.3899999999999998E-3</v>
      </c>
      <c r="F182">
        <v>4.3200000000000001E-3</v>
      </c>
      <c r="G182">
        <v>1.07E-3</v>
      </c>
      <c r="H182">
        <v>0.50900000000000001</v>
      </c>
      <c r="I182">
        <v>0.56240000000000001</v>
      </c>
    </row>
    <row r="183" spans="1:9" x14ac:dyDescent="0.25">
      <c r="A183" t="s">
        <v>773</v>
      </c>
      <c r="B183">
        <v>3000000</v>
      </c>
      <c r="C183">
        <v>0.33550000000000002</v>
      </c>
      <c r="D183">
        <v>-6.5500000000000003E-2</v>
      </c>
      <c r="E183">
        <v>5.62E-3</v>
      </c>
      <c r="F183">
        <v>4.4799999999999996E-3</v>
      </c>
      <c r="G183">
        <v>1.14E-3</v>
      </c>
      <c r="H183">
        <v>0.45479999999999998</v>
      </c>
      <c r="I183">
        <v>0.56200000000000006</v>
      </c>
    </row>
    <row r="184" spans="1:9" x14ac:dyDescent="0.25">
      <c r="A184" t="s">
        <v>774</v>
      </c>
      <c r="B184">
        <v>3000000</v>
      </c>
      <c r="C184">
        <v>0.43590000000000001</v>
      </c>
      <c r="D184">
        <v>-9.98E-2</v>
      </c>
      <c r="E184">
        <v>5.6299999999999996E-3</v>
      </c>
      <c r="F184">
        <v>4.5500000000000002E-3</v>
      </c>
      <c r="G184">
        <v>1.08E-3</v>
      </c>
      <c r="H184">
        <v>0.51819999999999999</v>
      </c>
      <c r="I184">
        <v>0.46</v>
      </c>
    </row>
    <row r="185" spans="1:9" x14ac:dyDescent="0.25">
      <c r="A185" t="s">
        <v>775</v>
      </c>
      <c r="B185">
        <v>3000000</v>
      </c>
      <c r="C185">
        <v>0.41860000000000003</v>
      </c>
      <c r="D185">
        <v>-8.9499999999999996E-2</v>
      </c>
      <c r="E185">
        <v>5.8900000000000003E-3</v>
      </c>
      <c r="F185">
        <v>4.7299999999999998E-3</v>
      </c>
      <c r="G185">
        <v>1.16E-3</v>
      </c>
      <c r="H185">
        <v>0.45900000000000002</v>
      </c>
      <c r="I185">
        <v>0.46250000000000002</v>
      </c>
    </row>
    <row r="186" spans="1:9" x14ac:dyDescent="0.25">
      <c r="A186" t="s">
        <v>776</v>
      </c>
      <c r="B186">
        <v>3000000</v>
      </c>
      <c r="C186">
        <v>0.47220000000000001</v>
      </c>
      <c r="D186">
        <v>-0.1101</v>
      </c>
      <c r="E186">
        <v>5.7600000000000004E-3</v>
      </c>
      <c r="F186">
        <v>4.6499999999999996E-3</v>
      </c>
      <c r="G186">
        <v>1.1100000000000001E-3</v>
      </c>
      <c r="H186">
        <v>0.50439999999999996</v>
      </c>
      <c r="I186">
        <v>0.43690000000000001</v>
      </c>
    </row>
    <row r="187" spans="1:9" x14ac:dyDescent="0.25">
      <c r="A187" t="s">
        <v>777</v>
      </c>
      <c r="B187">
        <v>3000000</v>
      </c>
      <c r="C187">
        <v>0.45300000000000001</v>
      </c>
      <c r="D187">
        <v>-9.9699999999999997E-2</v>
      </c>
      <c r="E187">
        <v>6.11E-3</v>
      </c>
      <c r="F187">
        <v>4.9300000000000004E-3</v>
      </c>
      <c r="G187">
        <v>1.1800000000000001E-3</v>
      </c>
      <c r="H187">
        <v>0.43049999999999999</v>
      </c>
      <c r="I187">
        <v>0.43020000000000003</v>
      </c>
    </row>
    <row r="188" spans="1:9" x14ac:dyDescent="0.25">
      <c r="A188" t="s">
        <v>778</v>
      </c>
      <c r="B188">
        <v>3000000</v>
      </c>
      <c r="C188">
        <v>0.45469999999999999</v>
      </c>
      <c r="D188">
        <v>-0.11269999999999999</v>
      </c>
      <c r="E188">
        <v>5.4900000000000001E-3</v>
      </c>
      <c r="F188">
        <v>4.5300000000000002E-3</v>
      </c>
      <c r="G188">
        <v>9.7000000000000005E-4</v>
      </c>
      <c r="H188">
        <v>0.52390000000000003</v>
      </c>
      <c r="I188">
        <v>0.4451</v>
      </c>
    </row>
    <row r="189" spans="1:9" x14ac:dyDescent="0.25">
      <c r="A189" t="s">
        <v>779</v>
      </c>
      <c r="B189">
        <v>3000000</v>
      </c>
      <c r="C189">
        <v>0.53500000000000003</v>
      </c>
      <c r="D189">
        <v>-0.13159999999999999</v>
      </c>
      <c r="E189">
        <v>5.64E-3</v>
      </c>
      <c r="F189">
        <v>4.6600000000000001E-3</v>
      </c>
      <c r="G189">
        <v>9.8999999999999999E-4</v>
      </c>
      <c r="H189">
        <v>0.52749999999999997</v>
      </c>
      <c r="I189">
        <v>0.39729999999999999</v>
      </c>
    </row>
    <row r="190" spans="1:9" x14ac:dyDescent="0.25">
      <c r="A190" t="s">
        <v>780</v>
      </c>
      <c r="B190">
        <v>3000000</v>
      </c>
      <c r="C190">
        <v>0.61639999999999995</v>
      </c>
      <c r="D190">
        <v>-0.15079999999999999</v>
      </c>
      <c r="E190">
        <v>5.6299999999999996E-3</v>
      </c>
      <c r="F190">
        <v>4.5100000000000001E-3</v>
      </c>
      <c r="G190">
        <v>1.1100000000000001E-3</v>
      </c>
      <c r="H190">
        <v>0.53190000000000004</v>
      </c>
      <c r="I190">
        <v>0.42530000000000001</v>
      </c>
    </row>
    <row r="191" spans="1:9" x14ac:dyDescent="0.25">
      <c r="A191" t="s">
        <v>781</v>
      </c>
      <c r="B191">
        <v>3000000</v>
      </c>
      <c r="C191">
        <v>0.50129999999999997</v>
      </c>
      <c r="D191">
        <v>-0.11360000000000001</v>
      </c>
      <c r="E191">
        <v>6.3600000000000002E-3</v>
      </c>
      <c r="F191">
        <v>5.1799999999999997E-3</v>
      </c>
      <c r="G191">
        <v>1.1800000000000001E-3</v>
      </c>
      <c r="H191">
        <v>0.41820000000000002</v>
      </c>
      <c r="I191">
        <v>0.33429999999999999</v>
      </c>
    </row>
    <row r="192" spans="1:9" x14ac:dyDescent="0.25">
      <c r="A192" t="s">
        <v>782</v>
      </c>
      <c r="B192">
        <v>3000000</v>
      </c>
      <c r="C192">
        <v>0.60419999999999996</v>
      </c>
      <c r="D192">
        <v>-0.13950000000000001</v>
      </c>
      <c r="E192">
        <v>6.4999999999999997E-3</v>
      </c>
      <c r="F192">
        <v>5.1999999999999998E-3</v>
      </c>
      <c r="G192">
        <v>1.2999999999999999E-3</v>
      </c>
      <c r="H192">
        <v>0.42759999999999998</v>
      </c>
      <c r="I192">
        <v>0.3145</v>
      </c>
    </row>
    <row r="193" spans="1:9" x14ac:dyDescent="0.25">
      <c r="A193" t="s">
        <v>783</v>
      </c>
      <c r="B193">
        <v>3000000</v>
      </c>
      <c r="C193">
        <v>0.69889999999999997</v>
      </c>
      <c r="D193">
        <v>-0.1636</v>
      </c>
      <c r="E193">
        <v>6.62E-3</v>
      </c>
      <c r="F193">
        <v>5.1999999999999998E-3</v>
      </c>
      <c r="G193">
        <v>1.4300000000000001E-3</v>
      </c>
      <c r="H193">
        <v>0.4395</v>
      </c>
      <c r="I193">
        <v>0.29349999999999998</v>
      </c>
    </row>
    <row r="194" spans="1:9" x14ac:dyDescent="0.25">
      <c r="A194" t="s">
        <v>784</v>
      </c>
      <c r="B194">
        <v>3000000</v>
      </c>
      <c r="C194">
        <v>0.71230000000000004</v>
      </c>
      <c r="D194">
        <v>-0.1603</v>
      </c>
      <c r="E194">
        <v>6.7400000000000003E-3</v>
      </c>
      <c r="F194">
        <v>5.2199999999999998E-3</v>
      </c>
      <c r="G194">
        <v>1.5200000000000001E-3</v>
      </c>
      <c r="H194">
        <v>0.42720000000000002</v>
      </c>
      <c r="I194">
        <v>0.30320000000000003</v>
      </c>
    </row>
    <row r="195" spans="1:9" x14ac:dyDescent="0.25">
      <c r="A195" t="s">
        <v>785</v>
      </c>
      <c r="B195">
        <v>3000000</v>
      </c>
      <c r="C195">
        <v>0.59370000000000001</v>
      </c>
      <c r="D195">
        <v>-0.14199999999999999</v>
      </c>
      <c r="E195">
        <v>6.1199999999999996E-3</v>
      </c>
      <c r="F195">
        <v>4.96E-3</v>
      </c>
      <c r="G195">
        <v>1.16E-3</v>
      </c>
      <c r="H195">
        <v>0.46079999999999999</v>
      </c>
      <c r="I195">
        <v>0.36049999999999999</v>
      </c>
    </row>
    <row r="196" spans="1:9" x14ac:dyDescent="0.25">
      <c r="A196" t="s">
        <v>786</v>
      </c>
      <c r="B196">
        <v>350000</v>
      </c>
      <c r="C196">
        <v>0.78669999999999995</v>
      </c>
      <c r="D196">
        <v>-0.20669999999999999</v>
      </c>
      <c r="E196">
        <v>1.5970000000000002E-2</v>
      </c>
      <c r="F196">
        <v>6.4000000000000003E-3</v>
      </c>
      <c r="G196">
        <v>9.5700000000000004E-3</v>
      </c>
      <c r="H196">
        <v>0.90659999999999996</v>
      </c>
      <c r="I196">
        <v>3.2199999999999999E-2</v>
      </c>
    </row>
    <row r="197" spans="1:9" x14ac:dyDescent="0.25">
      <c r="A197" t="s">
        <v>787</v>
      </c>
      <c r="B197">
        <v>3000000</v>
      </c>
      <c r="C197">
        <v>0.68479999999999996</v>
      </c>
      <c r="D197">
        <v>-0.16109999999999999</v>
      </c>
      <c r="E197">
        <v>5.5100000000000001E-3</v>
      </c>
      <c r="F197">
        <v>4.2399999999999998E-3</v>
      </c>
      <c r="G197">
        <v>1.2700000000000001E-3</v>
      </c>
      <c r="H197">
        <v>0.54300000000000004</v>
      </c>
      <c r="I197">
        <v>0.53269999999999995</v>
      </c>
    </row>
    <row r="198" spans="1:9" x14ac:dyDescent="0.25">
      <c r="A198" t="s">
        <v>788</v>
      </c>
      <c r="B198">
        <v>3000000</v>
      </c>
      <c r="C198">
        <v>0.58699999999999997</v>
      </c>
      <c r="D198">
        <v>-0.1246</v>
      </c>
      <c r="E198">
        <v>4.3499999999999997E-3</v>
      </c>
      <c r="F198">
        <v>3.32E-3</v>
      </c>
      <c r="G198">
        <v>1.0300000000000001E-3</v>
      </c>
      <c r="H198">
        <v>0.62329999999999997</v>
      </c>
      <c r="I198">
        <v>0.75539999999999996</v>
      </c>
    </row>
    <row r="199" spans="1:9" x14ac:dyDescent="0.25">
      <c r="A199" t="s">
        <v>789</v>
      </c>
      <c r="B199">
        <v>3000000</v>
      </c>
      <c r="C199">
        <v>0.54690000000000005</v>
      </c>
      <c r="D199">
        <v>-0.108</v>
      </c>
      <c r="E199">
        <v>4.7000000000000002E-3</v>
      </c>
      <c r="F199">
        <v>3.5599999999999998E-3</v>
      </c>
      <c r="G199">
        <v>1.14E-3</v>
      </c>
      <c r="H199">
        <v>0.57689999999999997</v>
      </c>
      <c r="I199">
        <v>0.73960000000000004</v>
      </c>
    </row>
    <row r="200" spans="1:9" x14ac:dyDescent="0.25">
      <c r="A200" t="s">
        <v>790</v>
      </c>
      <c r="B200">
        <v>3000000</v>
      </c>
      <c r="C200">
        <v>0.52480000000000004</v>
      </c>
      <c r="D200">
        <v>-0.1007</v>
      </c>
      <c r="E200">
        <v>4.5300000000000002E-3</v>
      </c>
      <c r="F200">
        <v>3.3400000000000001E-3</v>
      </c>
      <c r="G200">
        <v>1.1900000000000001E-3</v>
      </c>
      <c r="H200">
        <v>0.58579999999999999</v>
      </c>
      <c r="I200">
        <v>0.79359999999999997</v>
      </c>
    </row>
    <row r="201" spans="1:9" x14ac:dyDescent="0.25">
      <c r="A201" t="s">
        <v>791</v>
      </c>
      <c r="B201">
        <v>3000000</v>
      </c>
      <c r="C201">
        <v>0.60040000000000004</v>
      </c>
      <c r="D201">
        <v>-0.12889999999999999</v>
      </c>
      <c r="E201">
        <v>4.3899999999999998E-3</v>
      </c>
      <c r="F201">
        <v>3.4399999999999999E-3</v>
      </c>
      <c r="G201">
        <v>9.6000000000000002E-4</v>
      </c>
      <c r="H201">
        <v>0.62219999999999998</v>
      </c>
      <c r="I201">
        <v>0.70899999999999996</v>
      </c>
    </row>
    <row r="202" spans="1:9" x14ac:dyDescent="0.25">
      <c r="A202" t="s">
        <v>792</v>
      </c>
      <c r="B202">
        <v>3000000</v>
      </c>
      <c r="C202">
        <v>0.69579999999999997</v>
      </c>
      <c r="D202">
        <v>-0.16</v>
      </c>
      <c r="E202">
        <v>4.8199999999999996E-3</v>
      </c>
      <c r="F202">
        <v>3.6800000000000001E-3</v>
      </c>
      <c r="G202">
        <v>1.14E-3</v>
      </c>
      <c r="H202">
        <v>0.63</v>
      </c>
      <c r="I202">
        <v>0.61939999999999995</v>
      </c>
    </row>
    <row r="203" spans="1:9" x14ac:dyDescent="0.25">
      <c r="A203" t="s">
        <v>793</v>
      </c>
      <c r="B203">
        <v>1050000</v>
      </c>
      <c r="C203">
        <v>0.80279999999999996</v>
      </c>
      <c r="D203">
        <v>-0.1986</v>
      </c>
      <c r="E203">
        <v>5.1500000000000001E-3</v>
      </c>
      <c r="F203">
        <v>4.2700000000000004E-3</v>
      </c>
      <c r="G203">
        <v>8.8000000000000003E-4</v>
      </c>
      <c r="H203">
        <v>0.84709999999999996</v>
      </c>
      <c r="I203">
        <v>0.33700000000000002</v>
      </c>
    </row>
    <row r="204" spans="1:9" x14ac:dyDescent="0.25">
      <c r="A204" t="s">
        <v>794</v>
      </c>
      <c r="B204">
        <v>3000000</v>
      </c>
      <c r="C204">
        <v>0.93689999999999996</v>
      </c>
      <c r="D204">
        <v>-0.20380000000000001</v>
      </c>
      <c r="E204">
        <v>7.1000000000000004E-3</v>
      </c>
      <c r="F204">
        <v>5.1599999999999997E-3</v>
      </c>
      <c r="G204">
        <v>1.9400000000000001E-3</v>
      </c>
      <c r="H204">
        <v>0.4168</v>
      </c>
      <c r="I204">
        <v>0.31</v>
      </c>
    </row>
    <row r="205" spans="1:9" x14ac:dyDescent="0.25">
      <c r="A205" t="s">
        <v>795</v>
      </c>
      <c r="B205">
        <v>3000000</v>
      </c>
      <c r="C205">
        <v>0.30499999999999999</v>
      </c>
      <c r="D205">
        <v>-3.1899999999999998E-2</v>
      </c>
      <c r="E205">
        <v>6.4700000000000001E-3</v>
      </c>
      <c r="F205">
        <v>5.5900000000000004E-3</v>
      </c>
      <c r="G205">
        <v>8.8000000000000003E-4</v>
      </c>
      <c r="H205">
        <v>0.4047</v>
      </c>
      <c r="I205">
        <v>0.1128</v>
      </c>
    </row>
    <row r="206" spans="1:9" x14ac:dyDescent="0.25">
      <c r="A206" t="s">
        <v>796</v>
      </c>
      <c r="B206">
        <v>3000000</v>
      </c>
      <c r="C206">
        <v>0.32179999999999997</v>
      </c>
      <c r="D206">
        <v>-3.9E-2</v>
      </c>
      <c r="E206">
        <v>6.2899999999999996E-3</v>
      </c>
      <c r="F206">
        <v>5.4799999999999996E-3</v>
      </c>
      <c r="G206">
        <v>8.0999999999999996E-4</v>
      </c>
      <c r="H206">
        <v>0.43380000000000002</v>
      </c>
      <c r="I206">
        <v>0.1183</v>
      </c>
    </row>
    <row r="207" spans="1:9" x14ac:dyDescent="0.25">
      <c r="A207" t="s">
        <v>797</v>
      </c>
      <c r="B207">
        <v>3000000</v>
      </c>
      <c r="C207">
        <v>0.4667</v>
      </c>
      <c r="D207">
        <v>-9.5399999999999999E-2</v>
      </c>
      <c r="E207">
        <v>5.0400000000000002E-3</v>
      </c>
      <c r="F207">
        <v>3.7100000000000002E-3</v>
      </c>
      <c r="G207">
        <v>1.33E-3</v>
      </c>
      <c r="H207">
        <v>0.56259999999999999</v>
      </c>
      <c r="I207">
        <v>0.68959999999999999</v>
      </c>
    </row>
    <row r="208" spans="1:9" x14ac:dyDescent="0.25">
      <c r="A208" t="s">
        <v>798</v>
      </c>
      <c r="B208">
        <v>3000000</v>
      </c>
      <c r="C208">
        <v>0.55169999999999997</v>
      </c>
      <c r="D208">
        <v>-0.1232</v>
      </c>
      <c r="E208">
        <v>4.9800000000000001E-3</v>
      </c>
      <c r="F208">
        <v>3.79E-3</v>
      </c>
      <c r="G208">
        <v>1.1900000000000001E-3</v>
      </c>
      <c r="H208">
        <v>0.60019999999999996</v>
      </c>
      <c r="I208">
        <v>0.6159</v>
      </c>
    </row>
    <row r="209" spans="1:9" x14ac:dyDescent="0.25">
      <c r="A209" t="s">
        <v>799</v>
      </c>
      <c r="B209">
        <v>3000000</v>
      </c>
      <c r="C209">
        <v>0.96560000000000001</v>
      </c>
      <c r="D209">
        <v>-0.2331</v>
      </c>
      <c r="E209">
        <v>4.7400000000000003E-3</v>
      </c>
      <c r="F209">
        <v>3.9699999999999996E-3</v>
      </c>
      <c r="G209">
        <v>7.6999999999999996E-4</v>
      </c>
      <c r="H209">
        <v>0.72760000000000002</v>
      </c>
      <c r="I209">
        <v>0.2198</v>
      </c>
    </row>
    <row r="210" spans="1:9" x14ac:dyDescent="0.25">
      <c r="A210" t="s">
        <v>800</v>
      </c>
      <c r="B210">
        <v>800000</v>
      </c>
      <c r="C210">
        <v>0.75419999999999998</v>
      </c>
      <c r="D210">
        <v>-0.18190000000000001</v>
      </c>
      <c r="E210">
        <v>4.5199999999999997E-3</v>
      </c>
      <c r="F210">
        <v>3.1800000000000001E-3</v>
      </c>
      <c r="G210">
        <v>1.34E-3</v>
      </c>
      <c r="H210">
        <v>0.85470000000000002</v>
      </c>
      <c r="I210">
        <v>0.91039999999999999</v>
      </c>
    </row>
    <row r="211" spans="1:9" x14ac:dyDescent="0.25">
      <c r="A211" t="s">
        <v>801</v>
      </c>
      <c r="B211">
        <v>1300000</v>
      </c>
      <c r="C211">
        <v>5.9400000000000001E-2</v>
      </c>
      <c r="D211">
        <v>2.58E-2</v>
      </c>
      <c r="E211">
        <v>5.6800000000000002E-3</v>
      </c>
      <c r="F211">
        <v>4.3699999999999998E-3</v>
      </c>
      <c r="G211">
        <v>1.31E-3</v>
      </c>
      <c r="H211">
        <v>0.43659999999999999</v>
      </c>
      <c r="I211">
        <v>0.79179999999999995</v>
      </c>
    </row>
    <row r="212" spans="1:9" x14ac:dyDescent="0.25">
      <c r="A212" t="s">
        <v>802</v>
      </c>
      <c r="B212">
        <v>1900000</v>
      </c>
      <c r="C212">
        <v>0.85250000000000004</v>
      </c>
      <c r="D212">
        <v>-0.2099</v>
      </c>
      <c r="E212">
        <v>3.6700000000000001E-3</v>
      </c>
      <c r="F212">
        <v>3.0599999999999998E-3</v>
      </c>
      <c r="G212">
        <v>6.0999999999999997E-4</v>
      </c>
      <c r="H212">
        <v>0.89539999999999997</v>
      </c>
      <c r="I212">
        <v>0.498</v>
      </c>
    </row>
    <row r="213" spans="1:9" x14ac:dyDescent="0.25">
      <c r="A213" t="s">
        <v>803</v>
      </c>
      <c r="B213">
        <v>1150000</v>
      </c>
      <c r="C213">
        <v>-7.1000000000000004E-3</v>
      </c>
      <c r="D213">
        <v>4.5400000000000003E-2</v>
      </c>
      <c r="E213">
        <v>5.6299999999999996E-3</v>
      </c>
      <c r="F213">
        <v>4.3600000000000002E-3</v>
      </c>
      <c r="G213">
        <v>1.2700000000000001E-3</v>
      </c>
      <c r="H213">
        <v>0.38990000000000002</v>
      </c>
      <c r="I213">
        <v>0.86270000000000002</v>
      </c>
    </row>
    <row r="214" spans="1:9" x14ac:dyDescent="0.25">
      <c r="A214" t="s">
        <v>804</v>
      </c>
      <c r="B214">
        <v>850000</v>
      </c>
      <c r="C214">
        <v>7.0199999999999999E-2</v>
      </c>
      <c r="D214">
        <v>2.3800000000000002E-2</v>
      </c>
      <c r="E214">
        <v>6.3499999999999997E-3</v>
      </c>
      <c r="F214">
        <v>4.7400000000000003E-3</v>
      </c>
      <c r="G214">
        <v>1.6199999999999999E-3</v>
      </c>
      <c r="H214">
        <v>0.41160000000000002</v>
      </c>
      <c r="I214">
        <v>0.84560000000000002</v>
      </c>
    </row>
    <row r="215" spans="1:9" x14ac:dyDescent="0.25">
      <c r="A215" t="s">
        <v>805</v>
      </c>
      <c r="B215">
        <v>3000000</v>
      </c>
      <c r="C215">
        <v>0.18909999999999999</v>
      </c>
      <c r="D215">
        <v>-4.4999999999999997E-3</v>
      </c>
      <c r="E215">
        <v>7.2399999999999999E-3</v>
      </c>
      <c r="F215">
        <v>6.13E-3</v>
      </c>
      <c r="G215">
        <v>1.1100000000000001E-3</v>
      </c>
      <c r="H215">
        <v>0.36580000000000001</v>
      </c>
      <c r="I215">
        <v>3.1099999999999999E-2</v>
      </c>
    </row>
    <row r="216" spans="1:9" x14ac:dyDescent="0.25">
      <c r="A216" t="s">
        <v>806</v>
      </c>
      <c r="B216">
        <v>3000000</v>
      </c>
      <c r="C216">
        <v>0.30840000000000001</v>
      </c>
      <c r="D216">
        <v>-2.52E-2</v>
      </c>
      <c r="E216">
        <v>7.2100000000000003E-3</v>
      </c>
      <c r="F216">
        <v>6.0899999999999999E-3</v>
      </c>
      <c r="G216">
        <v>1.1199999999999999E-3</v>
      </c>
      <c r="H216">
        <v>0.36780000000000002</v>
      </c>
      <c r="I216">
        <v>3.1099999999999999E-2</v>
      </c>
    </row>
    <row r="217" spans="1:9" x14ac:dyDescent="0.25">
      <c r="A217" t="s">
        <v>807</v>
      </c>
      <c r="B217">
        <v>3000000</v>
      </c>
      <c r="C217">
        <v>0.38590000000000002</v>
      </c>
      <c r="D217">
        <v>-4.5900000000000003E-2</v>
      </c>
      <c r="E217">
        <v>7.26E-3</v>
      </c>
      <c r="F217">
        <v>6.0800000000000003E-3</v>
      </c>
      <c r="G217">
        <v>1.1900000000000001E-3</v>
      </c>
      <c r="H217">
        <v>0.3765</v>
      </c>
      <c r="I217">
        <v>1.9599999999999999E-2</v>
      </c>
    </row>
    <row r="218" spans="1:9" x14ac:dyDescent="0.25">
      <c r="A218" t="s">
        <v>808</v>
      </c>
      <c r="B218">
        <v>2200000</v>
      </c>
      <c r="C218">
        <v>0.49220000000000003</v>
      </c>
      <c r="D218">
        <v>-0.1167</v>
      </c>
      <c r="E218">
        <v>4.3400000000000001E-3</v>
      </c>
      <c r="F218">
        <v>3.79E-3</v>
      </c>
      <c r="G218">
        <v>5.5999999999999995E-4</v>
      </c>
      <c r="H218">
        <v>0.70120000000000005</v>
      </c>
      <c r="I218">
        <v>0.55089999999999995</v>
      </c>
    </row>
    <row r="219" spans="1:9" x14ac:dyDescent="0.25">
      <c r="A219" t="s">
        <v>809</v>
      </c>
      <c r="B219">
        <v>3000000</v>
      </c>
      <c r="C219">
        <v>0.31140000000000001</v>
      </c>
      <c r="D219">
        <v>-5.4100000000000002E-2</v>
      </c>
      <c r="E219">
        <v>4.13E-3</v>
      </c>
      <c r="F219">
        <v>3.1900000000000001E-3</v>
      </c>
      <c r="G219">
        <v>9.5E-4</v>
      </c>
      <c r="H219">
        <v>0.60440000000000005</v>
      </c>
      <c r="I219">
        <v>0.80669999999999997</v>
      </c>
    </row>
    <row r="220" spans="1:9" x14ac:dyDescent="0.25">
      <c r="A220" t="s">
        <v>810</v>
      </c>
      <c r="B220">
        <v>3000000</v>
      </c>
      <c r="C220">
        <v>0.67620000000000002</v>
      </c>
      <c r="D220">
        <v>-0.1452</v>
      </c>
      <c r="E220">
        <v>4.8799999999999998E-3</v>
      </c>
      <c r="F220">
        <v>3.7100000000000002E-3</v>
      </c>
      <c r="G220">
        <v>1.17E-3</v>
      </c>
      <c r="H220">
        <v>0.60189999999999999</v>
      </c>
      <c r="I220">
        <v>0.62580000000000002</v>
      </c>
    </row>
    <row r="221" spans="1:9" x14ac:dyDescent="0.25">
      <c r="A221" t="s">
        <v>811</v>
      </c>
      <c r="B221">
        <v>3000000</v>
      </c>
      <c r="C221">
        <v>0.54759999999999998</v>
      </c>
      <c r="D221">
        <v>-0.1162</v>
      </c>
      <c r="E221">
        <v>4.6800000000000001E-3</v>
      </c>
      <c r="F221">
        <v>3.5999999999999999E-3</v>
      </c>
      <c r="G221">
        <v>1.08E-3</v>
      </c>
      <c r="H221">
        <v>0.60750000000000004</v>
      </c>
      <c r="I221">
        <v>0.65549999999999997</v>
      </c>
    </row>
    <row r="222" spans="1:9" x14ac:dyDescent="0.25">
      <c r="A222" t="s">
        <v>812</v>
      </c>
      <c r="B222">
        <v>3000000</v>
      </c>
      <c r="C222">
        <v>0.61470000000000002</v>
      </c>
      <c r="D222">
        <v>-0.127</v>
      </c>
      <c r="E222">
        <v>5.5199999999999997E-3</v>
      </c>
      <c r="F222">
        <v>4.4200000000000003E-3</v>
      </c>
      <c r="G222">
        <v>1.1100000000000001E-3</v>
      </c>
      <c r="H222">
        <v>0.61470000000000002</v>
      </c>
      <c r="I222">
        <v>0.34539999999999998</v>
      </c>
    </row>
    <row r="223" spans="1:9" x14ac:dyDescent="0.25">
      <c r="A223" t="s">
        <v>813</v>
      </c>
      <c r="B223">
        <v>3000000</v>
      </c>
      <c r="C223">
        <v>0.62590000000000001</v>
      </c>
      <c r="D223">
        <v>-0.13519999999999999</v>
      </c>
      <c r="E223">
        <v>4.3400000000000001E-3</v>
      </c>
      <c r="F223">
        <v>3.32E-3</v>
      </c>
      <c r="G223">
        <v>1.01E-3</v>
      </c>
      <c r="H223">
        <v>0.6593</v>
      </c>
      <c r="I223">
        <v>0.68569999999999998</v>
      </c>
    </row>
    <row r="224" spans="1:9" x14ac:dyDescent="0.25">
      <c r="A224" t="s">
        <v>814</v>
      </c>
      <c r="B224">
        <v>2900000</v>
      </c>
      <c r="C224">
        <v>0.60119999999999996</v>
      </c>
      <c r="D224">
        <v>-0.14549999999999999</v>
      </c>
      <c r="E224">
        <v>4.6100000000000004E-3</v>
      </c>
      <c r="F224">
        <v>3.96E-3</v>
      </c>
      <c r="G224">
        <v>6.6E-4</v>
      </c>
      <c r="H224">
        <v>0.66820000000000002</v>
      </c>
      <c r="I224">
        <v>0.43669999999999998</v>
      </c>
    </row>
    <row r="225" spans="1:9" x14ac:dyDescent="0.25">
      <c r="A225" t="s">
        <v>815</v>
      </c>
      <c r="B225">
        <v>2100000</v>
      </c>
      <c r="C225">
        <v>0.64670000000000005</v>
      </c>
      <c r="D225">
        <v>-0.14979999999999999</v>
      </c>
      <c r="E225">
        <v>4.6699999999999997E-3</v>
      </c>
      <c r="F225">
        <v>3.49E-3</v>
      </c>
      <c r="G225">
        <v>1.1900000000000001E-3</v>
      </c>
      <c r="H225">
        <v>0.74109999999999998</v>
      </c>
      <c r="I225">
        <v>0.66239999999999999</v>
      </c>
    </row>
    <row r="226" spans="1:9" x14ac:dyDescent="0.25">
      <c r="A226" t="s">
        <v>816</v>
      </c>
      <c r="B226">
        <v>3000000</v>
      </c>
      <c r="C226">
        <v>0.40799999999999997</v>
      </c>
      <c r="D226">
        <v>-8.8099999999999998E-2</v>
      </c>
      <c r="E226">
        <v>4.28E-3</v>
      </c>
      <c r="F226">
        <v>3.1900000000000001E-3</v>
      </c>
      <c r="G226">
        <v>1.09E-3</v>
      </c>
      <c r="H226">
        <v>0.66679999999999995</v>
      </c>
      <c r="I226">
        <v>0.75449999999999995</v>
      </c>
    </row>
    <row r="227" spans="1:9" x14ac:dyDescent="0.25">
      <c r="A227" t="s">
        <v>817</v>
      </c>
      <c r="B227">
        <v>3000000</v>
      </c>
      <c r="C227">
        <v>1.6553</v>
      </c>
      <c r="D227">
        <v>-0.40970000000000001</v>
      </c>
      <c r="E227">
        <v>7.9900000000000006E-3</v>
      </c>
      <c r="F227">
        <v>4.7999999999999996E-3</v>
      </c>
      <c r="G227">
        <v>3.1900000000000001E-3</v>
      </c>
      <c r="H227">
        <v>0.50409999999999999</v>
      </c>
      <c r="I227">
        <v>0.59379999999999999</v>
      </c>
    </row>
    <row r="228" spans="1:9" x14ac:dyDescent="0.25">
      <c r="A228" t="s">
        <v>818</v>
      </c>
      <c r="B228">
        <v>2500000</v>
      </c>
      <c r="C228">
        <v>0.59219999999999995</v>
      </c>
      <c r="D228">
        <v>-0.13589999999999999</v>
      </c>
      <c r="E228">
        <v>4.2100000000000002E-3</v>
      </c>
      <c r="F228">
        <v>3.3700000000000002E-3</v>
      </c>
      <c r="G228">
        <v>8.4000000000000003E-4</v>
      </c>
      <c r="H228">
        <v>0.67469999999999997</v>
      </c>
      <c r="I228">
        <v>0.71819999999999995</v>
      </c>
    </row>
    <row r="229" spans="1:9" x14ac:dyDescent="0.25">
      <c r="A229" t="s">
        <v>819</v>
      </c>
      <c r="B229">
        <v>3000000</v>
      </c>
      <c r="C229">
        <v>0.54590000000000005</v>
      </c>
      <c r="D229">
        <v>-0.1318</v>
      </c>
      <c r="E229">
        <v>4.64E-3</v>
      </c>
      <c r="F229">
        <v>3.9500000000000004E-3</v>
      </c>
      <c r="G229">
        <v>6.9999999999999999E-4</v>
      </c>
      <c r="H229">
        <v>0.65110000000000001</v>
      </c>
      <c r="I229">
        <v>0.46889999999999998</v>
      </c>
    </row>
    <row r="230" spans="1:9" x14ac:dyDescent="0.25">
      <c r="A230" t="s">
        <v>820</v>
      </c>
      <c r="B230">
        <v>3000000</v>
      </c>
      <c r="C230">
        <v>0.76190000000000002</v>
      </c>
      <c r="D230">
        <v>-0.18679999999999999</v>
      </c>
      <c r="E230">
        <v>5.3E-3</v>
      </c>
      <c r="F230">
        <v>3.6700000000000001E-3</v>
      </c>
      <c r="G230">
        <v>1.6199999999999999E-3</v>
      </c>
      <c r="H230">
        <v>0.62680000000000002</v>
      </c>
      <c r="I230">
        <v>0.64380000000000004</v>
      </c>
    </row>
    <row r="231" spans="1:9" x14ac:dyDescent="0.25">
      <c r="A231" t="s">
        <v>821</v>
      </c>
      <c r="B231">
        <v>3000000</v>
      </c>
      <c r="C231">
        <v>0.48680000000000001</v>
      </c>
      <c r="D231">
        <v>-0.1166</v>
      </c>
      <c r="E231">
        <v>4.7000000000000002E-3</v>
      </c>
      <c r="F231">
        <v>3.9500000000000004E-3</v>
      </c>
      <c r="G231">
        <v>7.5000000000000002E-4</v>
      </c>
      <c r="H231">
        <v>0.63639999999999997</v>
      </c>
      <c r="I231">
        <v>0.49580000000000002</v>
      </c>
    </row>
    <row r="232" spans="1:9" x14ac:dyDescent="0.25">
      <c r="A232" t="s">
        <v>822</v>
      </c>
      <c r="B232">
        <v>3000000</v>
      </c>
      <c r="C232">
        <v>0.35870000000000002</v>
      </c>
      <c r="D232">
        <v>-7.1400000000000005E-2</v>
      </c>
      <c r="E232">
        <v>3.8899999999999998E-3</v>
      </c>
      <c r="F232">
        <v>2.9099999999999998E-3</v>
      </c>
      <c r="G232">
        <v>9.7999999999999997E-4</v>
      </c>
      <c r="H232">
        <v>0.69310000000000005</v>
      </c>
      <c r="I232">
        <v>0.80710000000000004</v>
      </c>
    </row>
    <row r="233" spans="1:9" x14ac:dyDescent="0.25">
      <c r="A233" t="s">
        <v>823</v>
      </c>
      <c r="B233">
        <v>3000000</v>
      </c>
      <c r="C233">
        <v>0.80159999999999998</v>
      </c>
      <c r="D233">
        <v>-0.2019</v>
      </c>
      <c r="E233">
        <v>4.5599999999999998E-3</v>
      </c>
      <c r="F233">
        <v>3.1199999999999999E-3</v>
      </c>
      <c r="G233">
        <v>1.4400000000000001E-3</v>
      </c>
      <c r="H233">
        <v>0.72689999999999999</v>
      </c>
      <c r="I233">
        <v>0.71499999999999997</v>
      </c>
    </row>
    <row r="234" spans="1:9" x14ac:dyDescent="0.25">
      <c r="A234" t="s">
        <v>824</v>
      </c>
      <c r="B234">
        <v>1400000</v>
      </c>
      <c r="C234">
        <v>0.72130000000000005</v>
      </c>
      <c r="D234">
        <v>-0.17730000000000001</v>
      </c>
      <c r="E234">
        <v>3.9100000000000003E-3</v>
      </c>
      <c r="F234">
        <v>3.2200000000000002E-3</v>
      </c>
      <c r="G234">
        <v>6.9999999999999999E-4</v>
      </c>
      <c r="H234">
        <v>0.87739999999999996</v>
      </c>
      <c r="I234">
        <v>0.60770000000000002</v>
      </c>
    </row>
    <row r="235" spans="1:9" x14ac:dyDescent="0.25">
      <c r="A235" t="s">
        <v>825</v>
      </c>
      <c r="B235">
        <v>3000000</v>
      </c>
      <c r="C235">
        <v>0.25</v>
      </c>
      <c r="D235">
        <v>-4.2700000000000002E-2</v>
      </c>
      <c r="E235">
        <v>5.3299999999999997E-3</v>
      </c>
      <c r="F235">
        <v>4.5300000000000002E-3</v>
      </c>
      <c r="G235">
        <v>8.0000000000000004E-4</v>
      </c>
      <c r="H235">
        <v>0.48830000000000001</v>
      </c>
      <c r="I235">
        <v>0.45629999999999998</v>
      </c>
    </row>
    <row r="236" spans="1:9" x14ac:dyDescent="0.25">
      <c r="A236" t="s">
        <v>826</v>
      </c>
      <c r="B236">
        <v>3000000</v>
      </c>
      <c r="C236">
        <v>0.7056</v>
      </c>
      <c r="D236">
        <v>-0.1605</v>
      </c>
      <c r="E236">
        <v>6.9300000000000004E-3</v>
      </c>
      <c r="F236">
        <v>5.1200000000000004E-3</v>
      </c>
      <c r="G236">
        <v>1.81E-3</v>
      </c>
      <c r="H236">
        <v>0.40870000000000001</v>
      </c>
      <c r="I236">
        <v>0.38240000000000002</v>
      </c>
    </row>
    <row r="237" spans="1:9" x14ac:dyDescent="0.25">
      <c r="A237" t="s">
        <v>827</v>
      </c>
      <c r="B237">
        <v>3000000</v>
      </c>
      <c r="C237">
        <v>0.56930000000000003</v>
      </c>
      <c r="D237">
        <v>-0.12280000000000001</v>
      </c>
      <c r="E237">
        <v>6.2899999999999996E-3</v>
      </c>
      <c r="F237">
        <v>5.0600000000000003E-3</v>
      </c>
      <c r="G237">
        <v>1.23E-3</v>
      </c>
      <c r="H237">
        <v>0.4214</v>
      </c>
      <c r="I237">
        <v>0.36520000000000002</v>
      </c>
    </row>
    <row r="238" spans="1:9" x14ac:dyDescent="0.25">
      <c r="A238" t="s">
        <v>828</v>
      </c>
      <c r="B238">
        <v>3000000</v>
      </c>
      <c r="C238">
        <v>0.47789999999999999</v>
      </c>
      <c r="D238">
        <v>-0.1356</v>
      </c>
      <c r="E238">
        <v>3.9699999999999996E-3</v>
      </c>
      <c r="F238">
        <v>3.4499999999999999E-3</v>
      </c>
      <c r="G238">
        <v>5.1999999999999995E-4</v>
      </c>
      <c r="H238">
        <v>0.80689999999999995</v>
      </c>
      <c r="I238">
        <v>0.44600000000000001</v>
      </c>
    </row>
    <row r="239" spans="1:9" x14ac:dyDescent="0.25">
      <c r="A239" t="s">
        <v>829</v>
      </c>
      <c r="B239">
        <v>3000000</v>
      </c>
      <c r="C239">
        <v>0.47449999999999998</v>
      </c>
      <c r="D239">
        <v>-0.1343</v>
      </c>
      <c r="E239">
        <v>3.7499999999999999E-3</v>
      </c>
      <c r="F239">
        <v>3.3300000000000001E-3</v>
      </c>
      <c r="G239">
        <v>4.2000000000000002E-4</v>
      </c>
      <c r="H239">
        <v>0.82079999999999997</v>
      </c>
      <c r="I239">
        <v>0.46860000000000002</v>
      </c>
    </row>
    <row r="240" spans="1:9" x14ac:dyDescent="0.25">
      <c r="A240" t="s">
        <v>830</v>
      </c>
      <c r="B240">
        <v>3000000</v>
      </c>
      <c r="C240">
        <v>0</v>
      </c>
      <c r="D240">
        <v>0</v>
      </c>
      <c r="E240">
        <v>3.7699999999999999E-3</v>
      </c>
      <c r="F240">
        <v>3.29E-3</v>
      </c>
      <c r="G240">
        <v>4.8000000000000001E-4</v>
      </c>
      <c r="H240">
        <v>0.68700000000000006</v>
      </c>
      <c r="I240">
        <v>0.68689999999999996</v>
      </c>
    </row>
    <row r="241" spans="1:9" x14ac:dyDescent="0.25">
      <c r="A241" t="s">
        <v>831</v>
      </c>
      <c r="B241">
        <v>3000000</v>
      </c>
      <c r="C241">
        <v>0</v>
      </c>
      <c r="D241">
        <v>0</v>
      </c>
      <c r="E241">
        <v>4.5999999999999999E-3</v>
      </c>
      <c r="F241">
        <v>3.9100000000000003E-3</v>
      </c>
      <c r="G241">
        <v>6.8999999999999997E-4</v>
      </c>
      <c r="H241">
        <v>0.58520000000000005</v>
      </c>
      <c r="I241">
        <v>0.58520000000000005</v>
      </c>
    </row>
    <row r="242" spans="1:9" x14ac:dyDescent="0.25">
      <c r="A242" t="s">
        <v>832</v>
      </c>
      <c r="B242">
        <v>3000000</v>
      </c>
      <c r="C242">
        <v>0</v>
      </c>
      <c r="D242">
        <v>0</v>
      </c>
      <c r="E242">
        <v>4.7299999999999998E-3</v>
      </c>
      <c r="F242">
        <v>3.8899999999999998E-3</v>
      </c>
      <c r="G242">
        <v>8.4000000000000003E-4</v>
      </c>
      <c r="H242">
        <v>0.59370000000000001</v>
      </c>
      <c r="I242">
        <v>0.59370000000000001</v>
      </c>
    </row>
    <row r="243" spans="1:9" x14ac:dyDescent="0.25">
      <c r="A243" t="s">
        <v>833</v>
      </c>
      <c r="B243">
        <v>3000000</v>
      </c>
      <c r="C243">
        <v>0.38490000000000002</v>
      </c>
      <c r="D243">
        <v>-0.1037</v>
      </c>
      <c r="E243">
        <v>3.6800000000000001E-3</v>
      </c>
      <c r="F243">
        <v>3.31E-3</v>
      </c>
      <c r="G243">
        <v>3.6999999999999999E-4</v>
      </c>
      <c r="H243">
        <v>0.79120000000000001</v>
      </c>
      <c r="I243">
        <v>0.54630000000000001</v>
      </c>
    </row>
    <row r="244" spans="1:9" x14ac:dyDescent="0.25">
      <c r="A244" t="s">
        <v>834</v>
      </c>
      <c r="B244">
        <v>2900000</v>
      </c>
      <c r="C244">
        <v>0.48170000000000002</v>
      </c>
      <c r="D244">
        <v>-0.11990000000000001</v>
      </c>
      <c r="E244">
        <v>4.64E-3</v>
      </c>
      <c r="F244">
        <v>4.0000000000000001E-3</v>
      </c>
      <c r="G244">
        <v>6.4000000000000005E-4</v>
      </c>
      <c r="H244">
        <v>0.63449999999999995</v>
      </c>
      <c r="I244">
        <v>0.50800000000000001</v>
      </c>
    </row>
    <row r="245" spans="1:9" x14ac:dyDescent="0.25">
      <c r="A245" t="s">
        <v>835</v>
      </c>
      <c r="B245">
        <v>3000000</v>
      </c>
      <c r="C245">
        <v>0.50660000000000005</v>
      </c>
      <c r="D245">
        <v>-0.1212</v>
      </c>
      <c r="E245">
        <v>5.1700000000000001E-3</v>
      </c>
      <c r="F245">
        <v>4.3400000000000001E-3</v>
      </c>
      <c r="G245">
        <v>8.3000000000000001E-4</v>
      </c>
      <c r="H245">
        <v>0.55079999999999996</v>
      </c>
      <c r="I245">
        <v>0.49099999999999999</v>
      </c>
    </row>
    <row r="246" spans="1:9" x14ac:dyDescent="0.25">
      <c r="A246" t="s">
        <v>836</v>
      </c>
      <c r="B246">
        <v>3000000</v>
      </c>
      <c r="C246">
        <v>0.54710000000000003</v>
      </c>
      <c r="D246">
        <v>-0.12590000000000001</v>
      </c>
      <c r="E246">
        <v>5.7000000000000002E-3</v>
      </c>
      <c r="F246">
        <v>4.5999999999999999E-3</v>
      </c>
      <c r="G246">
        <v>1.1000000000000001E-3</v>
      </c>
      <c r="H246">
        <v>0.49569999999999997</v>
      </c>
      <c r="I246">
        <v>0.46689999999999998</v>
      </c>
    </row>
    <row r="247" spans="1:9" x14ac:dyDescent="0.25">
      <c r="A247" t="s">
        <v>837</v>
      </c>
      <c r="B247">
        <v>1900000</v>
      </c>
      <c r="C247">
        <v>0.5645</v>
      </c>
      <c r="D247">
        <v>-0.12379999999999999</v>
      </c>
      <c r="E247">
        <v>7.26E-3</v>
      </c>
      <c r="F247">
        <v>5.6600000000000001E-3</v>
      </c>
      <c r="G247">
        <v>1.5900000000000001E-3</v>
      </c>
      <c r="H247">
        <v>0.46100000000000002</v>
      </c>
      <c r="I247">
        <v>0.34289999999999998</v>
      </c>
    </row>
    <row r="248" spans="1:9" x14ac:dyDescent="0.25">
      <c r="A248" t="s">
        <v>838</v>
      </c>
      <c r="B248">
        <v>3000000</v>
      </c>
      <c r="C248">
        <v>0.57620000000000005</v>
      </c>
      <c r="D248">
        <v>-0.121</v>
      </c>
      <c r="E248">
        <v>6.8300000000000001E-3</v>
      </c>
      <c r="F248">
        <v>5.1399999999999996E-3</v>
      </c>
      <c r="G248">
        <v>1.6900000000000001E-3</v>
      </c>
      <c r="H248">
        <v>0.40189999999999998</v>
      </c>
      <c r="I248">
        <v>0.41510000000000002</v>
      </c>
    </row>
    <row r="249" spans="1:9" x14ac:dyDescent="0.25">
      <c r="A249" t="s">
        <v>839</v>
      </c>
      <c r="B249">
        <v>3000000</v>
      </c>
      <c r="C249">
        <v>0.56210000000000004</v>
      </c>
      <c r="D249">
        <v>-0.1101</v>
      </c>
      <c r="E249">
        <v>7.5199999999999998E-3</v>
      </c>
      <c r="F249">
        <v>5.4099999999999999E-3</v>
      </c>
      <c r="G249">
        <v>2.1099999999999999E-3</v>
      </c>
      <c r="H249">
        <v>0.35349999999999998</v>
      </c>
      <c r="I249">
        <v>0.3911</v>
      </c>
    </row>
    <row r="250" spans="1:9" x14ac:dyDescent="0.25">
      <c r="A250" t="s">
        <v>840</v>
      </c>
      <c r="B250">
        <v>3000000</v>
      </c>
      <c r="C250">
        <v>0</v>
      </c>
      <c r="D250">
        <v>0</v>
      </c>
      <c r="E250">
        <v>8.26E-3</v>
      </c>
      <c r="F250">
        <v>5.4200000000000003E-3</v>
      </c>
      <c r="G250">
        <v>2.8400000000000001E-3</v>
      </c>
      <c r="H250">
        <v>0.37709999999999999</v>
      </c>
      <c r="I250">
        <v>0.37709999999999999</v>
      </c>
    </row>
    <row r="251" spans="1:9" x14ac:dyDescent="0.25">
      <c r="A251" t="s">
        <v>841</v>
      </c>
      <c r="B251">
        <v>3000000</v>
      </c>
      <c r="C251">
        <v>0</v>
      </c>
      <c r="D251">
        <v>0</v>
      </c>
      <c r="E251">
        <v>8.7799999999999996E-3</v>
      </c>
      <c r="F251">
        <v>5.4599999999999996E-3</v>
      </c>
      <c r="G251">
        <v>3.31E-3</v>
      </c>
      <c r="H251">
        <v>0.38669999999999999</v>
      </c>
      <c r="I251">
        <v>0.38669999999999999</v>
      </c>
    </row>
    <row r="252" spans="1:9" x14ac:dyDescent="0.25">
      <c r="A252" t="s">
        <v>842</v>
      </c>
      <c r="B252">
        <v>3000000</v>
      </c>
      <c r="C252">
        <v>2.3E-3</v>
      </c>
      <c r="D252">
        <v>-2.9999999999999997E-4</v>
      </c>
      <c r="E252">
        <v>9.4900000000000002E-3</v>
      </c>
      <c r="F252">
        <v>5.5500000000000002E-3</v>
      </c>
      <c r="G252">
        <v>3.9399999999999999E-3</v>
      </c>
      <c r="H252">
        <v>0.39</v>
      </c>
      <c r="I252">
        <v>0.38879999999999998</v>
      </c>
    </row>
    <row r="253" spans="1:9" x14ac:dyDescent="0.25">
      <c r="A253" t="s">
        <v>843</v>
      </c>
      <c r="B253">
        <v>950000</v>
      </c>
      <c r="C253">
        <v>6.4000000000000001E-2</v>
      </c>
      <c r="D253">
        <v>-1.2500000000000001E-2</v>
      </c>
      <c r="E253">
        <v>4.5399999999999998E-3</v>
      </c>
      <c r="F253">
        <v>3.79E-3</v>
      </c>
      <c r="G253">
        <v>7.5000000000000002E-4</v>
      </c>
      <c r="H253">
        <v>0.64470000000000005</v>
      </c>
      <c r="I253">
        <v>0.89580000000000004</v>
      </c>
    </row>
    <row r="254" spans="1:9" x14ac:dyDescent="0.25">
      <c r="A254" t="s">
        <v>844</v>
      </c>
      <c r="B254">
        <v>3000000</v>
      </c>
      <c r="C254">
        <v>0.1845</v>
      </c>
      <c r="D254">
        <v>-4.4900000000000002E-2</v>
      </c>
      <c r="E254">
        <v>3.0400000000000002E-3</v>
      </c>
      <c r="F254">
        <v>2.6199999999999999E-3</v>
      </c>
      <c r="G254">
        <v>4.2999999999999999E-4</v>
      </c>
      <c r="H254">
        <v>0.78859999999999997</v>
      </c>
      <c r="I254">
        <v>0.83499999999999996</v>
      </c>
    </row>
    <row r="255" spans="1:9" x14ac:dyDescent="0.25">
      <c r="A255" t="s">
        <v>845</v>
      </c>
      <c r="B255">
        <v>3000000</v>
      </c>
      <c r="C255">
        <v>0.4859</v>
      </c>
      <c r="D255">
        <v>-0.13120000000000001</v>
      </c>
      <c r="E255">
        <v>3.2299999999999998E-3</v>
      </c>
      <c r="F255">
        <v>2.7200000000000002E-3</v>
      </c>
      <c r="G255">
        <v>5.1999999999999995E-4</v>
      </c>
      <c r="H255">
        <v>0.87690000000000001</v>
      </c>
      <c r="I255">
        <v>0.65700000000000003</v>
      </c>
    </row>
    <row r="256" spans="1:9" x14ac:dyDescent="0.25">
      <c r="A256" t="s">
        <v>846</v>
      </c>
      <c r="B256">
        <v>2200000</v>
      </c>
      <c r="C256">
        <v>0</v>
      </c>
      <c r="D256">
        <v>0</v>
      </c>
      <c r="E256">
        <v>4.1700000000000001E-3</v>
      </c>
      <c r="F256">
        <v>3.7100000000000002E-3</v>
      </c>
      <c r="G256">
        <v>4.4999999999999999E-4</v>
      </c>
      <c r="H256">
        <v>0.63539999999999996</v>
      </c>
      <c r="I256">
        <v>0.63600000000000001</v>
      </c>
    </row>
    <row r="257" spans="1:9" x14ac:dyDescent="0.25">
      <c r="A257" t="s">
        <v>847</v>
      </c>
      <c r="B257">
        <v>3000000</v>
      </c>
      <c r="C257">
        <v>0</v>
      </c>
      <c r="D257">
        <v>0</v>
      </c>
      <c r="E257">
        <v>4.45E-3</v>
      </c>
      <c r="F257">
        <v>3.8999999999999998E-3</v>
      </c>
      <c r="G257">
        <v>5.5999999999999995E-4</v>
      </c>
      <c r="H257">
        <v>0.56840000000000002</v>
      </c>
      <c r="I257">
        <v>0.56850000000000001</v>
      </c>
    </row>
    <row r="258" spans="1:9" x14ac:dyDescent="0.25">
      <c r="A258" t="s">
        <v>848</v>
      </c>
      <c r="B258">
        <v>1550000</v>
      </c>
      <c r="C258">
        <v>0</v>
      </c>
      <c r="D258">
        <v>0</v>
      </c>
      <c r="E258">
        <v>3.47E-3</v>
      </c>
      <c r="F258">
        <v>2.97E-3</v>
      </c>
      <c r="G258">
        <v>5.0000000000000001E-4</v>
      </c>
      <c r="H258">
        <v>0.80500000000000005</v>
      </c>
      <c r="I258">
        <v>0.80430000000000001</v>
      </c>
    </row>
    <row r="259" spans="1:9" x14ac:dyDescent="0.25">
      <c r="A259" t="s">
        <v>849</v>
      </c>
      <c r="B259">
        <v>1950000</v>
      </c>
      <c r="C259">
        <v>0</v>
      </c>
      <c r="D259">
        <v>0</v>
      </c>
      <c r="E259">
        <v>4.3299999999999996E-3</v>
      </c>
      <c r="F259">
        <v>3.8600000000000001E-3</v>
      </c>
      <c r="G259">
        <v>4.6999999999999999E-4</v>
      </c>
      <c r="H259">
        <v>0.64390000000000003</v>
      </c>
      <c r="I259">
        <v>0.64380000000000004</v>
      </c>
    </row>
    <row r="260" spans="1:9" x14ac:dyDescent="0.25">
      <c r="A260" t="s">
        <v>850</v>
      </c>
      <c r="B260">
        <v>2000000</v>
      </c>
      <c r="C260">
        <v>3.61E-2</v>
      </c>
      <c r="D260">
        <v>1.2999999999999999E-3</v>
      </c>
      <c r="E260">
        <v>3.9100000000000003E-3</v>
      </c>
      <c r="F260">
        <v>3.5200000000000001E-3</v>
      </c>
      <c r="G260">
        <v>4.0000000000000002E-4</v>
      </c>
      <c r="H260">
        <v>0.56679999999999997</v>
      </c>
      <c r="I260">
        <v>0.81840000000000002</v>
      </c>
    </row>
    <row r="261" spans="1:9" x14ac:dyDescent="0.25">
      <c r="A261" t="s">
        <v>851</v>
      </c>
      <c r="B261">
        <v>2600000</v>
      </c>
      <c r="C261">
        <v>3.9399999999999998E-2</v>
      </c>
      <c r="D261">
        <v>8.0000000000000004E-4</v>
      </c>
      <c r="E261">
        <v>4.3299999999999996E-3</v>
      </c>
      <c r="F261">
        <v>3.8999999999999998E-3</v>
      </c>
      <c r="G261">
        <v>4.2999999999999999E-4</v>
      </c>
      <c r="H261">
        <v>0.50219999999999998</v>
      </c>
      <c r="I261">
        <v>0.6925</v>
      </c>
    </row>
    <row r="262" spans="1:9" x14ac:dyDescent="0.25">
      <c r="A262" t="s">
        <v>852</v>
      </c>
      <c r="B262">
        <v>2400000</v>
      </c>
      <c r="C262">
        <v>5.9400000000000001E-2</v>
      </c>
      <c r="D262">
        <v>1.1999999999999999E-3</v>
      </c>
      <c r="E262">
        <v>4.4299999999999999E-3</v>
      </c>
      <c r="F262">
        <v>3.9500000000000004E-3</v>
      </c>
      <c r="G262">
        <v>4.8000000000000001E-4</v>
      </c>
      <c r="H262">
        <v>0.47689999999999999</v>
      </c>
      <c r="I262">
        <v>0.72440000000000004</v>
      </c>
    </row>
    <row r="263" spans="1:9" x14ac:dyDescent="0.25">
      <c r="A263" t="s">
        <v>853</v>
      </c>
      <c r="B263">
        <v>1950000</v>
      </c>
      <c r="C263">
        <v>8.09E-2</v>
      </c>
      <c r="D263">
        <v>1.8E-3</v>
      </c>
      <c r="E263">
        <v>4.8199999999999996E-3</v>
      </c>
      <c r="F263">
        <v>4.1700000000000001E-3</v>
      </c>
      <c r="G263">
        <v>6.4999999999999997E-4</v>
      </c>
      <c r="H263">
        <v>0.45550000000000002</v>
      </c>
      <c r="I263">
        <v>0.7379</v>
      </c>
    </row>
    <row r="264" spans="1:9" x14ac:dyDescent="0.25">
      <c r="A264" t="s">
        <v>854</v>
      </c>
      <c r="B264">
        <v>2500000</v>
      </c>
      <c r="C264">
        <v>8.3699999999999997E-2</v>
      </c>
      <c r="D264">
        <v>1.6999999999999999E-3</v>
      </c>
      <c r="E264">
        <v>4.9800000000000001E-3</v>
      </c>
      <c r="F264">
        <v>4.2700000000000004E-3</v>
      </c>
      <c r="G264">
        <v>7.1000000000000002E-4</v>
      </c>
      <c r="H264">
        <v>0.42730000000000001</v>
      </c>
      <c r="I264">
        <v>0.66490000000000005</v>
      </c>
    </row>
    <row r="265" spans="1:9" x14ac:dyDescent="0.25">
      <c r="A265" t="s">
        <v>855</v>
      </c>
      <c r="B265">
        <v>1800000</v>
      </c>
      <c r="C265">
        <v>7.7399999999999997E-2</v>
      </c>
      <c r="D265">
        <v>1.5E-3</v>
      </c>
      <c r="E265">
        <v>4.3400000000000001E-3</v>
      </c>
      <c r="F265">
        <v>3.82E-3</v>
      </c>
      <c r="G265">
        <v>5.2999999999999998E-4</v>
      </c>
      <c r="H265">
        <v>0.49390000000000001</v>
      </c>
      <c r="I265">
        <v>0.81679999999999997</v>
      </c>
    </row>
    <row r="266" spans="1:9" x14ac:dyDescent="0.25">
      <c r="A266" t="s">
        <v>856</v>
      </c>
      <c r="B266">
        <v>1050000</v>
      </c>
      <c r="C266">
        <v>9.3600000000000003E-2</v>
      </c>
      <c r="D266">
        <v>3.5999999999999999E-3</v>
      </c>
      <c r="E266">
        <v>5.9500000000000004E-3</v>
      </c>
      <c r="F266">
        <v>4.9899999999999996E-3</v>
      </c>
      <c r="G266">
        <v>9.6000000000000002E-4</v>
      </c>
      <c r="H266">
        <v>0.38629999999999998</v>
      </c>
      <c r="I266">
        <v>0.7843</v>
      </c>
    </row>
    <row r="267" spans="1:9" x14ac:dyDescent="0.25">
      <c r="A267" t="s">
        <v>857</v>
      </c>
      <c r="B267">
        <v>650000</v>
      </c>
      <c r="C267">
        <v>0.10150000000000001</v>
      </c>
      <c r="D267">
        <v>8.0999999999999996E-3</v>
      </c>
      <c r="E267">
        <v>7.1799999999999998E-3</v>
      </c>
      <c r="F267">
        <v>5.47E-3</v>
      </c>
      <c r="G267">
        <v>1.7099999999999999E-3</v>
      </c>
      <c r="H267">
        <v>0.3629</v>
      </c>
      <c r="I267">
        <v>0.85960000000000003</v>
      </c>
    </row>
    <row r="268" spans="1:9" x14ac:dyDescent="0.25">
      <c r="A268" t="s">
        <v>858</v>
      </c>
      <c r="B268">
        <v>3000000</v>
      </c>
      <c r="C268">
        <v>0.45669999999999999</v>
      </c>
      <c r="D268">
        <v>-5.8200000000000002E-2</v>
      </c>
      <c r="E268">
        <v>7.7400000000000004E-3</v>
      </c>
      <c r="F268">
        <v>5.7499999999999999E-3</v>
      </c>
      <c r="G268">
        <v>1.98E-3</v>
      </c>
      <c r="H268">
        <v>0.4274</v>
      </c>
      <c r="I268">
        <v>1.4E-2</v>
      </c>
    </row>
    <row r="269" spans="1:9" x14ac:dyDescent="0.25">
      <c r="A269" t="s">
        <v>859</v>
      </c>
      <c r="B269">
        <v>3000000</v>
      </c>
      <c r="C269">
        <v>0.51219999999999999</v>
      </c>
      <c r="D269">
        <v>-0.1227</v>
      </c>
      <c r="E269">
        <v>4.5799999999999999E-3</v>
      </c>
      <c r="F269">
        <v>3.5500000000000002E-3</v>
      </c>
      <c r="G269">
        <v>1.0300000000000001E-3</v>
      </c>
      <c r="H269">
        <v>0.63200000000000001</v>
      </c>
      <c r="I269">
        <v>0.63390000000000002</v>
      </c>
    </row>
    <row r="270" spans="1:9" x14ac:dyDescent="0.25">
      <c r="A270" t="s">
        <v>860</v>
      </c>
      <c r="B270">
        <v>3000000</v>
      </c>
      <c r="C270">
        <v>0.50029999999999997</v>
      </c>
      <c r="D270">
        <v>-0.12130000000000001</v>
      </c>
      <c r="E270">
        <v>4.7099999999999998E-3</v>
      </c>
      <c r="F270">
        <v>3.5899999999999999E-3</v>
      </c>
      <c r="G270">
        <v>1.1199999999999999E-3</v>
      </c>
      <c r="H270">
        <v>0.62760000000000005</v>
      </c>
      <c r="I270">
        <v>0.6331</v>
      </c>
    </row>
    <row r="271" spans="1:9" x14ac:dyDescent="0.25">
      <c r="A271" t="s">
        <v>861</v>
      </c>
      <c r="B271">
        <v>3000000</v>
      </c>
      <c r="C271">
        <v>0.46750000000000003</v>
      </c>
      <c r="D271">
        <v>-7.4800000000000005E-2</v>
      </c>
      <c r="E271">
        <v>7.0000000000000001E-3</v>
      </c>
      <c r="F271">
        <v>5.4900000000000001E-3</v>
      </c>
      <c r="G271">
        <v>1.5100000000000001E-3</v>
      </c>
      <c r="H271">
        <v>0.53839999999999999</v>
      </c>
      <c r="I271">
        <v>2.47E-2</v>
      </c>
    </row>
    <row r="272" spans="1:9" x14ac:dyDescent="0.25">
      <c r="A272" t="s">
        <v>862</v>
      </c>
      <c r="B272">
        <v>3000000</v>
      </c>
      <c r="C272">
        <v>0.2082</v>
      </c>
      <c r="D272">
        <v>-8.8000000000000005E-3</v>
      </c>
      <c r="E272">
        <v>6.43E-3</v>
      </c>
      <c r="F272">
        <v>5.3899999999999998E-3</v>
      </c>
      <c r="G272">
        <v>1.0300000000000001E-3</v>
      </c>
      <c r="H272">
        <v>0.52639999999999998</v>
      </c>
      <c r="I272">
        <v>6.1400000000000003E-2</v>
      </c>
    </row>
    <row r="273" spans="1:9" x14ac:dyDescent="0.25">
      <c r="A273" t="s">
        <v>863</v>
      </c>
      <c r="B273">
        <v>2300000</v>
      </c>
      <c r="C273">
        <v>0.68100000000000005</v>
      </c>
      <c r="D273">
        <v>-0.1948</v>
      </c>
      <c r="E273">
        <v>5.11E-3</v>
      </c>
      <c r="F273">
        <v>4.13E-3</v>
      </c>
      <c r="G273">
        <v>9.7999999999999997E-4</v>
      </c>
      <c r="H273">
        <v>0.7389</v>
      </c>
      <c r="I273">
        <v>0.3196</v>
      </c>
    </row>
    <row r="274" spans="1:9" x14ac:dyDescent="0.25">
      <c r="A274" t="s">
        <v>864</v>
      </c>
      <c r="B274">
        <v>3000000</v>
      </c>
      <c r="C274">
        <v>0.56720000000000004</v>
      </c>
      <c r="D274">
        <v>-9.5200000000000007E-2</v>
      </c>
      <c r="E274">
        <v>5.2399999999999999E-3</v>
      </c>
      <c r="F274">
        <v>3.9399999999999999E-3</v>
      </c>
      <c r="G274">
        <v>1.31E-3</v>
      </c>
      <c r="H274">
        <v>0.51470000000000005</v>
      </c>
      <c r="I274">
        <v>0.65949999999999998</v>
      </c>
    </row>
    <row r="275" spans="1:9" x14ac:dyDescent="0.25">
      <c r="A275" t="s">
        <v>865</v>
      </c>
      <c r="B275">
        <v>1000000</v>
      </c>
      <c r="C275">
        <v>0.24560000000000001</v>
      </c>
      <c r="D275">
        <v>-8.9300000000000004E-2</v>
      </c>
      <c r="E275">
        <v>1.669E-2</v>
      </c>
      <c r="F275">
        <v>3.8999999999999998E-3</v>
      </c>
      <c r="G275">
        <v>1.2789999999999999E-2</v>
      </c>
      <c r="H275">
        <v>0.7641</v>
      </c>
      <c r="I275">
        <v>0.66490000000000005</v>
      </c>
    </row>
    <row r="276" spans="1:9" x14ac:dyDescent="0.25">
      <c r="A276" t="s">
        <v>866</v>
      </c>
      <c r="B276">
        <v>1800000</v>
      </c>
      <c r="C276">
        <v>0.46579999999999999</v>
      </c>
      <c r="D276">
        <v>-0.11119999999999999</v>
      </c>
      <c r="E276">
        <v>4.3800000000000002E-3</v>
      </c>
      <c r="F276">
        <v>3.29E-3</v>
      </c>
      <c r="G276">
        <v>1.08E-3</v>
      </c>
      <c r="H276">
        <v>0.76680000000000004</v>
      </c>
      <c r="I276">
        <v>0.72350000000000003</v>
      </c>
    </row>
    <row r="277" spans="1:9" x14ac:dyDescent="0.25">
      <c r="A277" t="s">
        <v>867</v>
      </c>
      <c r="B277">
        <v>1400000</v>
      </c>
      <c r="C277">
        <v>0.51060000000000005</v>
      </c>
      <c r="D277">
        <v>-0.1181</v>
      </c>
      <c r="E277">
        <v>5.5900000000000004E-3</v>
      </c>
      <c r="F277">
        <v>4.7999999999999996E-3</v>
      </c>
      <c r="G277">
        <v>7.9000000000000001E-4</v>
      </c>
      <c r="H277">
        <v>0.60940000000000005</v>
      </c>
      <c r="I277">
        <v>0.4607</v>
      </c>
    </row>
    <row r="278" spans="1:9" x14ac:dyDescent="0.25">
      <c r="A278" t="s">
        <v>868</v>
      </c>
      <c r="B278">
        <v>2600000</v>
      </c>
      <c r="C278">
        <v>0.51</v>
      </c>
      <c r="D278">
        <v>-0.1201</v>
      </c>
      <c r="E278">
        <v>5.1700000000000001E-3</v>
      </c>
      <c r="F278">
        <v>4.5599999999999998E-3</v>
      </c>
      <c r="G278">
        <v>6.0999999999999997E-4</v>
      </c>
      <c r="H278">
        <v>0.54690000000000005</v>
      </c>
      <c r="I278">
        <v>0.40920000000000001</v>
      </c>
    </row>
    <row r="279" spans="1:9" x14ac:dyDescent="0.25">
      <c r="A279" t="s">
        <v>869</v>
      </c>
      <c r="B279">
        <v>3000000</v>
      </c>
      <c r="C279">
        <v>0.51370000000000005</v>
      </c>
      <c r="D279">
        <v>-0.11890000000000001</v>
      </c>
      <c r="E279">
        <v>4.7699999999999999E-3</v>
      </c>
      <c r="F279">
        <v>4.1999999999999997E-3</v>
      </c>
      <c r="G279">
        <v>5.6999999999999998E-4</v>
      </c>
      <c r="H279">
        <v>0.58130000000000004</v>
      </c>
      <c r="I279">
        <v>0.4249</v>
      </c>
    </row>
    <row r="280" spans="1:9" x14ac:dyDescent="0.25">
      <c r="A280" t="s">
        <v>870</v>
      </c>
      <c r="B280">
        <v>3000000</v>
      </c>
      <c r="C280">
        <v>0.51419999999999999</v>
      </c>
      <c r="D280">
        <v>-0.1174</v>
      </c>
      <c r="E280">
        <v>5.6800000000000002E-3</v>
      </c>
      <c r="F280">
        <v>4.8300000000000001E-3</v>
      </c>
      <c r="G280">
        <v>8.5999999999999998E-4</v>
      </c>
      <c r="H280">
        <v>0.45450000000000002</v>
      </c>
      <c r="I280">
        <v>0.38440000000000002</v>
      </c>
    </row>
    <row r="281" spans="1:9" x14ac:dyDescent="0.25">
      <c r="A281" t="s">
        <v>871</v>
      </c>
      <c r="B281">
        <v>775000</v>
      </c>
      <c r="C281">
        <v>0.57630000000000003</v>
      </c>
      <c r="D281">
        <v>-0.13070000000000001</v>
      </c>
      <c r="E281">
        <v>7.43E-3</v>
      </c>
      <c r="F281">
        <v>6.0600000000000003E-3</v>
      </c>
      <c r="G281">
        <v>1.3699999999999999E-3</v>
      </c>
      <c r="H281">
        <v>0.60640000000000005</v>
      </c>
      <c r="I281">
        <v>0.31659999999999999</v>
      </c>
    </row>
    <row r="282" spans="1:9" x14ac:dyDescent="0.25">
      <c r="A282" t="s">
        <v>872</v>
      </c>
      <c r="B282">
        <v>1150000</v>
      </c>
      <c r="C282">
        <v>0.53190000000000004</v>
      </c>
      <c r="D282">
        <v>-0.12659999999999999</v>
      </c>
      <c r="E282">
        <v>5.8599999999999998E-3</v>
      </c>
      <c r="F282">
        <v>4.4900000000000001E-3</v>
      </c>
      <c r="G282">
        <v>1.3699999999999999E-3</v>
      </c>
      <c r="H282">
        <v>0.67359999999999998</v>
      </c>
      <c r="I282">
        <v>0.62670000000000003</v>
      </c>
    </row>
    <row r="283" spans="1:9" x14ac:dyDescent="0.25">
      <c r="A283" t="s">
        <v>873</v>
      </c>
      <c r="B283">
        <v>3000000</v>
      </c>
      <c r="C283">
        <v>0.47299999999999998</v>
      </c>
      <c r="D283">
        <v>-0.11360000000000001</v>
      </c>
      <c r="E283">
        <v>4.7299999999999998E-3</v>
      </c>
      <c r="F283">
        <v>3.8600000000000001E-3</v>
      </c>
      <c r="G283">
        <v>8.7000000000000001E-4</v>
      </c>
      <c r="H283">
        <v>0.60850000000000004</v>
      </c>
      <c r="I283">
        <v>0.57520000000000004</v>
      </c>
    </row>
    <row r="284" spans="1:9" x14ac:dyDescent="0.25">
      <c r="A284" t="s">
        <v>874</v>
      </c>
      <c r="B284">
        <v>2100000</v>
      </c>
      <c r="C284">
        <v>0.55210000000000004</v>
      </c>
      <c r="D284">
        <v>-0.13070000000000001</v>
      </c>
      <c r="E284">
        <v>5.1399999999999996E-3</v>
      </c>
      <c r="F284">
        <v>3.8500000000000001E-3</v>
      </c>
      <c r="G284">
        <v>1.2899999999999999E-3</v>
      </c>
      <c r="H284">
        <v>0.6633</v>
      </c>
      <c r="I284">
        <v>0.61229999999999996</v>
      </c>
    </row>
    <row r="285" spans="1:9" x14ac:dyDescent="0.25">
      <c r="A285" t="s">
        <v>875</v>
      </c>
      <c r="B285">
        <v>2300000</v>
      </c>
      <c r="C285">
        <v>0.59850000000000003</v>
      </c>
      <c r="D285">
        <v>-0.1331</v>
      </c>
      <c r="E285">
        <v>6.0499999999999998E-3</v>
      </c>
      <c r="F285">
        <v>4.8399999999999997E-3</v>
      </c>
      <c r="G285">
        <v>1.2099999999999999E-3</v>
      </c>
      <c r="H285">
        <v>0.47089999999999999</v>
      </c>
      <c r="I285">
        <v>0.52569999999999995</v>
      </c>
    </row>
    <row r="286" spans="1:9" x14ac:dyDescent="0.25">
      <c r="A286" t="s">
        <v>876</v>
      </c>
      <c r="B286">
        <v>3000000</v>
      </c>
      <c r="C286">
        <v>0.58330000000000004</v>
      </c>
      <c r="D286">
        <v>-0.1285</v>
      </c>
      <c r="E286">
        <v>5.2199999999999998E-3</v>
      </c>
      <c r="F286">
        <v>4.0899999999999999E-3</v>
      </c>
      <c r="G286">
        <v>1.1299999999999999E-3</v>
      </c>
      <c r="H286">
        <v>0.52510000000000001</v>
      </c>
      <c r="I286">
        <v>0.61409999999999998</v>
      </c>
    </row>
    <row r="287" spans="1:9" x14ac:dyDescent="0.25">
      <c r="A287" t="s">
        <v>877</v>
      </c>
      <c r="B287">
        <v>3000000</v>
      </c>
      <c r="C287">
        <v>0.57279999999999998</v>
      </c>
      <c r="D287">
        <v>-0.1295</v>
      </c>
      <c r="E287">
        <v>5.0299999999999997E-3</v>
      </c>
      <c r="F287">
        <v>3.9500000000000004E-3</v>
      </c>
      <c r="G287">
        <v>1.08E-3</v>
      </c>
      <c r="H287">
        <v>0.58389999999999997</v>
      </c>
      <c r="I287">
        <v>0.56610000000000005</v>
      </c>
    </row>
    <row r="288" spans="1:9" x14ac:dyDescent="0.25">
      <c r="A288" t="s">
        <v>878</v>
      </c>
      <c r="B288">
        <v>2900000</v>
      </c>
      <c r="C288">
        <v>0.69099999999999995</v>
      </c>
      <c r="D288">
        <v>-0.159</v>
      </c>
      <c r="E288">
        <v>5.0899999999999999E-3</v>
      </c>
      <c r="F288">
        <v>4.3299999999999996E-3</v>
      </c>
      <c r="G288">
        <v>7.6000000000000004E-4</v>
      </c>
      <c r="H288">
        <v>0.58530000000000004</v>
      </c>
      <c r="I288">
        <v>0.374</v>
      </c>
    </row>
    <row r="289" spans="1:9" x14ac:dyDescent="0.25">
      <c r="A289" t="s">
        <v>879</v>
      </c>
      <c r="B289">
        <v>3000000</v>
      </c>
      <c r="C289">
        <v>0.69230000000000003</v>
      </c>
      <c r="D289">
        <v>-0.15840000000000001</v>
      </c>
      <c r="E289">
        <v>5.1999999999999998E-3</v>
      </c>
      <c r="F289">
        <v>4.3699999999999998E-3</v>
      </c>
      <c r="G289">
        <v>8.3000000000000001E-4</v>
      </c>
      <c r="H289">
        <v>0.56469999999999998</v>
      </c>
      <c r="I289">
        <v>0.38040000000000002</v>
      </c>
    </row>
    <row r="290" spans="1:9" x14ac:dyDescent="0.25">
      <c r="A290" t="s">
        <v>880</v>
      </c>
      <c r="B290">
        <v>3000000</v>
      </c>
      <c r="C290">
        <v>0.8296</v>
      </c>
      <c r="D290">
        <v>-0.18840000000000001</v>
      </c>
      <c r="E290">
        <v>5.4299999999999999E-3</v>
      </c>
      <c r="F290">
        <v>4.3800000000000002E-3</v>
      </c>
      <c r="G290">
        <v>1.0499999999999999E-3</v>
      </c>
      <c r="H290">
        <v>0.56710000000000005</v>
      </c>
      <c r="I290">
        <v>0.36620000000000003</v>
      </c>
    </row>
    <row r="291" spans="1:9" x14ac:dyDescent="0.25">
      <c r="A291" t="s">
        <v>881</v>
      </c>
      <c r="B291">
        <v>750000</v>
      </c>
      <c r="C291">
        <v>0.91769999999999996</v>
      </c>
      <c r="D291">
        <v>-0.2072</v>
      </c>
      <c r="E291">
        <v>8.0400000000000003E-3</v>
      </c>
      <c r="F291">
        <v>5.8799999999999998E-3</v>
      </c>
      <c r="G291">
        <v>2.16E-3</v>
      </c>
      <c r="H291">
        <v>0.61129999999999995</v>
      </c>
      <c r="I291">
        <v>0.3674</v>
      </c>
    </row>
    <row r="292" spans="1:9" x14ac:dyDescent="0.25">
      <c r="A292" t="s">
        <v>882</v>
      </c>
      <c r="B292">
        <v>3000000</v>
      </c>
      <c r="C292">
        <v>0.32200000000000001</v>
      </c>
      <c r="D292">
        <v>-5.45E-2</v>
      </c>
      <c r="E292">
        <v>9.4900000000000002E-3</v>
      </c>
      <c r="F292">
        <v>7.4400000000000004E-3</v>
      </c>
      <c r="G292">
        <v>2.0600000000000002E-3</v>
      </c>
      <c r="H292">
        <v>7.8899999999999998E-2</v>
      </c>
      <c r="I292">
        <v>6.7999999999999996E-3</v>
      </c>
    </row>
    <row r="293" spans="1:9" x14ac:dyDescent="0.25">
      <c r="A293" t="s">
        <v>883</v>
      </c>
      <c r="B293">
        <v>3000000</v>
      </c>
      <c r="C293">
        <v>0.61950000000000005</v>
      </c>
      <c r="D293">
        <v>-0.12790000000000001</v>
      </c>
      <c r="E293">
        <v>9.9600000000000001E-3</v>
      </c>
      <c r="F293">
        <v>7.3099999999999997E-3</v>
      </c>
      <c r="G293">
        <v>2.65E-3</v>
      </c>
      <c r="H293">
        <v>8.0100000000000005E-2</v>
      </c>
      <c r="I293">
        <v>5.7000000000000002E-3</v>
      </c>
    </row>
    <row r="294" spans="1:9" x14ac:dyDescent="0.25">
      <c r="A294" t="s">
        <v>884</v>
      </c>
      <c r="B294">
        <v>550000</v>
      </c>
      <c r="C294">
        <v>0.62739999999999996</v>
      </c>
      <c r="D294">
        <v>-0.13589999999999999</v>
      </c>
      <c r="E294">
        <v>9.0600000000000003E-3</v>
      </c>
      <c r="F294">
        <v>6.3499999999999997E-3</v>
      </c>
      <c r="G294">
        <v>2.7100000000000002E-3</v>
      </c>
      <c r="H294">
        <v>0.4884</v>
      </c>
      <c r="I294">
        <v>0.58950000000000002</v>
      </c>
    </row>
    <row r="295" spans="1:9" x14ac:dyDescent="0.25">
      <c r="A295" t="s">
        <v>885</v>
      </c>
      <c r="B295">
        <v>3000000</v>
      </c>
      <c r="C295">
        <v>0.43530000000000002</v>
      </c>
      <c r="D295">
        <v>-8.6099999999999996E-2</v>
      </c>
      <c r="E295">
        <v>5.5999999999999999E-3</v>
      </c>
      <c r="F295">
        <v>4.4600000000000004E-3</v>
      </c>
      <c r="G295">
        <v>1.14E-3</v>
      </c>
      <c r="H295">
        <v>0.48370000000000002</v>
      </c>
      <c r="I295">
        <v>0.54579999999999995</v>
      </c>
    </row>
    <row r="296" spans="1:9" x14ac:dyDescent="0.25">
      <c r="A296" t="s">
        <v>886</v>
      </c>
      <c r="B296">
        <v>3000000</v>
      </c>
      <c r="C296">
        <v>0.4405</v>
      </c>
      <c r="D296">
        <v>-9.0399999999999994E-2</v>
      </c>
      <c r="E296">
        <v>5.6699999999999997E-3</v>
      </c>
      <c r="F296">
        <v>4.4799999999999996E-3</v>
      </c>
      <c r="G296">
        <v>1.1900000000000001E-3</v>
      </c>
      <c r="H296">
        <v>0.47120000000000001</v>
      </c>
      <c r="I296">
        <v>0.54969999999999997</v>
      </c>
    </row>
    <row r="297" spans="1:9" x14ac:dyDescent="0.25">
      <c r="A297" t="s">
        <v>887</v>
      </c>
      <c r="B297">
        <v>3000000</v>
      </c>
      <c r="C297">
        <v>0.46820000000000001</v>
      </c>
      <c r="D297">
        <v>-9.4E-2</v>
      </c>
      <c r="E297">
        <v>5.5700000000000003E-3</v>
      </c>
      <c r="F297">
        <v>4.4000000000000003E-3</v>
      </c>
      <c r="G297">
        <v>1.1800000000000001E-3</v>
      </c>
      <c r="H297">
        <v>0.4854</v>
      </c>
      <c r="I297">
        <v>0.55779999999999996</v>
      </c>
    </row>
    <row r="298" spans="1:9" x14ac:dyDescent="0.25">
      <c r="A298" t="s">
        <v>888</v>
      </c>
      <c r="B298">
        <v>3000000</v>
      </c>
      <c r="C298">
        <v>0.51870000000000005</v>
      </c>
      <c r="D298">
        <v>-0.111</v>
      </c>
      <c r="E298">
        <v>5.96E-3</v>
      </c>
      <c r="F298">
        <v>4.5799999999999999E-3</v>
      </c>
      <c r="G298">
        <v>1.3799999999999999E-3</v>
      </c>
      <c r="H298">
        <v>0.49080000000000001</v>
      </c>
      <c r="I298">
        <v>0.49740000000000001</v>
      </c>
    </row>
    <row r="299" spans="1:9" x14ac:dyDescent="0.25">
      <c r="A299" t="s">
        <v>889</v>
      </c>
      <c r="B299">
        <v>3000000</v>
      </c>
      <c r="C299">
        <v>0.50549999999999995</v>
      </c>
      <c r="D299">
        <v>-0.10059999999999999</v>
      </c>
      <c r="E299">
        <v>6.13E-3</v>
      </c>
      <c r="F299">
        <v>4.8799999999999998E-3</v>
      </c>
      <c r="G299">
        <v>1.25E-3</v>
      </c>
      <c r="H299">
        <v>0.43259999999999998</v>
      </c>
      <c r="I299">
        <v>0.46610000000000001</v>
      </c>
    </row>
    <row r="300" spans="1:9" x14ac:dyDescent="0.25">
      <c r="A300" t="s">
        <v>890</v>
      </c>
      <c r="B300">
        <v>1250000</v>
      </c>
      <c r="C300">
        <v>-5.5999999999999999E-3</v>
      </c>
      <c r="D300">
        <v>2.4899999999999999E-2</v>
      </c>
      <c r="E300">
        <v>5.0800000000000003E-3</v>
      </c>
      <c r="F300">
        <v>4.4099999999999999E-3</v>
      </c>
      <c r="G300">
        <v>6.7000000000000002E-4</v>
      </c>
      <c r="H300">
        <v>0.37480000000000002</v>
      </c>
      <c r="I300">
        <v>0.82879999999999998</v>
      </c>
    </row>
    <row r="301" spans="1:9" x14ac:dyDescent="0.25">
      <c r="A301" t="s">
        <v>891</v>
      </c>
      <c r="B301">
        <v>925000</v>
      </c>
      <c r="C301">
        <v>3.04E-2</v>
      </c>
      <c r="D301">
        <v>2.1000000000000001E-2</v>
      </c>
      <c r="E301">
        <v>5.47E-3</v>
      </c>
      <c r="F301">
        <v>4.4200000000000003E-3</v>
      </c>
      <c r="G301">
        <v>1.0499999999999999E-3</v>
      </c>
      <c r="H301">
        <v>0.44030000000000002</v>
      </c>
      <c r="I301">
        <v>0.88009999999999999</v>
      </c>
    </row>
    <row r="302" spans="1:9" x14ac:dyDescent="0.25">
      <c r="A302" t="s">
        <v>892</v>
      </c>
      <c r="B302">
        <v>3000000</v>
      </c>
      <c r="C302">
        <v>0.47789999999999999</v>
      </c>
      <c r="D302">
        <v>-9.7600000000000006E-2</v>
      </c>
      <c r="E302">
        <v>5.6600000000000001E-3</v>
      </c>
      <c r="F302">
        <v>4.64E-3</v>
      </c>
      <c r="G302">
        <v>1.0300000000000001E-3</v>
      </c>
      <c r="H302">
        <v>0.4728</v>
      </c>
      <c r="I302">
        <v>0.47889999999999999</v>
      </c>
    </row>
    <row r="303" spans="1:9" x14ac:dyDescent="0.25">
      <c r="A303" t="s">
        <v>893</v>
      </c>
      <c r="B303">
        <v>3000000</v>
      </c>
      <c r="C303">
        <v>0.4753</v>
      </c>
      <c r="D303">
        <v>-9.6699999999999994E-2</v>
      </c>
      <c r="E303">
        <v>5.7600000000000004E-3</v>
      </c>
      <c r="F303">
        <v>4.6600000000000001E-3</v>
      </c>
      <c r="G303">
        <v>1.1100000000000001E-3</v>
      </c>
      <c r="H303">
        <v>0.46920000000000001</v>
      </c>
      <c r="I303">
        <v>0.47460000000000002</v>
      </c>
    </row>
    <row r="304" spans="1:9" x14ac:dyDescent="0.25">
      <c r="A304" t="s">
        <v>894</v>
      </c>
      <c r="B304">
        <v>3000000</v>
      </c>
      <c r="C304">
        <v>0.48559999999999998</v>
      </c>
      <c r="D304">
        <v>-0.10340000000000001</v>
      </c>
      <c r="E304">
        <v>5.7299999999999999E-3</v>
      </c>
      <c r="F304">
        <v>4.4099999999999999E-3</v>
      </c>
      <c r="G304">
        <v>1.32E-3</v>
      </c>
      <c r="H304">
        <v>0.52349999999999997</v>
      </c>
      <c r="I304">
        <v>0.52039999999999997</v>
      </c>
    </row>
    <row r="305" spans="1:9" x14ac:dyDescent="0.25">
      <c r="A305" t="s">
        <v>895</v>
      </c>
      <c r="B305">
        <v>1250000</v>
      </c>
      <c r="C305">
        <v>0.53190000000000004</v>
      </c>
      <c r="D305">
        <v>-0.10780000000000001</v>
      </c>
      <c r="E305">
        <v>6.0800000000000003E-3</v>
      </c>
      <c r="F305">
        <v>4.5999999999999999E-3</v>
      </c>
      <c r="G305">
        <v>1.48E-3</v>
      </c>
      <c r="H305">
        <v>0.65469999999999995</v>
      </c>
      <c r="I305">
        <v>0.60150000000000003</v>
      </c>
    </row>
    <row r="306" spans="1:9" x14ac:dyDescent="0.25">
      <c r="A306" t="s">
        <v>896</v>
      </c>
      <c r="B306">
        <v>1150000</v>
      </c>
      <c r="C306">
        <v>0.51200000000000001</v>
      </c>
      <c r="D306">
        <v>-0.1003</v>
      </c>
      <c r="E306">
        <v>6.3499999999999997E-3</v>
      </c>
      <c r="F306">
        <v>4.47E-3</v>
      </c>
      <c r="G306">
        <v>1.8799999999999999E-3</v>
      </c>
      <c r="H306">
        <v>0.64890000000000003</v>
      </c>
      <c r="I306">
        <v>0.68510000000000004</v>
      </c>
    </row>
    <row r="307" spans="1:9" x14ac:dyDescent="0.25">
      <c r="A307" t="s">
        <v>897</v>
      </c>
      <c r="B307">
        <v>625000</v>
      </c>
      <c r="C307">
        <v>0.14710000000000001</v>
      </c>
      <c r="D307">
        <v>-1.49E-2</v>
      </c>
      <c r="E307">
        <v>5.6800000000000002E-3</v>
      </c>
      <c r="F307">
        <v>4.0000000000000001E-3</v>
      </c>
      <c r="G307">
        <v>1.6900000000000001E-3</v>
      </c>
      <c r="H307">
        <v>0.70620000000000005</v>
      </c>
      <c r="I307">
        <v>0.82169999999999999</v>
      </c>
    </row>
    <row r="308" spans="1:9" x14ac:dyDescent="0.25">
      <c r="A308" t="s">
        <v>898</v>
      </c>
      <c r="B308">
        <v>1000000</v>
      </c>
      <c r="C308">
        <v>0.16600000000000001</v>
      </c>
      <c r="D308">
        <v>-2.18E-2</v>
      </c>
      <c r="E308">
        <v>4.5399999999999998E-3</v>
      </c>
      <c r="F308">
        <v>3.6800000000000001E-3</v>
      </c>
      <c r="G308">
        <v>8.5999999999999998E-4</v>
      </c>
      <c r="H308">
        <v>0.67220000000000002</v>
      </c>
      <c r="I308">
        <v>0.89529999999999998</v>
      </c>
    </row>
    <row r="309" spans="1:9" x14ac:dyDescent="0.25">
      <c r="A309" t="s">
        <v>899</v>
      </c>
      <c r="B309">
        <v>1300000</v>
      </c>
      <c r="C309">
        <v>0.1237</v>
      </c>
      <c r="D309">
        <v>-1.32E-2</v>
      </c>
      <c r="E309">
        <v>4.7400000000000003E-3</v>
      </c>
      <c r="F309">
        <v>3.7499999999999999E-3</v>
      </c>
      <c r="G309">
        <v>9.8999999999999999E-4</v>
      </c>
      <c r="H309">
        <v>0.53839999999999999</v>
      </c>
      <c r="I309">
        <v>0.91559999999999997</v>
      </c>
    </row>
    <row r="310" spans="1:9" x14ac:dyDescent="0.25">
      <c r="A310" t="s">
        <v>900</v>
      </c>
      <c r="B310">
        <v>3000000</v>
      </c>
      <c r="C310">
        <v>0.66600000000000004</v>
      </c>
      <c r="D310">
        <v>-0.1404</v>
      </c>
      <c r="E310">
        <v>9.4299999999999991E-3</v>
      </c>
      <c r="F310">
        <v>5.9500000000000004E-3</v>
      </c>
      <c r="G310">
        <v>3.48E-3</v>
      </c>
      <c r="H310">
        <v>0.30470000000000003</v>
      </c>
      <c r="I310">
        <v>0.20499999999999999</v>
      </c>
    </row>
    <row r="311" spans="1:9" x14ac:dyDescent="0.25">
      <c r="A311" t="s">
        <v>901</v>
      </c>
      <c r="B311">
        <v>525000</v>
      </c>
      <c r="C311">
        <v>0</v>
      </c>
      <c r="D311">
        <v>0</v>
      </c>
      <c r="E311">
        <v>5.8100000000000001E-3</v>
      </c>
      <c r="F311">
        <v>4.1900000000000001E-3</v>
      </c>
      <c r="G311">
        <v>1.6199999999999999E-3</v>
      </c>
      <c r="H311">
        <v>0.749</v>
      </c>
      <c r="I311">
        <v>0.74839999999999995</v>
      </c>
    </row>
    <row r="312" spans="1:9" x14ac:dyDescent="0.25">
      <c r="A312" t="s">
        <v>902</v>
      </c>
      <c r="B312">
        <v>500000</v>
      </c>
      <c r="C312">
        <v>0</v>
      </c>
      <c r="D312">
        <v>0</v>
      </c>
      <c r="E312">
        <v>7.2700000000000004E-3</v>
      </c>
      <c r="F312">
        <v>5.2900000000000004E-3</v>
      </c>
      <c r="G312">
        <v>1.98E-3</v>
      </c>
      <c r="H312">
        <v>0.61699999999999999</v>
      </c>
      <c r="I312">
        <v>0.61660000000000004</v>
      </c>
    </row>
    <row r="313" spans="1:9" x14ac:dyDescent="0.25">
      <c r="A313" t="s">
        <v>903</v>
      </c>
      <c r="B313">
        <v>3000000</v>
      </c>
      <c r="C313">
        <v>0</v>
      </c>
      <c r="D313">
        <v>0</v>
      </c>
      <c r="E313">
        <v>4.8399999999999997E-3</v>
      </c>
      <c r="F313">
        <v>4.1999999999999997E-3</v>
      </c>
      <c r="G313">
        <v>6.4000000000000005E-4</v>
      </c>
      <c r="H313">
        <v>0.51939999999999997</v>
      </c>
      <c r="I313">
        <v>0.51970000000000005</v>
      </c>
    </row>
    <row r="314" spans="1:9" x14ac:dyDescent="0.25">
      <c r="A314" t="s">
        <v>904</v>
      </c>
      <c r="B314">
        <v>3000000</v>
      </c>
      <c r="C314">
        <v>0</v>
      </c>
      <c r="D314">
        <v>0</v>
      </c>
      <c r="E314">
        <v>4.7699999999999999E-3</v>
      </c>
      <c r="F314">
        <v>4.0800000000000003E-3</v>
      </c>
      <c r="G314">
        <v>6.8000000000000005E-4</v>
      </c>
      <c r="H314">
        <v>0.5393</v>
      </c>
      <c r="I314">
        <v>0.53969999999999996</v>
      </c>
    </row>
    <row r="315" spans="1:9" x14ac:dyDescent="0.25">
      <c r="A315" t="s">
        <v>905</v>
      </c>
      <c r="B315">
        <v>3000000</v>
      </c>
      <c r="C315">
        <v>0</v>
      </c>
      <c r="D315">
        <v>0</v>
      </c>
      <c r="E315">
        <v>4.7499999999999999E-3</v>
      </c>
      <c r="F315">
        <v>4.0899999999999999E-3</v>
      </c>
      <c r="G315">
        <v>6.6E-4</v>
      </c>
      <c r="H315">
        <v>0.53879999999999995</v>
      </c>
      <c r="I315">
        <v>0.53869999999999996</v>
      </c>
    </row>
    <row r="316" spans="1:9" x14ac:dyDescent="0.25">
      <c r="A316" t="s">
        <v>906</v>
      </c>
      <c r="B316">
        <v>3000000</v>
      </c>
      <c r="C316">
        <v>0</v>
      </c>
      <c r="D316">
        <v>0</v>
      </c>
      <c r="E316">
        <v>4.7499999999999999E-3</v>
      </c>
      <c r="F316">
        <v>4.0899999999999999E-3</v>
      </c>
      <c r="G316">
        <v>6.6E-4</v>
      </c>
      <c r="H316">
        <v>0.53879999999999995</v>
      </c>
      <c r="I316">
        <v>0.53869999999999996</v>
      </c>
    </row>
    <row r="317" spans="1:9" x14ac:dyDescent="0.25">
      <c r="A317" t="s">
        <v>907</v>
      </c>
      <c r="B317">
        <v>3000000</v>
      </c>
      <c r="C317">
        <v>1.1894</v>
      </c>
      <c r="D317">
        <v>-0.26140000000000002</v>
      </c>
      <c r="E317">
        <v>7.4200000000000004E-3</v>
      </c>
      <c r="F317">
        <v>5.2399999999999999E-3</v>
      </c>
      <c r="G317">
        <v>2.1800000000000001E-3</v>
      </c>
      <c r="H317">
        <v>0.5242</v>
      </c>
      <c r="I317">
        <v>2.9000000000000001E-2</v>
      </c>
    </row>
    <row r="318" spans="1:9" x14ac:dyDescent="0.25">
      <c r="A318" t="s">
        <v>908</v>
      </c>
      <c r="B318">
        <v>3000000</v>
      </c>
      <c r="C318">
        <v>0.94389999999999996</v>
      </c>
      <c r="D318">
        <v>-0.19220000000000001</v>
      </c>
      <c r="E318">
        <v>6.4900000000000001E-3</v>
      </c>
      <c r="F318">
        <v>4.96E-3</v>
      </c>
      <c r="G318">
        <v>1.5200000000000001E-3</v>
      </c>
      <c r="H318">
        <v>0.58040000000000003</v>
      </c>
      <c r="I318">
        <v>8.4199999999999997E-2</v>
      </c>
    </row>
    <row r="319" spans="1:9" x14ac:dyDescent="0.25">
      <c r="A319" t="s">
        <v>909</v>
      </c>
      <c r="B319">
        <v>3000000</v>
      </c>
      <c r="C319">
        <v>0.61140000000000005</v>
      </c>
      <c r="D319">
        <v>-0.14169999999999999</v>
      </c>
      <c r="E319">
        <v>4.7200000000000002E-3</v>
      </c>
      <c r="F319">
        <v>3.6099999999999999E-3</v>
      </c>
      <c r="G319">
        <v>1.1100000000000001E-3</v>
      </c>
      <c r="H319">
        <v>0.65439999999999998</v>
      </c>
      <c r="I319">
        <v>0.62019999999999997</v>
      </c>
    </row>
    <row r="320" spans="1:9" x14ac:dyDescent="0.25">
      <c r="A320" t="s">
        <v>910</v>
      </c>
      <c r="B320">
        <v>3000000</v>
      </c>
      <c r="C320">
        <v>0.59089999999999998</v>
      </c>
      <c r="D320">
        <v>-0.1215</v>
      </c>
      <c r="E320">
        <v>4.7600000000000003E-3</v>
      </c>
      <c r="F320">
        <v>3.5500000000000002E-3</v>
      </c>
      <c r="G320">
        <v>1.2099999999999999E-3</v>
      </c>
      <c r="H320">
        <v>0.60429999999999995</v>
      </c>
      <c r="I320">
        <v>0.69979999999999998</v>
      </c>
    </row>
    <row r="321" spans="1:9" x14ac:dyDescent="0.25">
      <c r="A321" t="s">
        <v>911</v>
      </c>
      <c r="B321">
        <v>3000000</v>
      </c>
      <c r="C321">
        <v>0.62770000000000004</v>
      </c>
      <c r="D321">
        <v>-0.1144</v>
      </c>
      <c r="E321">
        <v>7.4400000000000004E-3</v>
      </c>
      <c r="F321">
        <v>5.8799999999999998E-3</v>
      </c>
      <c r="G321">
        <v>1.5499999999999999E-3</v>
      </c>
      <c r="H321">
        <v>0.36230000000000001</v>
      </c>
      <c r="I321">
        <v>7.6899999999999996E-2</v>
      </c>
    </row>
    <row r="322" spans="1:9" x14ac:dyDescent="0.25">
      <c r="A322" t="s">
        <v>912</v>
      </c>
      <c r="B322">
        <v>3000000</v>
      </c>
      <c r="C322">
        <v>0.98929999999999996</v>
      </c>
      <c r="D322">
        <v>-0.22</v>
      </c>
      <c r="E322">
        <v>7.7999999999999996E-3</v>
      </c>
      <c r="F322">
        <v>5.5900000000000004E-3</v>
      </c>
      <c r="G322">
        <v>2.2100000000000002E-3</v>
      </c>
      <c r="H322">
        <v>0.37240000000000001</v>
      </c>
      <c r="I322">
        <v>0.20380000000000001</v>
      </c>
    </row>
    <row r="323" spans="1:9" x14ac:dyDescent="0.25">
      <c r="A323" t="s">
        <v>913</v>
      </c>
      <c r="B323">
        <v>3000000</v>
      </c>
      <c r="C323">
        <v>0.8821</v>
      </c>
      <c r="D323">
        <v>-0.1804</v>
      </c>
      <c r="E323">
        <v>7.9000000000000008E-3</v>
      </c>
      <c r="F323">
        <v>5.77E-3</v>
      </c>
      <c r="G323">
        <v>2.1299999999999999E-3</v>
      </c>
      <c r="H323">
        <v>0.38030000000000003</v>
      </c>
      <c r="I323">
        <v>8.5999999999999993E-2</v>
      </c>
    </row>
    <row r="324" spans="1:9" x14ac:dyDescent="0.25">
      <c r="A324" t="s">
        <v>914</v>
      </c>
      <c r="B324">
        <v>3000000</v>
      </c>
      <c r="C324">
        <v>0.61580000000000001</v>
      </c>
      <c r="D324">
        <v>-0.14069999999999999</v>
      </c>
      <c r="E324">
        <v>4.7400000000000003E-3</v>
      </c>
      <c r="F324">
        <v>3.7399999999999998E-3</v>
      </c>
      <c r="G324">
        <v>1E-3</v>
      </c>
      <c r="H324">
        <v>0.63360000000000005</v>
      </c>
      <c r="I324">
        <v>0.58360000000000001</v>
      </c>
    </row>
    <row r="325" spans="1:9" x14ac:dyDescent="0.25">
      <c r="A325" t="s">
        <v>915</v>
      </c>
      <c r="B325">
        <v>2600000</v>
      </c>
      <c r="C325">
        <v>0.5444</v>
      </c>
      <c r="D325">
        <v>-0.12889999999999999</v>
      </c>
      <c r="E325">
        <v>3.6600000000000001E-3</v>
      </c>
      <c r="F325">
        <v>3.0400000000000002E-3</v>
      </c>
      <c r="G325">
        <v>6.2E-4</v>
      </c>
      <c r="H325">
        <v>0.747</v>
      </c>
      <c r="I325">
        <v>0.76500000000000001</v>
      </c>
    </row>
    <row r="326" spans="1:9" x14ac:dyDescent="0.25">
      <c r="A326" t="s">
        <v>916</v>
      </c>
      <c r="B326">
        <v>3000000</v>
      </c>
      <c r="C326">
        <v>0.55810000000000004</v>
      </c>
      <c r="D326">
        <v>-0.12970000000000001</v>
      </c>
      <c r="E326">
        <v>3.81E-3</v>
      </c>
      <c r="F326">
        <v>2.8900000000000002E-3</v>
      </c>
      <c r="G326">
        <v>9.2000000000000003E-4</v>
      </c>
      <c r="H326">
        <v>0.73509999999999998</v>
      </c>
      <c r="I326">
        <v>0.78359999999999996</v>
      </c>
    </row>
    <row r="327" spans="1:9" x14ac:dyDescent="0.25">
      <c r="A327" t="s">
        <v>917</v>
      </c>
      <c r="B327">
        <v>3000000</v>
      </c>
      <c r="C327">
        <v>0.49869999999999998</v>
      </c>
      <c r="D327">
        <v>-0.1096</v>
      </c>
      <c r="E327">
        <v>4.0299999999999997E-3</v>
      </c>
      <c r="F327">
        <v>3.0599999999999998E-3</v>
      </c>
      <c r="G327">
        <v>9.7000000000000005E-4</v>
      </c>
      <c r="H327">
        <v>0.68989999999999996</v>
      </c>
      <c r="I327">
        <v>0.78359999999999996</v>
      </c>
    </row>
    <row r="328" spans="1:9" x14ac:dyDescent="0.25">
      <c r="A328" t="s">
        <v>918</v>
      </c>
      <c r="B328">
        <v>3000000</v>
      </c>
      <c r="C328">
        <v>0.49469999999999997</v>
      </c>
      <c r="D328">
        <v>-0.1079</v>
      </c>
      <c r="E328">
        <v>3.7200000000000002E-3</v>
      </c>
      <c r="F328">
        <v>3.0000000000000001E-3</v>
      </c>
      <c r="G328">
        <v>7.2000000000000005E-4</v>
      </c>
      <c r="H328">
        <v>0.69199999999999995</v>
      </c>
      <c r="I328">
        <v>0.78320000000000001</v>
      </c>
    </row>
    <row r="329" spans="1:9" x14ac:dyDescent="0.25">
      <c r="A329" t="s">
        <v>919</v>
      </c>
      <c r="B329">
        <v>225000</v>
      </c>
      <c r="C329">
        <v>1.1487000000000001</v>
      </c>
      <c r="D329">
        <v>-0.2364</v>
      </c>
      <c r="E329">
        <v>2.4469999999999999E-2</v>
      </c>
      <c r="F329">
        <v>8.6E-3</v>
      </c>
      <c r="G329">
        <v>1.5869999999999999E-2</v>
      </c>
      <c r="H329">
        <v>0.51749999999999996</v>
      </c>
      <c r="I329">
        <v>5.2900000000000003E-2</v>
      </c>
    </row>
    <row r="330" spans="1:9" x14ac:dyDescent="0.25">
      <c r="A330" t="s">
        <v>920</v>
      </c>
      <c r="B330">
        <v>3000000</v>
      </c>
      <c r="C330">
        <v>0.81620000000000004</v>
      </c>
      <c r="D330">
        <v>-0.1527</v>
      </c>
      <c r="E330">
        <v>7.1799999999999998E-3</v>
      </c>
      <c r="F330">
        <v>5.6499999999999996E-3</v>
      </c>
      <c r="G330">
        <v>1.5299999999999999E-3</v>
      </c>
      <c r="H330">
        <v>0.42609999999999998</v>
      </c>
      <c r="I330">
        <v>3.4700000000000002E-2</v>
      </c>
    </row>
    <row r="331" spans="1:9" x14ac:dyDescent="0.25">
      <c r="A331" t="s">
        <v>921</v>
      </c>
      <c r="B331">
        <v>3000000</v>
      </c>
      <c r="C331">
        <v>1.2682</v>
      </c>
      <c r="D331">
        <v>-0.2661</v>
      </c>
      <c r="E331">
        <v>8.0599999999999995E-3</v>
      </c>
      <c r="F331">
        <v>5.5799999999999999E-3</v>
      </c>
      <c r="G331">
        <v>2.48E-3</v>
      </c>
      <c r="H331">
        <v>0.44080000000000003</v>
      </c>
      <c r="I331">
        <v>1.7500000000000002E-2</v>
      </c>
    </row>
    <row r="332" spans="1:9" x14ac:dyDescent="0.25">
      <c r="A332" t="s">
        <v>922</v>
      </c>
      <c r="B332">
        <v>3000000</v>
      </c>
      <c r="C332">
        <v>0.53500000000000003</v>
      </c>
      <c r="D332">
        <v>-0.1278</v>
      </c>
      <c r="E332">
        <v>4.2300000000000003E-3</v>
      </c>
      <c r="F332">
        <v>3.5300000000000002E-3</v>
      </c>
      <c r="G332">
        <v>6.9999999999999999E-4</v>
      </c>
      <c r="H332">
        <v>0.68210000000000004</v>
      </c>
      <c r="I332">
        <v>0.56059999999999999</v>
      </c>
    </row>
    <row r="333" spans="1:9" x14ac:dyDescent="0.25">
      <c r="A333" t="s">
        <v>923</v>
      </c>
      <c r="B333">
        <v>3000000</v>
      </c>
      <c r="C333">
        <v>0.59279999999999999</v>
      </c>
      <c r="D333">
        <v>-0.14080000000000001</v>
      </c>
      <c r="E333">
        <v>4.45E-3</v>
      </c>
      <c r="F333">
        <v>3.3E-3</v>
      </c>
      <c r="G333">
        <v>1.16E-3</v>
      </c>
      <c r="H333">
        <v>0.69059999999999999</v>
      </c>
      <c r="I333">
        <v>0.65239999999999998</v>
      </c>
    </row>
    <row r="334" spans="1:9" x14ac:dyDescent="0.25">
      <c r="A334" t="s">
        <v>924</v>
      </c>
      <c r="B334">
        <v>3000000</v>
      </c>
      <c r="C334">
        <v>0.30180000000000001</v>
      </c>
      <c r="D334">
        <v>-0.06</v>
      </c>
      <c r="E334">
        <v>4.45E-3</v>
      </c>
      <c r="F334">
        <v>3.0100000000000001E-3</v>
      </c>
      <c r="G334">
        <v>1.4400000000000001E-3</v>
      </c>
      <c r="H334">
        <v>0.67369999999999997</v>
      </c>
      <c r="I334">
        <v>0.77129999999999999</v>
      </c>
    </row>
    <row r="335" spans="1:9" x14ac:dyDescent="0.25">
      <c r="A335" t="s">
        <v>925</v>
      </c>
      <c r="B335">
        <v>1000000</v>
      </c>
      <c r="C335">
        <v>0</v>
      </c>
      <c r="D335">
        <v>0</v>
      </c>
      <c r="E335">
        <v>4.7400000000000003E-3</v>
      </c>
      <c r="F335">
        <v>3.8E-3</v>
      </c>
      <c r="G335">
        <v>9.3000000000000005E-4</v>
      </c>
      <c r="H335">
        <v>0.7399</v>
      </c>
      <c r="I335">
        <v>0.74019999999999997</v>
      </c>
    </row>
    <row r="336" spans="1:9" x14ac:dyDescent="0.25">
      <c r="A336" t="s">
        <v>926</v>
      </c>
      <c r="B336">
        <v>1500000</v>
      </c>
      <c r="C336">
        <v>-1E-4</v>
      </c>
      <c r="D336">
        <v>0</v>
      </c>
      <c r="E336">
        <v>5.4799999999999996E-3</v>
      </c>
      <c r="F336">
        <v>4.5500000000000002E-3</v>
      </c>
      <c r="G336">
        <v>9.3000000000000005E-4</v>
      </c>
      <c r="H336">
        <v>0.57620000000000005</v>
      </c>
      <c r="I336">
        <v>0.57750000000000001</v>
      </c>
    </row>
    <row r="337" spans="1:9" x14ac:dyDescent="0.25">
      <c r="A337" t="s">
        <v>927</v>
      </c>
      <c r="B337">
        <v>3000000</v>
      </c>
      <c r="C337">
        <v>0.96879999999999999</v>
      </c>
      <c r="D337">
        <v>-0.2165</v>
      </c>
      <c r="E337">
        <v>5.5399999999999998E-3</v>
      </c>
      <c r="F337">
        <v>4.5199999999999997E-3</v>
      </c>
      <c r="G337">
        <v>1.0200000000000001E-3</v>
      </c>
      <c r="H337">
        <v>0.65759999999999996</v>
      </c>
      <c r="I337">
        <v>0.11070000000000001</v>
      </c>
    </row>
    <row r="338" spans="1:9" x14ac:dyDescent="0.25">
      <c r="A338" t="s">
        <v>928</v>
      </c>
      <c r="B338">
        <v>3000000</v>
      </c>
      <c r="C338">
        <v>0.90810000000000002</v>
      </c>
      <c r="D338">
        <v>-0.19989999999999999</v>
      </c>
      <c r="E338">
        <v>5.6299999999999996E-3</v>
      </c>
      <c r="F338">
        <v>4.5300000000000002E-3</v>
      </c>
      <c r="G338">
        <v>1.1000000000000001E-3</v>
      </c>
      <c r="H338">
        <v>0.64770000000000005</v>
      </c>
      <c r="I338">
        <v>0.14280000000000001</v>
      </c>
    </row>
    <row r="339" spans="1:9" x14ac:dyDescent="0.25">
      <c r="A339" t="s">
        <v>929</v>
      </c>
      <c r="B339">
        <v>3000000</v>
      </c>
      <c r="C339">
        <v>0.82140000000000002</v>
      </c>
      <c r="D339">
        <v>-0.1817</v>
      </c>
      <c r="E339">
        <v>6.1599999999999997E-3</v>
      </c>
      <c r="F339">
        <v>4.8999999999999998E-3</v>
      </c>
      <c r="G339">
        <v>1.2600000000000001E-3</v>
      </c>
      <c r="H339">
        <v>0.61019999999999996</v>
      </c>
      <c r="I339">
        <v>0.1017</v>
      </c>
    </row>
    <row r="340" spans="1:9" x14ac:dyDescent="0.25">
      <c r="A340" t="s">
        <v>930</v>
      </c>
      <c r="B340">
        <v>975000</v>
      </c>
      <c r="C340">
        <v>0</v>
      </c>
      <c r="D340">
        <v>0</v>
      </c>
      <c r="E340">
        <v>4.15E-3</v>
      </c>
      <c r="F340">
        <v>3.3E-3</v>
      </c>
      <c r="G340">
        <v>8.5999999999999998E-4</v>
      </c>
      <c r="H340">
        <v>0.8125</v>
      </c>
      <c r="I340">
        <v>0.81220000000000003</v>
      </c>
    </row>
    <row r="341" spans="1:9" x14ac:dyDescent="0.25">
      <c r="A341" t="s">
        <v>931</v>
      </c>
      <c r="B341">
        <v>3000000</v>
      </c>
      <c r="C341">
        <v>0.26229999999999998</v>
      </c>
      <c r="D341">
        <v>-1.8700000000000001E-2</v>
      </c>
      <c r="E341">
        <v>7.0600000000000003E-3</v>
      </c>
      <c r="F341">
        <v>5.9300000000000004E-3</v>
      </c>
      <c r="G341">
        <v>1.1299999999999999E-3</v>
      </c>
      <c r="H341">
        <v>0.41489999999999999</v>
      </c>
      <c r="I341">
        <v>3.3099999999999997E-2</v>
      </c>
    </row>
    <row r="342" spans="1:9" x14ac:dyDescent="0.25">
      <c r="A342" t="s">
        <v>932</v>
      </c>
      <c r="B342">
        <v>3000000</v>
      </c>
      <c r="C342">
        <v>0.2641</v>
      </c>
      <c r="D342">
        <v>-1.6500000000000001E-2</v>
      </c>
      <c r="E342">
        <v>8.0199999999999994E-3</v>
      </c>
      <c r="F342">
        <v>6.3600000000000002E-3</v>
      </c>
      <c r="G342">
        <v>1.66E-3</v>
      </c>
      <c r="H342">
        <v>0.34570000000000001</v>
      </c>
      <c r="I342">
        <v>2.2700000000000001E-2</v>
      </c>
    </row>
    <row r="343" spans="1:9" x14ac:dyDescent="0.25">
      <c r="A343" t="s">
        <v>933</v>
      </c>
      <c r="B343">
        <v>3000000</v>
      </c>
      <c r="C343">
        <v>0.45639999999999997</v>
      </c>
      <c r="D343">
        <v>-5.8099999999999999E-2</v>
      </c>
      <c r="E343">
        <v>9.7199999999999995E-3</v>
      </c>
      <c r="F343">
        <v>6.4099999999999999E-3</v>
      </c>
      <c r="G343">
        <v>3.3E-3</v>
      </c>
      <c r="H343">
        <v>0.37819999999999998</v>
      </c>
      <c r="I343">
        <v>1.49E-2</v>
      </c>
    </row>
    <row r="344" spans="1:9" x14ac:dyDescent="0.25">
      <c r="A344" t="s">
        <v>934</v>
      </c>
      <c r="B344">
        <v>3000000</v>
      </c>
      <c r="C344">
        <v>0.4894</v>
      </c>
      <c r="D344">
        <v>-6.6000000000000003E-2</v>
      </c>
      <c r="E344">
        <v>1.1950000000000001E-2</v>
      </c>
      <c r="F344">
        <v>6.6299999999999996E-3</v>
      </c>
      <c r="G344">
        <v>5.3200000000000001E-3</v>
      </c>
      <c r="H344">
        <v>0.37809999999999999</v>
      </c>
      <c r="I344">
        <v>1.4500000000000001E-2</v>
      </c>
    </row>
    <row r="345" spans="1:9" x14ac:dyDescent="0.25">
      <c r="A345" t="s">
        <v>935</v>
      </c>
      <c r="B345">
        <v>1650000</v>
      </c>
      <c r="C345">
        <v>0.54400000000000004</v>
      </c>
      <c r="D345">
        <v>-6.9599999999999995E-2</v>
      </c>
      <c r="E345">
        <v>1.2630000000000001E-2</v>
      </c>
      <c r="F345">
        <v>6.0699999999999999E-3</v>
      </c>
      <c r="G345">
        <v>6.5599999999999999E-3</v>
      </c>
      <c r="H345">
        <v>0.38540000000000002</v>
      </c>
      <c r="I345">
        <v>0.42730000000000001</v>
      </c>
    </row>
    <row r="346" spans="1:9" x14ac:dyDescent="0.25">
      <c r="A346" t="s">
        <v>936</v>
      </c>
      <c r="B346">
        <v>2500000</v>
      </c>
      <c r="C346">
        <v>0.30930000000000002</v>
      </c>
      <c r="D346">
        <v>-5.04E-2</v>
      </c>
      <c r="E346">
        <v>4.4000000000000003E-3</v>
      </c>
      <c r="F346">
        <v>3.4499999999999999E-3</v>
      </c>
      <c r="G346">
        <v>9.5E-4</v>
      </c>
      <c r="H346">
        <v>0.65739999999999998</v>
      </c>
      <c r="I346">
        <v>0.70879999999999999</v>
      </c>
    </row>
    <row r="347" spans="1:9" x14ac:dyDescent="0.25">
      <c r="A347" t="s">
        <v>937</v>
      </c>
      <c r="B347">
        <v>3000000</v>
      </c>
      <c r="C347">
        <v>0.41770000000000002</v>
      </c>
      <c r="D347">
        <v>-8.1500000000000003E-2</v>
      </c>
      <c r="E347">
        <v>3.9500000000000004E-3</v>
      </c>
      <c r="F347">
        <v>3.0999999999999999E-3</v>
      </c>
      <c r="G347">
        <v>8.4999999999999995E-4</v>
      </c>
      <c r="H347">
        <v>0.65029999999999999</v>
      </c>
      <c r="I347">
        <v>0.79879999999999995</v>
      </c>
    </row>
    <row r="348" spans="1:9" x14ac:dyDescent="0.25">
      <c r="A348" t="s">
        <v>938</v>
      </c>
      <c r="B348">
        <v>2900000</v>
      </c>
      <c r="C348">
        <v>0.38969999999999999</v>
      </c>
      <c r="D348">
        <v>-7.9299999999999995E-2</v>
      </c>
      <c r="E348">
        <v>4.2700000000000004E-3</v>
      </c>
      <c r="F348">
        <v>3.3800000000000002E-3</v>
      </c>
      <c r="G348">
        <v>8.8999999999999995E-4</v>
      </c>
      <c r="H348">
        <v>0.64470000000000005</v>
      </c>
      <c r="I348">
        <v>0.71450000000000002</v>
      </c>
    </row>
    <row r="349" spans="1:9" x14ac:dyDescent="0.25">
      <c r="A349" t="s">
        <v>939</v>
      </c>
      <c r="B349">
        <v>2800000</v>
      </c>
      <c r="C349">
        <v>0.18629999999999999</v>
      </c>
      <c r="D349">
        <v>-2.3699999999999999E-2</v>
      </c>
      <c r="E349">
        <v>4.1099999999999999E-3</v>
      </c>
      <c r="F349">
        <v>3.31E-3</v>
      </c>
      <c r="G349">
        <v>8.0000000000000004E-4</v>
      </c>
      <c r="H349">
        <v>0.62129999999999996</v>
      </c>
      <c r="I349">
        <v>0.73370000000000002</v>
      </c>
    </row>
    <row r="350" spans="1:9" x14ac:dyDescent="0.25">
      <c r="A350" t="s">
        <v>940</v>
      </c>
      <c r="B350">
        <v>3000000</v>
      </c>
      <c r="C350">
        <v>0.29249999999999998</v>
      </c>
      <c r="D350">
        <v>-6.4799999999999996E-2</v>
      </c>
      <c r="E350">
        <v>4.5599999999999998E-3</v>
      </c>
      <c r="F350">
        <v>3.3800000000000002E-3</v>
      </c>
      <c r="G350">
        <v>1.1800000000000001E-3</v>
      </c>
      <c r="H350">
        <v>0.67010000000000003</v>
      </c>
      <c r="I350">
        <v>0.69720000000000004</v>
      </c>
    </row>
    <row r="351" spans="1:9" x14ac:dyDescent="0.25">
      <c r="A351" t="s">
        <v>941</v>
      </c>
      <c r="B351">
        <v>3000000</v>
      </c>
      <c r="C351">
        <v>0.3392</v>
      </c>
      <c r="D351">
        <v>-7.2999999999999995E-2</v>
      </c>
      <c r="E351">
        <v>3.65E-3</v>
      </c>
      <c r="F351">
        <v>2.8600000000000001E-3</v>
      </c>
      <c r="G351">
        <v>7.7999999999999999E-4</v>
      </c>
      <c r="H351">
        <v>0.71050000000000002</v>
      </c>
      <c r="I351">
        <v>0.78620000000000001</v>
      </c>
    </row>
    <row r="352" spans="1:9" x14ac:dyDescent="0.25">
      <c r="A352" t="s">
        <v>942</v>
      </c>
      <c r="B352">
        <v>3000000</v>
      </c>
      <c r="C352">
        <v>-1E-4</v>
      </c>
      <c r="D352">
        <v>0</v>
      </c>
      <c r="E352">
        <v>4.47E-3</v>
      </c>
      <c r="F352">
        <v>4.0200000000000001E-3</v>
      </c>
      <c r="G352">
        <v>4.4999999999999999E-4</v>
      </c>
      <c r="H352">
        <v>0.5595</v>
      </c>
      <c r="I352">
        <v>0.56000000000000005</v>
      </c>
    </row>
    <row r="353" spans="1:9" x14ac:dyDescent="0.25">
      <c r="A353" t="s">
        <v>943</v>
      </c>
      <c r="B353">
        <v>3000000</v>
      </c>
      <c r="C353">
        <v>0</v>
      </c>
      <c r="D353">
        <v>0</v>
      </c>
      <c r="E353">
        <v>4.6699999999999997E-3</v>
      </c>
      <c r="F353">
        <v>4.1099999999999999E-3</v>
      </c>
      <c r="G353">
        <v>5.5999999999999995E-4</v>
      </c>
      <c r="H353">
        <v>0.54200000000000004</v>
      </c>
      <c r="I353">
        <v>0.54269999999999996</v>
      </c>
    </row>
    <row r="354" spans="1:9" x14ac:dyDescent="0.25">
      <c r="A354" t="s">
        <v>944</v>
      </c>
      <c r="B354">
        <v>3000000</v>
      </c>
      <c r="C354">
        <v>0.2974</v>
      </c>
      <c r="D354">
        <v>-5.04E-2</v>
      </c>
      <c r="E354">
        <v>6.0299999999999998E-3</v>
      </c>
      <c r="F354">
        <v>5.0000000000000001E-3</v>
      </c>
      <c r="G354">
        <v>1.0300000000000001E-3</v>
      </c>
      <c r="H354">
        <v>0.50349999999999995</v>
      </c>
      <c r="I354">
        <v>0.30840000000000001</v>
      </c>
    </row>
    <row r="355" spans="1:9" x14ac:dyDescent="0.25">
      <c r="A355" t="s">
        <v>945</v>
      </c>
      <c r="B355">
        <v>3000000</v>
      </c>
      <c r="C355">
        <v>0.3523</v>
      </c>
      <c r="D355">
        <v>-8.5000000000000006E-2</v>
      </c>
      <c r="E355">
        <v>3.5100000000000001E-3</v>
      </c>
      <c r="F355">
        <v>3.13E-3</v>
      </c>
      <c r="G355">
        <v>3.8000000000000002E-4</v>
      </c>
      <c r="H355">
        <v>0.73399999999999999</v>
      </c>
      <c r="I355">
        <v>0.69340000000000002</v>
      </c>
    </row>
    <row r="356" spans="1:9" x14ac:dyDescent="0.25">
      <c r="A356" t="s">
        <v>946</v>
      </c>
      <c r="B356">
        <v>3000000</v>
      </c>
      <c r="C356">
        <v>0.54949999999999999</v>
      </c>
      <c r="D356">
        <v>-0.13389999999999999</v>
      </c>
      <c r="E356">
        <v>4.6800000000000001E-3</v>
      </c>
      <c r="F356">
        <v>4.0499999999999998E-3</v>
      </c>
      <c r="G356">
        <v>6.3000000000000003E-4</v>
      </c>
      <c r="H356">
        <v>0.67859999999999998</v>
      </c>
      <c r="I356">
        <v>0.372</v>
      </c>
    </row>
    <row r="357" spans="1:9" x14ac:dyDescent="0.25">
      <c r="A357" t="s">
        <v>947</v>
      </c>
      <c r="B357">
        <v>3000000</v>
      </c>
      <c r="C357">
        <v>0.55689999999999995</v>
      </c>
      <c r="D357">
        <v>-0.14499999999999999</v>
      </c>
      <c r="E357">
        <v>4.7099999999999998E-3</v>
      </c>
      <c r="F357">
        <v>3.7799999999999999E-3</v>
      </c>
      <c r="G357">
        <v>9.3000000000000005E-4</v>
      </c>
      <c r="H357">
        <v>0.68140000000000001</v>
      </c>
      <c r="I357">
        <v>0.48680000000000001</v>
      </c>
    </row>
    <row r="358" spans="1:9" x14ac:dyDescent="0.25">
      <c r="A358" t="s">
        <v>948</v>
      </c>
      <c r="B358">
        <v>3000000</v>
      </c>
      <c r="C358">
        <v>0.26350000000000001</v>
      </c>
      <c r="D358">
        <v>-5.4699999999999999E-2</v>
      </c>
      <c r="E358">
        <v>6.1399999999999996E-3</v>
      </c>
      <c r="F358">
        <v>4.4600000000000004E-3</v>
      </c>
      <c r="G358">
        <v>1.6800000000000001E-3</v>
      </c>
      <c r="H358">
        <v>0.51619999999999999</v>
      </c>
      <c r="I358">
        <v>0.50209999999999999</v>
      </c>
    </row>
    <row r="359" spans="1:9" x14ac:dyDescent="0.25">
      <c r="A359" t="s">
        <v>949</v>
      </c>
      <c r="B359">
        <v>1400000</v>
      </c>
      <c r="C359">
        <v>0.25650000000000001</v>
      </c>
      <c r="D359">
        <v>-4.87E-2</v>
      </c>
      <c r="E359">
        <v>4.7299999999999998E-3</v>
      </c>
      <c r="F359">
        <v>3.9500000000000004E-3</v>
      </c>
      <c r="G359">
        <v>7.7999999999999999E-4</v>
      </c>
      <c r="H359">
        <v>0.61650000000000005</v>
      </c>
      <c r="I359">
        <v>0.73560000000000003</v>
      </c>
    </row>
    <row r="360" spans="1:9" x14ac:dyDescent="0.25">
      <c r="A360" t="s">
        <v>950</v>
      </c>
      <c r="B360">
        <v>2000000</v>
      </c>
      <c r="C360">
        <v>0.39850000000000002</v>
      </c>
      <c r="D360">
        <v>-8.1500000000000003E-2</v>
      </c>
      <c r="E360">
        <v>5.0400000000000002E-3</v>
      </c>
      <c r="F360">
        <v>4.1599999999999996E-3</v>
      </c>
      <c r="G360">
        <v>8.8000000000000003E-4</v>
      </c>
      <c r="H360">
        <v>0.59379999999999999</v>
      </c>
      <c r="I360">
        <v>0.58589999999999998</v>
      </c>
    </row>
    <row r="361" spans="1:9" x14ac:dyDescent="0.25">
      <c r="A361" t="s">
        <v>951</v>
      </c>
      <c r="B361">
        <v>3000000</v>
      </c>
      <c r="C361">
        <v>0.4718</v>
      </c>
      <c r="D361">
        <v>-9.8000000000000004E-2</v>
      </c>
      <c r="E361">
        <v>5.1200000000000004E-3</v>
      </c>
      <c r="F361">
        <v>4.2500000000000003E-3</v>
      </c>
      <c r="G361">
        <v>8.8000000000000003E-4</v>
      </c>
      <c r="H361">
        <v>0.57640000000000002</v>
      </c>
      <c r="I361">
        <v>0.44109999999999999</v>
      </c>
    </row>
    <row r="362" spans="1:9" x14ac:dyDescent="0.25">
      <c r="A362" t="s">
        <v>952</v>
      </c>
      <c r="B362">
        <v>2900000</v>
      </c>
      <c r="C362">
        <v>0.48120000000000002</v>
      </c>
      <c r="D362">
        <v>-9.8000000000000004E-2</v>
      </c>
      <c r="E362">
        <v>5.1000000000000004E-3</v>
      </c>
      <c r="F362">
        <v>4.1399999999999996E-3</v>
      </c>
      <c r="G362">
        <v>9.6000000000000002E-4</v>
      </c>
      <c r="H362">
        <v>0.57069999999999999</v>
      </c>
      <c r="I362">
        <v>0.50219999999999998</v>
      </c>
    </row>
    <row r="363" spans="1:9" x14ac:dyDescent="0.25">
      <c r="A363" t="s">
        <v>953</v>
      </c>
      <c r="B363">
        <v>3000000</v>
      </c>
      <c r="C363">
        <v>0.50660000000000005</v>
      </c>
      <c r="D363">
        <v>-0.10639999999999999</v>
      </c>
      <c r="E363">
        <v>5.3800000000000002E-3</v>
      </c>
      <c r="F363">
        <v>4.1900000000000001E-3</v>
      </c>
      <c r="G363">
        <v>1.1900000000000001E-3</v>
      </c>
      <c r="H363">
        <v>0.56320000000000003</v>
      </c>
      <c r="I363">
        <v>0.48320000000000002</v>
      </c>
    </row>
    <row r="364" spans="1:9" x14ac:dyDescent="0.25">
      <c r="A364" t="s">
        <v>954</v>
      </c>
      <c r="B364">
        <v>3000000</v>
      </c>
      <c r="C364">
        <v>0.3574</v>
      </c>
      <c r="D364">
        <v>-7.1599999999999997E-2</v>
      </c>
      <c r="E364">
        <v>5.9100000000000003E-3</v>
      </c>
      <c r="F364">
        <v>4.3699999999999998E-3</v>
      </c>
      <c r="G364">
        <v>1.5399999999999999E-3</v>
      </c>
      <c r="H364">
        <v>0.52210000000000001</v>
      </c>
      <c r="I364">
        <v>0.46260000000000001</v>
      </c>
    </row>
    <row r="365" spans="1:9" x14ac:dyDescent="0.25">
      <c r="A365" t="s">
        <v>955</v>
      </c>
      <c r="B365">
        <v>3000000</v>
      </c>
      <c r="C365">
        <v>0</v>
      </c>
      <c r="D365">
        <v>0</v>
      </c>
      <c r="E365">
        <v>5.1999999999999998E-3</v>
      </c>
      <c r="F365">
        <v>4.5300000000000002E-3</v>
      </c>
      <c r="G365">
        <v>6.7000000000000002E-4</v>
      </c>
      <c r="H365">
        <v>0.48020000000000002</v>
      </c>
      <c r="I365">
        <v>0.47960000000000003</v>
      </c>
    </row>
    <row r="366" spans="1:9" x14ac:dyDescent="0.25">
      <c r="A366" t="s">
        <v>956</v>
      </c>
      <c r="B366">
        <v>3000000</v>
      </c>
      <c r="C366">
        <v>1.09E-2</v>
      </c>
      <c r="D366">
        <v>-2.3999999999999998E-3</v>
      </c>
      <c r="E366">
        <v>4.81E-3</v>
      </c>
      <c r="F366">
        <v>4.13E-3</v>
      </c>
      <c r="G366">
        <v>6.8000000000000005E-4</v>
      </c>
      <c r="H366">
        <v>0.53959999999999997</v>
      </c>
      <c r="I366">
        <v>0.54010000000000002</v>
      </c>
    </row>
    <row r="367" spans="1:9" x14ac:dyDescent="0.25">
      <c r="A367" t="s">
        <v>957</v>
      </c>
      <c r="B367">
        <v>2600000</v>
      </c>
      <c r="C367">
        <v>0.56479999999999997</v>
      </c>
      <c r="D367">
        <v>-9.9699999999999997E-2</v>
      </c>
      <c r="E367">
        <v>3.0999999999999999E-3</v>
      </c>
      <c r="F367">
        <v>6.6400000000000001E-3</v>
      </c>
      <c r="G367">
        <v>-3.5500000000000002E-3</v>
      </c>
      <c r="H367">
        <v>0.14660000000000001</v>
      </c>
      <c r="I367">
        <v>2.3300000000000001E-2</v>
      </c>
    </row>
    <row r="368" spans="1:9" x14ac:dyDescent="0.25">
      <c r="A368" t="s">
        <v>958</v>
      </c>
      <c r="B368">
        <v>3000000</v>
      </c>
      <c r="C368">
        <v>0.48370000000000002</v>
      </c>
      <c r="D368">
        <v>-0.1014</v>
      </c>
      <c r="E368">
        <v>1.0880000000000001E-2</v>
      </c>
      <c r="F368">
        <v>7.5399999999999998E-3</v>
      </c>
      <c r="G368">
        <v>3.3400000000000001E-3</v>
      </c>
      <c r="H368">
        <v>4.5999999999999999E-2</v>
      </c>
      <c r="I368">
        <v>1.8599999999999998E-2</v>
      </c>
    </row>
    <row r="369" spans="1:9" x14ac:dyDescent="0.25">
      <c r="A369" t="s">
        <v>959</v>
      </c>
      <c r="B369">
        <v>3000000</v>
      </c>
      <c r="C369">
        <v>0.49659999999999999</v>
      </c>
      <c r="D369">
        <v>-0.1166</v>
      </c>
      <c r="E369">
        <v>5.1000000000000004E-3</v>
      </c>
      <c r="F369">
        <v>4.0400000000000002E-3</v>
      </c>
      <c r="G369">
        <v>1.0499999999999999E-3</v>
      </c>
      <c r="H369">
        <v>0.5877</v>
      </c>
      <c r="I369">
        <v>0.5766</v>
      </c>
    </row>
    <row r="370" spans="1:9" x14ac:dyDescent="0.25">
      <c r="A370" t="s">
        <v>960</v>
      </c>
      <c r="B370">
        <v>2000000</v>
      </c>
      <c r="C370">
        <v>0.46360000000000001</v>
      </c>
      <c r="D370">
        <v>-9.4100000000000003E-2</v>
      </c>
      <c r="E370">
        <v>6.6800000000000002E-3</v>
      </c>
      <c r="F370">
        <v>5.5999999999999999E-3</v>
      </c>
      <c r="G370">
        <v>1.08E-3</v>
      </c>
      <c r="H370">
        <v>0.40839999999999999</v>
      </c>
      <c r="I370">
        <v>0.4022</v>
      </c>
    </row>
    <row r="371" spans="1:9" x14ac:dyDescent="0.25">
      <c r="A371" t="s">
        <v>961</v>
      </c>
      <c r="B371">
        <v>3000000</v>
      </c>
      <c r="C371">
        <v>0</v>
      </c>
      <c r="D371">
        <v>0</v>
      </c>
      <c r="E371">
        <v>4.0099999999999997E-3</v>
      </c>
      <c r="F371">
        <v>3.62E-3</v>
      </c>
      <c r="G371">
        <v>4.0000000000000002E-4</v>
      </c>
      <c r="H371">
        <v>0.62209999999999999</v>
      </c>
      <c r="I371">
        <v>0.62209999999999999</v>
      </c>
    </row>
    <row r="372" spans="1:9" x14ac:dyDescent="0.25">
      <c r="A372" t="s">
        <v>962</v>
      </c>
      <c r="B372">
        <v>3000000</v>
      </c>
      <c r="C372">
        <v>0</v>
      </c>
      <c r="D372">
        <v>0</v>
      </c>
      <c r="E372">
        <v>3.5799999999999998E-3</v>
      </c>
      <c r="F372">
        <v>3.32E-3</v>
      </c>
      <c r="G372">
        <v>2.5999999999999998E-4</v>
      </c>
      <c r="H372">
        <v>0.67549999999999999</v>
      </c>
      <c r="I372">
        <v>0.67549999999999999</v>
      </c>
    </row>
    <row r="373" spans="1:9" x14ac:dyDescent="0.25">
      <c r="A373" t="s">
        <v>963</v>
      </c>
      <c r="B373">
        <v>3000000</v>
      </c>
      <c r="C373">
        <v>0</v>
      </c>
      <c r="D373">
        <v>0</v>
      </c>
      <c r="E373">
        <v>3.7499999999999999E-3</v>
      </c>
      <c r="F373">
        <v>3.4299999999999999E-3</v>
      </c>
      <c r="G373">
        <v>3.1E-4</v>
      </c>
      <c r="H373">
        <v>0.65400000000000003</v>
      </c>
      <c r="I373">
        <v>0.65400000000000003</v>
      </c>
    </row>
    <row r="374" spans="1:9" x14ac:dyDescent="0.25">
      <c r="A374" t="s">
        <v>964</v>
      </c>
      <c r="B374">
        <v>3000000</v>
      </c>
      <c r="C374">
        <v>0.14000000000000001</v>
      </c>
      <c r="D374">
        <v>-3.04E-2</v>
      </c>
      <c r="E374">
        <v>4.0499999999999998E-3</v>
      </c>
      <c r="F374">
        <v>3.64E-3</v>
      </c>
      <c r="G374">
        <v>4.0999999999999999E-4</v>
      </c>
      <c r="H374">
        <v>0.62260000000000004</v>
      </c>
      <c r="I374">
        <v>0.61709999999999998</v>
      </c>
    </row>
    <row r="375" spans="1:9" x14ac:dyDescent="0.25">
      <c r="A375" t="s">
        <v>965</v>
      </c>
      <c r="B375">
        <v>3000000</v>
      </c>
      <c r="C375">
        <v>0.1396</v>
      </c>
      <c r="D375">
        <v>-3.0700000000000002E-2</v>
      </c>
      <c r="E375">
        <v>3.81E-3</v>
      </c>
      <c r="F375">
        <v>3.5100000000000001E-3</v>
      </c>
      <c r="G375">
        <v>2.9999999999999997E-4</v>
      </c>
      <c r="H375">
        <v>0.65439999999999998</v>
      </c>
      <c r="I375">
        <v>0.63109999999999999</v>
      </c>
    </row>
    <row r="376" spans="1:9" x14ac:dyDescent="0.25">
      <c r="A376" t="s">
        <v>966</v>
      </c>
      <c r="B376">
        <v>3000000</v>
      </c>
      <c r="C376">
        <v>0.13980000000000001</v>
      </c>
      <c r="D376">
        <v>-3.0499999999999999E-2</v>
      </c>
      <c r="E376">
        <v>3.9300000000000003E-3</v>
      </c>
      <c r="F376">
        <v>3.5799999999999998E-3</v>
      </c>
      <c r="G376">
        <v>3.6000000000000002E-4</v>
      </c>
      <c r="H376">
        <v>0.63560000000000005</v>
      </c>
      <c r="I376">
        <v>0.62609999999999999</v>
      </c>
    </row>
    <row r="377" spans="1:9" x14ac:dyDescent="0.25">
      <c r="A377" t="s">
        <v>967</v>
      </c>
      <c r="B377">
        <v>3000000</v>
      </c>
      <c r="C377">
        <v>0.2109</v>
      </c>
      <c r="D377">
        <v>-4.5699999999999998E-2</v>
      </c>
      <c r="E377">
        <v>4.1200000000000004E-3</v>
      </c>
      <c r="F377">
        <v>3.6900000000000001E-3</v>
      </c>
      <c r="G377">
        <v>4.2000000000000002E-4</v>
      </c>
      <c r="H377">
        <v>0.62280000000000002</v>
      </c>
      <c r="I377">
        <v>0.59850000000000003</v>
      </c>
    </row>
    <row r="378" spans="1:9" x14ac:dyDescent="0.25">
      <c r="A378" t="s">
        <v>968</v>
      </c>
      <c r="B378">
        <v>3000000</v>
      </c>
      <c r="C378">
        <v>0.21129999999999999</v>
      </c>
      <c r="D378">
        <v>-4.5699999999999998E-2</v>
      </c>
      <c r="E378">
        <v>4.2100000000000002E-3</v>
      </c>
      <c r="F378">
        <v>3.7299999999999998E-3</v>
      </c>
      <c r="G378">
        <v>4.8000000000000001E-4</v>
      </c>
      <c r="H378">
        <v>0.60119999999999996</v>
      </c>
      <c r="I378">
        <v>0.60509999999999997</v>
      </c>
    </row>
    <row r="379" spans="1:9" x14ac:dyDescent="0.25">
      <c r="A379" t="s">
        <v>969</v>
      </c>
      <c r="B379">
        <v>3000000</v>
      </c>
      <c r="C379">
        <v>0.2114</v>
      </c>
      <c r="D379">
        <v>-4.5199999999999997E-2</v>
      </c>
      <c r="E379">
        <v>4.3400000000000001E-3</v>
      </c>
      <c r="F379">
        <v>3.8E-3</v>
      </c>
      <c r="G379">
        <v>5.4000000000000001E-4</v>
      </c>
      <c r="H379">
        <v>0.59740000000000004</v>
      </c>
      <c r="I379">
        <v>0.58620000000000005</v>
      </c>
    </row>
    <row r="380" spans="1:9" x14ac:dyDescent="0.25">
      <c r="A380" t="s">
        <v>970</v>
      </c>
      <c r="B380">
        <v>1550000</v>
      </c>
      <c r="C380">
        <v>0.19800000000000001</v>
      </c>
      <c r="D380">
        <v>-4.3200000000000002E-2</v>
      </c>
      <c r="E380">
        <v>4.4299999999999999E-3</v>
      </c>
      <c r="F380">
        <v>3.9100000000000003E-3</v>
      </c>
      <c r="G380">
        <v>5.1999999999999995E-4</v>
      </c>
      <c r="H380">
        <v>0.65400000000000003</v>
      </c>
      <c r="I380">
        <v>0.70579999999999998</v>
      </c>
    </row>
    <row r="381" spans="1:9" x14ac:dyDescent="0.25">
      <c r="A381" t="s">
        <v>971</v>
      </c>
      <c r="B381">
        <v>3000000</v>
      </c>
      <c r="C381">
        <v>0.20649999999999999</v>
      </c>
      <c r="D381">
        <v>-4.6300000000000001E-2</v>
      </c>
      <c r="E381">
        <v>3.8400000000000001E-3</v>
      </c>
      <c r="F381">
        <v>3.49E-3</v>
      </c>
      <c r="G381">
        <v>3.5E-4</v>
      </c>
      <c r="H381">
        <v>0.65249999999999997</v>
      </c>
      <c r="I381">
        <v>0.62290000000000001</v>
      </c>
    </row>
    <row r="382" spans="1:9" x14ac:dyDescent="0.25">
      <c r="A382" t="s">
        <v>972</v>
      </c>
      <c r="B382">
        <v>2900000</v>
      </c>
      <c r="C382">
        <v>0.21129999999999999</v>
      </c>
      <c r="D382">
        <v>-4.6100000000000002E-2</v>
      </c>
      <c r="E382">
        <v>4.0600000000000002E-3</v>
      </c>
      <c r="F382">
        <v>3.6900000000000001E-3</v>
      </c>
      <c r="G382">
        <v>3.8000000000000002E-4</v>
      </c>
      <c r="H382">
        <v>0.63939999999999997</v>
      </c>
      <c r="I382">
        <v>0.5917</v>
      </c>
    </row>
    <row r="383" spans="1:9" x14ac:dyDescent="0.25">
      <c r="A383" t="s">
        <v>973</v>
      </c>
      <c r="B383">
        <v>3000000</v>
      </c>
      <c r="C383">
        <v>0.27950000000000003</v>
      </c>
      <c r="D383">
        <v>-6.0600000000000001E-2</v>
      </c>
      <c r="E383">
        <v>4.1900000000000001E-3</v>
      </c>
      <c r="F383">
        <v>3.7399999999999998E-3</v>
      </c>
      <c r="G383">
        <v>4.4999999999999999E-4</v>
      </c>
      <c r="H383">
        <v>0.6169</v>
      </c>
      <c r="I383">
        <v>0.58589999999999998</v>
      </c>
    </row>
    <row r="384" spans="1:9" x14ac:dyDescent="0.25">
      <c r="A384" t="s">
        <v>974</v>
      </c>
      <c r="B384">
        <v>3000000</v>
      </c>
      <c r="C384">
        <v>0.27850000000000003</v>
      </c>
      <c r="D384">
        <v>-5.96E-2</v>
      </c>
      <c r="E384">
        <v>4.3899999999999998E-3</v>
      </c>
      <c r="F384">
        <v>3.82E-3</v>
      </c>
      <c r="G384">
        <v>5.6999999999999998E-4</v>
      </c>
      <c r="H384">
        <v>0.5978</v>
      </c>
      <c r="I384">
        <v>0.57950000000000002</v>
      </c>
    </row>
    <row r="385" spans="1:9" x14ac:dyDescent="0.25">
      <c r="A385" t="s">
        <v>975</v>
      </c>
      <c r="B385">
        <v>2900000</v>
      </c>
      <c r="C385">
        <v>0.27939999999999998</v>
      </c>
      <c r="D385">
        <v>-6.1199999999999997E-2</v>
      </c>
      <c r="E385">
        <v>3.9899999999999996E-3</v>
      </c>
      <c r="F385">
        <v>3.65E-3</v>
      </c>
      <c r="G385">
        <v>3.4000000000000002E-4</v>
      </c>
      <c r="H385">
        <v>0.65759999999999996</v>
      </c>
      <c r="I385">
        <v>0.58350000000000002</v>
      </c>
    </row>
    <row r="386" spans="1:9" x14ac:dyDescent="0.25">
      <c r="A386" t="s">
        <v>976</v>
      </c>
      <c r="B386">
        <v>3000000</v>
      </c>
      <c r="C386">
        <v>0.27960000000000002</v>
      </c>
      <c r="D386">
        <v>-6.0900000000000003E-2</v>
      </c>
      <c r="E386">
        <v>4.1099999999999999E-3</v>
      </c>
      <c r="F386">
        <v>3.7299999999999998E-3</v>
      </c>
      <c r="G386">
        <v>3.8999999999999999E-4</v>
      </c>
      <c r="H386">
        <v>0.63629999999999998</v>
      </c>
      <c r="I386">
        <v>0.57110000000000005</v>
      </c>
    </row>
    <row r="387" spans="1:9" x14ac:dyDescent="0.25">
      <c r="A387" t="s">
        <v>977</v>
      </c>
      <c r="B387">
        <v>2400000</v>
      </c>
      <c r="C387">
        <v>0.28189999999999998</v>
      </c>
      <c r="D387">
        <v>-6.1499999999999999E-2</v>
      </c>
      <c r="E387">
        <v>4.3400000000000001E-3</v>
      </c>
      <c r="F387">
        <v>3.9199999999999999E-3</v>
      </c>
      <c r="G387">
        <v>4.2000000000000002E-4</v>
      </c>
      <c r="H387">
        <v>0.66890000000000005</v>
      </c>
      <c r="I387">
        <v>0.53310000000000002</v>
      </c>
    </row>
    <row r="388" spans="1:9" x14ac:dyDescent="0.25">
      <c r="A388" t="s">
        <v>978</v>
      </c>
      <c r="B388">
        <v>3000000</v>
      </c>
      <c r="C388">
        <v>0.31440000000000001</v>
      </c>
      <c r="D388">
        <v>-6.9800000000000001E-2</v>
      </c>
      <c r="E388">
        <v>4.0200000000000001E-3</v>
      </c>
      <c r="F388">
        <v>3.5799999999999998E-3</v>
      </c>
      <c r="G388">
        <v>4.4000000000000002E-4</v>
      </c>
      <c r="H388">
        <v>0.67179999999999995</v>
      </c>
      <c r="I388">
        <v>0.56399999999999995</v>
      </c>
    </row>
    <row r="389" spans="1:9" x14ac:dyDescent="0.25">
      <c r="A389" t="s">
        <v>979</v>
      </c>
      <c r="B389">
        <v>3000000</v>
      </c>
      <c r="C389">
        <v>0.35020000000000001</v>
      </c>
      <c r="D389">
        <v>-7.6200000000000004E-2</v>
      </c>
      <c r="E389">
        <v>4.28E-3</v>
      </c>
      <c r="F389">
        <v>3.82E-3</v>
      </c>
      <c r="G389">
        <v>4.6000000000000001E-4</v>
      </c>
      <c r="H389">
        <v>0.62539999999999996</v>
      </c>
      <c r="I389">
        <v>0.54990000000000006</v>
      </c>
    </row>
    <row r="390" spans="1:9" x14ac:dyDescent="0.25">
      <c r="A390" t="s">
        <v>980</v>
      </c>
      <c r="B390">
        <v>3000000</v>
      </c>
      <c r="C390">
        <v>0.35270000000000001</v>
      </c>
      <c r="D390">
        <v>-7.6399999999999996E-2</v>
      </c>
      <c r="E390">
        <v>4.2500000000000003E-3</v>
      </c>
      <c r="F390">
        <v>3.7299999999999998E-3</v>
      </c>
      <c r="G390">
        <v>5.2999999999999998E-4</v>
      </c>
      <c r="H390">
        <v>0.62150000000000005</v>
      </c>
      <c r="I390">
        <v>0.58260000000000001</v>
      </c>
    </row>
    <row r="391" spans="1:9" x14ac:dyDescent="0.25">
      <c r="A391" t="s">
        <v>981</v>
      </c>
      <c r="B391">
        <v>2900000</v>
      </c>
      <c r="C391">
        <v>0.35070000000000001</v>
      </c>
      <c r="D391">
        <v>-7.5600000000000001E-2</v>
      </c>
      <c r="E391">
        <v>4.4299999999999999E-3</v>
      </c>
      <c r="F391">
        <v>3.8300000000000001E-3</v>
      </c>
      <c r="G391">
        <v>5.9999999999999995E-4</v>
      </c>
      <c r="H391">
        <v>0.60509999999999997</v>
      </c>
      <c r="I391">
        <v>0.58009999999999995</v>
      </c>
    </row>
    <row r="392" spans="1:9" x14ac:dyDescent="0.25">
      <c r="A392" t="s">
        <v>982</v>
      </c>
      <c r="B392">
        <v>1700000</v>
      </c>
      <c r="C392">
        <v>0.34820000000000001</v>
      </c>
      <c r="D392">
        <v>-7.6700000000000004E-2</v>
      </c>
      <c r="E392">
        <v>4.2599999999999999E-3</v>
      </c>
      <c r="F392">
        <v>3.7499999999999999E-3</v>
      </c>
      <c r="G392">
        <v>5.1000000000000004E-4</v>
      </c>
      <c r="H392">
        <v>0.71799999999999997</v>
      </c>
      <c r="I392">
        <v>0.64770000000000005</v>
      </c>
    </row>
    <row r="393" spans="1:9" x14ac:dyDescent="0.25">
      <c r="A393" t="s">
        <v>983</v>
      </c>
      <c r="B393">
        <v>3000000</v>
      </c>
      <c r="C393">
        <v>0.3493</v>
      </c>
      <c r="D393">
        <v>-7.6499999999999999E-2</v>
      </c>
      <c r="E393">
        <v>4.0899999999999999E-3</v>
      </c>
      <c r="F393">
        <v>3.6700000000000001E-3</v>
      </c>
      <c r="G393">
        <v>4.2000000000000002E-4</v>
      </c>
      <c r="H393">
        <v>0.63890000000000002</v>
      </c>
      <c r="I393">
        <v>0.58589999999999998</v>
      </c>
    </row>
    <row r="394" spans="1:9" x14ac:dyDescent="0.25">
      <c r="A394" t="s">
        <v>984</v>
      </c>
      <c r="B394">
        <v>3000000</v>
      </c>
      <c r="C394">
        <v>0.37780000000000002</v>
      </c>
      <c r="D394">
        <v>-8.4099999999999994E-2</v>
      </c>
      <c r="E394">
        <v>4.0899999999999999E-3</v>
      </c>
      <c r="F394">
        <v>3.64E-3</v>
      </c>
      <c r="G394">
        <v>4.4000000000000002E-4</v>
      </c>
      <c r="H394">
        <v>0.6754</v>
      </c>
      <c r="I394">
        <v>0.53439999999999999</v>
      </c>
    </row>
    <row r="395" spans="1:9" x14ac:dyDescent="0.25">
      <c r="A395" t="s">
        <v>985</v>
      </c>
      <c r="B395">
        <v>3000000</v>
      </c>
      <c r="C395">
        <v>0.37780000000000002</v>
      </c>
      <c r="D395">
        <v>-8.4099999999999994E-2</v>
      </c>
      <c r="E395">
        <v>4.0899999999999999E-3</v>
      </c>
      <c r="F395">
        <v>3.64E-3</v>
      </c>
      <c r="G395">
        <v>4.4000000000000002E-4</v>
      </c>
      <c r="H395">
        <v>0.67549999999999999</v>
      </c>
      <c r="I395">
        <v>0.53500000000000003</v>
      </c>
    </row>
    <row r="396" spans="1:9" x14ac:dyDescent="0.25">
      <c r="A396" t="s">
        <v>986</v>
      </c>
      <c r="B396">
        <v>1750000</v>
      </c>
      <c r="C396">
        <v>0.61270000000000002</v>
      </c>
      <c r="D396">
        <v>-0.1234</v>
      </c>
      <c r="E396">
        <v>5.96E-3</v>
      </c>
      <c r="F396">
        <v>4.4200000000000003E-3</v>
      </c>
      <c r="G396">
        <v>1.5399999999999999E-3</v>
      </c>
      <c r="H396">
        <v>0.5746</v>
      </c>
      <c r="I396">
        <v>0.62929999999999997</v>
      </c>
    </row>
    <row r="397" spans="1:9" x14ac:dyDescent="0.25">
      <c r="A397" t="s">
        <v>987</v>
      </c>
      <c r="B397">
        <v>2900000</v>
      </c>
      <c r="C397">
        <v>0.41849999999999998</v>
      </c>
      <c r="D397">
        <v>-9.0800000000000006E-2</v>
      </c>
      <c r="E397">
        <v>4.3299999999999996E-3</v>
      </c>
      <c r="F397">
        <v>3.82E-3</v>
      </c>
      <c r="G397">
        <v>5.1000000000000004E-4</v>
      </c>
      <c r="H397">
        <v>0.6321</v>
      </c>
      <c r="I397">
        <v>0.54500000000000004</v>
      </c>
    </row>
    <row r="398" spans="1:9" x14ac:dyDescent="0.25">
      <c r="A398" t="s">
        <v>988</v>
      </c>
      <c r="B398">
        <v>3000000</v>
      </c>
      <c r="C398">
        <v>0.41560000000000002</v>
      </c>
      <c r="D398">
        <v>-8.9200000000000002E-2</v>
      </c>
      <c r="E398">
        <v>4.4400000000000004E-3</v>
      </c>
      <c r="F398">
        <v>3.8700000000000002E-3</v>
      </c>
      <c r="G398">
        <v>5.8E-4</v>
      </c>
      <c r="H398">
        <v>0.6169</v>
      </c>
      <c r="I398">
        <v>0.53910000000000002</v>
      </c>
    </row>
    <row r="399" spans="1:9" x14ac:dyDescent="0.25">
      <c r="A399" t="s">
        <v>989</v>
      </c>
      <c r="B399">
        <v>3000000</v>
      </c>
      <c r="C399">
        <v>0.4204</v>
      </c>
      <c r="D399">
        <v>-9.0499999999999997E-2</v>
      </c>
      <c r="E399">
        <v>4.4900000000000001E-3</v>
      </c>
      <c r="F399">
        <v>3.8500000000000001E-3</v>
      </c>
      <c r="G399">
        <v>6.3000000000000003E-4</v>
      </c>
      <c r="H399">
        <v>0.60599999999999998</v>
      </c>
      <c r="I399">
        <v>0.55630000000000002</v>
      </c>
    </row>
    <row r="400" spans="1:9" x14ac:dyDescent="0.25">
      <c r="A400" t="s">
        <v>990</v>
      </c>
      <c r="B400">
        <v>3000000</v>
      </c>
      <c r="C400">
        <v>0.42259999999999998</v>
      </c>
      <c r="D400">
        <v>-9.06E-2</v>
      </c>
      <c r="E400">
        <v>4.64E-3</v>
      </c>
      <c r="F400">
        <v>3.9399999999999999E-3</v>
      </c>
      <c r="G400">
        <v>6.9999999999999999E-4</v>
      </c>
      <c r="H400">
        <v>0.59730000000000005</v>
      </c>
      <c r="I400">
        <v>0.53500000000000003</v>
      </c>
    </row>
    <row r="401" spans="1:9" x14ac:dyDescent="0.25">
      <c r="A401" t="s">
        <v>991</v>
      </c>
      <c r="B401">
        <v>3000000</v>
      </c>
      <c r="C401">
        <v>0.42030000000000001</v>
      </c>
      <c r="D401">
        <v>-8.9499999999999996E-2</v>
      </c>
      <c r="E401">
        <v>4.7099999999999998E-3</v>
      </c>
      <c r="F401">
        <v>3.9500000000000004E-3</v>
      </c>
      <c r="G401">
        <v>7.6000000000000004E-4</v>
      </c>
      <c r="H401">
        <v>0.58740000000000003</v>
      </c>
      <c r="I401">
        <v>0.54549999999999998</v>
      </c>
    </row>
    <row r="402" spans="1:9" x14ac:dyDescent="0.25">
      <c r="A402" t="s">
        <v>992</v>
      </c>
      <c r="B402">
        <v>3000000</v>
      </c>
      <c r="C402">
        <v>0.42030000000000001</v>
      </c>
      <c r="D402">
        <v>-8.9099999999999999E-2</v>
      </c>
      <c r="E402">
        <v>4.7999999999999996E-3</v>
      </c>
      <c r="F402">
        <v>3.96E-3</v>
      </c>
      <c r="G402">
        <v>8.4000000000000003E-4</v>
      </c>
      <c r="H402">
        <v>0.58330000000000004</v>
      </c>
      <c r="I402">
        <v>0.54700000000000004</v>
      </c>
    </row>
    <row r="403" spans="1:9" x14ac:dyDescent="0.25">
      <c r="A403" t="s">
        <v>993</v>
      </c>
      <c r="B403">
        <v>1150000</v>
      </c>
      <c r="C403">
        <v>0.4173</v>
      </c>
      <c r="D403">
        <v>-9.1800000000000007E-2</v>
      </c>
      <c r="E403">
        <v>4.81E-3</v>
      </c>
      <c r="F403">
        <v>4.1000000000000003E-3</v>
      </c>
      <c r="G403">
        <v>7.1000000000000002E-4</v>
      </c>
      <c r="H403">
        <v>0.75800000000000001</v>
      </c>
      <c r="I403">
        <v>0.60780000000000001</v>
      </c>
    </row>
    <row r="404" spans="1:9" x14ac:dyDescent="0.25">
      <c r="A404" t="s">
        <v>994</v>
      </c>
      <c r="B404">
        <v>1300000</v>
      </c>
      <c r="C404">
        <v>0.41909999999999997</v>
      </c>
      <c r="D404">
        <v>-9.1600000000000001E-2</v>
      </c>
      <c r="E404">
        <v>4.9500000000000004E-3</v>
      </c>
      <c r="F404">
        <v>4.2700000000000004E-3</v>
      </c>
      <c r="G404">
        <v>6.8000000000000005E-4</v>
      </c>
      <c r="H404">
        <v>0.72370000000000001</v>
      </c>
      <c r="I404">
        <v>0.5514</v>
      </c>
    </row>
    <row r="405" spans="1:9" x14ac:dyDescent="0.25">
      <c r="A405" t="s">
        <v>995</v>
      </c>
      <c r="B405">
        <v>3000000</v>
      </c>
      <c r="C405">
        <v>0.48809999999999998</v>
      </c>
      <c r="D405">
        <v>-0.106</v>
      </c>
      <c r="E405">
        <v>4.4099999999999999E-3</v>
      </c>
      <c r="F405">
        <v>3.8500000000000001E-3</v>
      </c>
      <c r="G405">
        <v>5.5999999999999995E-4</v>
      </c>
      <c r="H405">
        <v>0.62229999999999996</v>
      </c>
      <c r="I405">
        <v>0.53280000000000005</v>
      </c>
    </row>
    <row r="406" spans="1:9" x14ac:dyDescent="0.25">
      <c r="A406" t="s">
        <v>996</v>
      </c>
      <c r="B406">
        <v>2900000</v>
      </c>
      <c r="C406">
        <v>0.4894</v>
      </c>
      <c r="D406">
        <v>-0.1052</v>
      </c>
      <c r="E406">
        <v>4.62E-3</v>
      </c>
      <c r="F406">
        <v>3.9199999999999999E-3</v>
      </c>
      <c r="G406">
        <v>6.8999999999999997E-4</v>
      </c>
      <c r="H406">
        <v>0.6028</v>
      </c>
      <c r="I406">
        <v>0.54559999999999997</v>
      </c>
    </row>
    <row r="407" spans="1:9" x14ac:dyDescent="0.25">
      <c r="A407" t="s">
        <v>997</v>
      </c>
      <c r="B407">
        <v>3000000</v>
      </c>
      <c r="C407">
        <v>0.48970000000000002</v>
      </c>
      <c r="D407">
        <v>-0.1047</v>
      </c>
      <c r="E407">
        <v>4.7200000000000002E-3</v>
      </c>
      <c r="F407">
        <v>3.9699999999999996E-3</v>
      </c>
      <c r="G407">
        <v>7.5000000000000002E-4</v>
      </c>
      <c r="H407">
        <v>0.58940000000000003</v>
      </c>
      <c r="I407">
        <v>0.5373</v>
      </c>
    </row>
    <row r="408" spans="1:9" x14ac:dyDescent="0.25">
      <c r="A408" t="s">
        <v>998</v>
      </c>
      <c r="B408">
        <v>2800000</v>
      </c>
      <c r="C408">
        <v>0.4904</v>
      </c>
      <c r="D408">
        <v>-0.1046</v>
      </c>
      <c r="E408">
        <v>5.1500000000000001E-3</v>
      </c>
      <c r="F408">
        <v>4.2599999999999999E-3</v>
      </c>
      <c r="G408">
        <v>8.8999999999999995E-4</v>
      </c>
      <c r="H408">
        <v>0.55869999999999997</v>
      </c>
      <c r="I408">
        <v>0.4955</v>
      </c>
    </row>
    <row r="409" spans="1:9" x14ac:dyDescent="0.25">
      <c r="A409" t="s">
        <v>999</v>
      </c>
      <c r="B409">
        <v>2700000</v>
      </c>
      <c r="C409">
        <v>0.4874</v>
      </c>
      <c r="D409">
        <v>-0.10199999999999999</v>
      </c>
      <c r="E409">
        <v>5.5599999999999998E-3</v>
      </c>
      <c r="F409">
        <v>4.3499999999999997E-3</v>
      </c>
      <c r="G409">
        <v>1.2099999999999999E-3</v>
      </c>
      <c r="H409">
        <v>0.54630000000000001</v>
      </c>
      <c r="I409">
        <v>0.49170000000000003</v>
      </c>
    </row>
    <row r="410" spans="1:9" x14ac:dyDescent="0.25">
      <c r="A410" t="s">
        <v>1000</v>
      </c>
      <c r="B410">
        <v>3000000</v>
      </c>
      <c r="C410">
        <v>0.4864</v>
      </c>
      <c r="D410">
        <v>-0.1061</v>
      </c>
      <c r="E410">
        <v>5.4099999999999999E-3</v>
      </c>
      <c r="F410">
        <v>4.9699999999999996E-3</v>
      </c>
      <c r="G410">
        <v>4.4000000000000002E-4</v>
      </c>
      <c r="H410">
        <v>0.65239999999999998</v>
      </c>
      <c r="I410">
        <v>7.4999999999999997E-3</v>
      </c>
    </row>
    <row r="411" spans="1:9" x14ac:dyDescent="0.25">
      <c r="A411" t="s">
        <v>1001</v>
      </c>
      <c r="B411">
        <v>900000</v>
      </c>
      <c r="C411">
        <v>0.48659999999999998</v>
      </c>
      <c r="D411">
        <v>-0.1066</v>
      </c>
      <c r="E411">
        <v>5.4099999999999999E-3</v>
      </c>
      <c r="F411">
        <v>4.4099999999999999E-3</v>
      </c>
      <c r="G411">
        <v>1E-3</v>
      </c>
      <c r="H411">
        <v>0.75039999999999996</v>
      </c>
      <c r="I411">
        <v>0.60209999999999997</v>
      </c>
    </row>
    <row r="412" spans="1:9" x14ac:dyDescent="0.25">
      <c r="A412" t="s">
        <v>1002</v>
      </c>
      <c r="B412">
        <v>625000</v>
      </c>
      <c r="C412">
        <v>1E-4</v>
      </c>
      <c r="D412">
        <v>0</v>
      </c>
      <c r="E412">
        <v>4.3099999999999996E-3</v>
      </c>
      <c r="F412">
        <v>3.14E-3</v>
      </c>
      <c r="G412">
        <v>1.17E-3</v>
      </c>
      <c r="H412">
        <v>0.92369999999999997</v>
      </c>
      <c r="I412">
        <v>0.92359999999999998</v>
      </c>
    </row>
    <row r="413" spans="1:9" x14ac:dyDescent="0.25">
      <c r="A413" t="s">
        <v>1003</v>
      </c>
      <c r="B413">
        <v>1100000</v>
      </c>
      <c r="C413">
        <v>0</v>
      </c>
      <c r="D413">
        <v>0</v>
      </c>
      <c r="E413">
        <v>3.13E-3</v>
      </c>
      <c r="F413">
        <v>2.31E-3</v>
      </c>
      <c r="G413">
        <v>8.1999999999999998E-4</v>
      </c>
      <c r="H413">
        <v>0.9667</v>
      </c>
      <c r="I413">
        <v>0.96650000000000003</v>
      </c>
    </row>
    <row r="414" spans="1:9" x14ac:dyDescent="0.25">
      <c r="A414" t="s">
        <v>1004</v>
      </c>
      <c r="B414">
        <v>925000</v>
      </c>
      <c r="C414">
        <v>0</v>
      </c>
      <c r="D414">
        <v>0</v>
      </c>
      <c r="E414">
        <v>3.2499999999999999E-3</v>
      </c>
      <c r="F414">
        <v>2.4599999999999999E-3</v>
      </c>
      <c r="G414">
        <v>8.0000000000000004E-4</v>
      </c>
      <c r="H414">
        <v>0.9647</v>
      </c>
      <c r="I414">
        <v>0.96430000000000005</v>
      </c>
    </row>
    <row r="415" spans="1:9" x14ac:dyDescent="0.25">
      <c r="A415" t="s">
        <v>1005</v>
      </c>
      <c r="B415">
        <v>625000</v>
      </c>
      <c r="C415">
        <v>8.7599999999999997E-2</v>
      </c>
      <c r="D415">
        <v>-1.0200000000000001E-2</v>
      </c>
      <c r="E415">
        <v>4.1099999999999999E-3</v>
      </c>
      <c r="F415">
        <v>3.13E-3</v>
      </c>
      <c r="G415">
        <v>9.8999999999999999E-4</v>
      </c>
      <c r="H415">
        <v>0.84719999999999995</v>
      </c>
      <c r="I415">
        <v>0.99990000000000001</v>
      </c>
    </row>
    <row r="416" spans="1:9" x14ac:dyDescent="0.25">
      <c r="A416" t="s">
        <v>1006</v>
      </c>
      <c r="B416">
        <v>1050000</v>
      </c>
      <c r="C416">
        <v>6.3299999999999995E-2</v>
      </c>
      <c r="D416">
        <v>-4.0000000000000001E-3</v>
      </c>
      <c r="E416">
        <v>4.7099999999999998E-3</v>
      </c>
      <c r="F416">
        <v>3.8500000000000001E-3</v>
      </c>
      <c r="G416">
        <v>8.5999999999999998E-4</v>
      </c>
      <c r="H416">
        <v>0.50339999999999996</v>
      </c>
      <c r="I416">
        <v>0.94210000000000005</v>
      </c>
    </row>
    <row r="417" spans="1:9" x14ac:dyDescent="0.25">
      <c r="A417" t="s">
        <v>1007</v>
      </c>
      <c r="B417">
        <v>3000000</v>
      </c>
      <c r="C417">
        <v>0.27600000000000002</v>
      </c>
      <c r="D417">
        <v>-2.81E-2</v>
      </c>
      <c r="E417">
        <v>7.1999999999999998E-3</v>
      </c>
      <c r="F417">
        <v>5.7200000000000003E-3</v>
      </c>
      <c r="G417">
        <v>1.47E-3</v>
      </c>
      <c r="H417">
        <v>0.40429999999999999</v>
      </c>
      <c r="I417">
        <v>2.64E-2</v>
      </c>
    </row>
    <row r="418" spans="1:9" x14ac:dyDescent="0.25">
      <c r="A418" t="s">
        <v>1008</v>
      </c>
      <c r="B418">
        <v>3000000</v>
      </c>
      <c r="C418">
        <v>7.9699999999999993E-2</v>
      </c>
      <c r="D418">
        <v>1.9300000000000001E-2</v>
      </c>
      <c r="E418">
        <v>7.4400000000000004E-3</v>
      </c>
      <c r="F418">
        <v>6.0499999999999998E-3</v>
      </c>
      <c r="G418">
        <v>1.39E-3</v>
      </c>
      <c r="H418">
        <v>0.379</v>
      </c>
      <c r="I418">
        <v>3.6400000000000002E-2</v>
      </c>
    </row>
    <row r="419" spans="1:9" x14ac:dyDescent="0.25">
      <c r="A419" t="s">
        <v>1009</v>
      </c>
      <c r="B419">
        <v>3000000</v>
      </c>
      <c r="C419">
        <v>0.33200000000000002</v>
      </c>
      <c r="D419">
        <v>-6.0699999999999997E-2</v>
      </c>
      <c r="E419">
        <v>6.5199999999999998E-3</v>
      </c>
      <c r="F419">
        <v>5.3200000000000001E-3</v>
      </c>
      <c r="G419">
        <v>1.1999999999999999E-3</v>
      </c>
      <c r="H419">
        <v>0.4083</v>
      </c>
      <c r="I419">
        <v>0.29649999999999999</v>
      </c>
    </row>
    <row r="420" spans="1:9" x14ac:dyDescent="0.25">
      <c r="A420" t="s">
        <v>1010</v>
      </c>
      <c r="B420">
        <v>3000000</v>
      </c>
      <c r="C420">
        <v>8.77E-2</v>
      </c>
      <c r="D420">
        <v>3.2000000000000002E-3</v>
      </c>
      <c r="E420">
        <v>5.8900000000000003E-3</v>
      </c>
      <c r="F420">
        <v>4.9699999999999996E-3</v>
      </c>
      <c r="G420">
        <v>9.2000000000000003E-4</v>
      </c>
      <c r="H420">
        <v>0.39460000000000001</v>
      </c>
      <c r="I420">
        <v>0.43330000000000002</v>
      </c>
    </row>
    <row r="421" spans="1:9" x14ac:dyDescent="0.25">
      <c r="A421" t="s">
        <v>1011</v>
      </c>
      <c r="B421">
        <v>3000000</v>
      </c>
      <c r="C421">
        <v>2.3999999999999998E-3</v>
      </c>
      <c r="D421">
        <v>1.52E-2</v>
      </c>
      <c r="E421">
        <v>5.62E-3</v>
      </c>
      <c r="F421">
        <v>4.8999999999999998E-3</v>
      </c>
      <c r="G421">
        <v>7.2000000000000005E-4</v>
      </c>
      <c r="H421">
        <v>0.38679999999999998</v>
      </c>
      <c r="I421">
        <v>0.45700000000000002</v>
      </c>
    </row>
    <row r="422" spans="1:9" x14ac:dyDescent="0.25">
      <c r="A422" t="s">
        <v>1012</v>
      </c>
      <c r="B422">
        <v>3000000</v>
      </c>
      <c r="C422">
        <v>-3.5999999999999999E-3</v>
      </c>
      <c r="D422">
        <v>1.8200000000000001E-2</v>
      </c>
      <c r="E422">
        <v>5.7299999999999999E-3</v>
      </c>
      <c r="F422">
        <v>5.0099999999999997E-3</v>
      </c>
      <c r="G422">
        <v>7.1000000000000002E-4</v>
      </c>
      <c r="H422">
        <v>0.34370000000000001</v>
      </c>
      <c r="I422">
        <v>0.44890000000000002</v>
      </c>
    </row>
    <row r="423" spans="1:9" x14ac:dyDescent="0.25">
      <c r="A423" t="s">
        <v>1013</v>
      </c>
      <c r="B423">
        <v>1750000</v>
      </c>
      <c r="C423">
        <v>-7.2099999999999997E-2</v>
      </c>
      <c r="D423">
        <v>3.7600000000000001E-2</v>
      </c>
      <c r="E423">
        <v>5.1399999999999996E-3</v>
      </c>
      <c r="F423">
        <v>4.47E-3</v>
      </c>
      <c r="G423">
        <v>6.7000000000000002E-4</v>
      </c>
      <c r="H423">
        <v>0.34870000000000001</v>
      </c>
      <c r="I423">
        <v>0.75409999999999999</v>
      </c>
    </row>
    <row r="424" spans="1:9" x14ac:dyDescent="0.25">
      <c r="A424" t="s">
        <v>1014</v>
      </c>
      <c r="B424">
        <v>2100000</v>
      </c>
      <c r="C424">
        <v>-5.8999999999999999E-3</v>
      </c>
      <c r="D424">
        <v>2.3699999999999999E-2</v>
      </c>
      <c r="E424">
        <v>5.3E-3</v>
      </c>
      <c r="F424">
        <v>4.0800000000000003E-3</v>
      </c>
      <c r="G424">
        <v>1.23E-3</v>
      </c>
      <c r="H424">
        <v>3.4504999999999999</v>
      </c>
      <c r="I424">
        <v>5.5796000000000001</v>
      </c>
    </row>
    <row r="425" spans="1:9" x14ac:dyDescent="0.25">
      <c r="A425" t="s">
        <v>1015</v>
      </c>
      <c r="B425">
        <v>3000000</v>
      </c>
      <c r="C425">
        <v>0.91210000000000002</v>
      </c>
      <c r="D425">
        <v>-0.19789999999999999</v>
      </c>
      <c r="E425">
        <v>6.13E-3</v>
      </c>
      <c r="F425">
        <v>4.6499999999999996E-3</v>
      </c>
      <c r="G425">
        <v>1.47E-3</v>
      </c>
      <c r="H425">
        <v>0.54620000000000002</v>
      </c>
      <c r="I425">
        <v>0.28070000000000001</v>
      </c>
    </row>
    <row r="426" spans="1:9" x14ac:dyDescent="0.25">
      <c r="A426" t="s">
        <v>1016</v>
      </c>
      <c r="B426">
        <v>3000000</v>
      </c>
      <c r="C426">
        <v>0.89470000000000005</v>
      </c>
      <c r="D426">
        <v>-0.1976</v>
      </c>
      <c r="E426">
        <v>5.7800000000000004E-3</v>
      </c>
      <c r="F426">
        <v>4.5199999999999997E-3</v>
      </c>
      <c r="G426">
        <v>1.25E-3</v>
      </c>
      <c r="H426">
        <v>0.57250000000000001</v>
      </c>
      <c r="I426">
        <v>0.30499999999999999</v>
      </c>
    </row>
    <row r="427" spans="1:9" x14ac:dyDescent="0.25">
      <c r="A427" t="s">
        <v>1017</v>
      </c>
      <c r="B427">
        <v>3000000</v>
      </c>
      <c r="C427">
        <v>0.75749999999999995</v>
      </c>
      <c r="D427">
        <v>-0.1681</v>
      </c>
      <c r="E427">
        <v>5.3899999999999998E-3</v>
      </c>
      <c r="F427">
        <v>4.4600000000000004E-3</v>
      </c>
      <c r="G427">
        <v>9.3999999999999997E-4</v>
      </c>
      <c r="H427">
        <v>0.57599999999999996</v>
      </c>
      <c r="I427">
        <v>0.33639999999999998</v>
      </c>
    </row>
    <row r="428" spans="1:9" x14ac:dyDescent="0.25">
      <c r="A428" t="s">
        <v>1018</v>
      </c>
      <c r="B428">
        <v>3000000</v>
      </c>
      <c r="C428">
        <v>0.53180000000000005</v>
      </c>
      <c r="D428">
        <v>-0.1193</v>
      </c>
      <c r="E428">
        <v>5.7499999999999999E-3</v>
      </c>
      <c r="F428">
        <v>5.2100000000000002E-3</v>
      </c>
      <c r="G428">
        <v>5.5000000000000003E-4</v>
      </c>
      <c r="H428">
        <v>0.62580000000000002</v>
      </c>
      <c r="I428">
        <v>8.8000000000000005E-3</v>
      </c>
    </row>
    <row r="429" spans="1:9" x14ac:dyDescent="0.25">
      <c r="A429" t="s">
        <v>1019</v>
      </c>
      <c r="B429">
        <v>3000000</v>
      </c>
      <c r="C429">
        <v>0.33250000000000002</v>
      </c>
      <c r="D429">
        <v>-7.1900000000000006E-2</v>
      </c>
      <c r="E429">
        <v>4.9399999999999999E-3</v>
      </c>
      <c r="F429">
        <v>4.4200000000000003E-3</v>
      </c>
      <c r="G429">
        <v>5.1000000000000004E-4</v>
      </c>
      <c r="H429">
        <v>0.57530000000000003</v>
      </c>
      <c r="I429">
        <v>0.378</v>
      </c>
    </row>
    <row r="430" spans="1:9" x14ac:dyDescent="0.25">
      <c r="A430" t="s">
        <v>1020</v>
      </c>
      <c r="B430">
        <v>2900000</v>
      </c>
      <c r="C430">
        <v>0.246</v>
      </c>
      <c r="D430">
        <v>-4.6399999999999997E-2</v>
      </c>
      <c r="E430">
        <v>4.6800000000000001E-3</v>
      </c>
      <c r="F430">
        <v>4.0099999999999997E-3</v>
      </c>
      <c r="G430">
        <v>6.7000000000000002E-4</v>
      </c>
      <c r="H430">
        <v>0.57230000000000003</v>
      </c>
      <c r="I430">
        <v>0.59530000000000005</v>
      </c>
    </row>
    <row r="431" spans="1:9" x14ac:dyDescent="0.25">
      <c r="A431" t="s">
        <v>1021</v>
      </c>
      <c r="B431">
        <v>2900000</v>
      </c>
      <c r="C431">
        <v>0.4879</v>
      </c>
      <c r="D431">
        <v>-0.12759999999999999</v>
      </c>
      <c r="E431">
        <v>3.7499999999999999E-3</v>
      </c>
      <c r="F431">
        <v>3.3300000000000001E-3</v>
      </c>
      <c r="G431">
        <v>4.2000000000000002E-4</v>
      </c>
      <c r="H431">
        <v>0.78949999999999998</v>
      </c>
      <c r="I431">
        <v>0.54239999999999999</v>
      </c>
    </row>
    <row r="432" spans="1:9" x14ac:dyDescent="0.25">
      <c r="A432" t="s">
        <v>1022</v>
      </c>
      <c r="B432">
        <v>3000000</v>
      </c>
      <c r="C432">
        <v>0.55410000000000004</v>
      </c>
      <c r="D432">
        <v>-0.1411</v>
      </c>
      <c r="E432">
        <v>3.82E-3</v>
      </c>
      <c r="F432">
        <v>3.3500000000000001E-3</v>
      </c>
      <c r="G432">
        <v>4.6999999999999999E-4</v>
      </c>
      <c r="H432">
        <v>0.77649999999999997</v>
      </c>
      <c r="I432">
        <v>0.53029999999999999</v>
      </c>
    </row>
    <row r="433" spans="1:9" x14ac:dyDescent="0.25">
      <c r="A433" t="s">
        <v>1023</v>
      </c>
      <c r="B433">
        <v>1250000</v>
      </c>
      <c r="C433">
        <v>0.14099999999999999</v>
      </c>
      <c r="D433">
        <v>-1.23E-2</v>
      </c>
      <c r="E433">
        <v>4.5100000000000001E-3</v>
      </c>
      <c r="F433">
        <v>3.4499999999999999E-3</v>
      </c>
      <c r="G433">
        <v>1.06E-3</v>
      </c>
      <c r="H433">
        <v>0.63749999999999996</v>
      </c>
      <c r="I433">
        <v>0.91200000000000003</v>
      </c>
    </row>
    <row r="434" spans="1:9" x14ac:dyDescent="0.25">
      <c r="A434" t="s">
        <v>1024</v>
      </c>
      <c r="B434">
        <v>1350000</v>
      </c>
      <c r="C434">
        <v>7.2599999999999998E-2</v>
      </c>
      <c r="D434">
        <v>0</v>
      </c>
      <c r="E434">
        <v>4.13E-3</v>
      </c>
      <c r="F434">
        <v>3.3899999999999998E-3</v>
      </c>
      <c r="G434">
        <v>7.3999999999999999E-4</v>
      </c>
      <c r="H434">
        <v>0.62639999999999996</v>
      </c>
      <c r="I434">
        <v>0.90500000000000003</v>
      </c>
    </row>
    <row r="435" spans="1:9" x14ac:dyDescent="0.25">
      <c r="A435" t="s">
        <v>1025</v>
      </c>
      <c r="B435">
        <v>3000000</v>
      </c>
      <c r="C435">
        <v>0.35120000000000001</v>
      </c>
      <c r="D435">
        <v>-8.0199999999999994E-2</v>
      </c>
      <c r="E435">
        <v>3.8899999999999998E-3</v>
      </c>
      <c r="F435">
        <v>3.2799999999999999E-3</v>
      </c>
      <c r="G435">
        <v>6.0999999999999997E-4</v>
      </c>
      <c r="H435">
        <v>0.67700000000000005</v>
      </c>
      <c r="I435">
        <v>0.69040000000000001</v>
      </c>
    </row>
    <row r="436" spans="1:9" x14ac:dyDescent="0.25">
      <c r="A436" t="s">
        <v>1026</v>
      </c>
      <c r="B436">
        <v>1750000</v>
      </c>
      <c r="C436">
        <v>0.47499999999999998</v>
      </c>
      <c r="D436">
        <v>-0.10920000000000001</v>
      </c>
      <c r="E436">
        <v>4.8399999999999997E-3</v>
      </c>
      <c r="F436">
        <v>3.9699999999999996E-3</v>
      </c>
      <c r="G436">
        <v>8.7000000000000001E-4</v>
      </c>
      <c r="H436">
        <v>0.68810000000000004</v>
      </c>
      <c r="I436">
        <v>0.6099</v>
      </c>
    </row>
    <row r="437" spans="1:9" x14ac:dyDescent="0.25">
      <c r="A437" t="s">
        <v>1027</v>
      </c>
      <c r="B437">
        <v>1300000</v>
      </c>
      <c r="C437">
        <v>0.1084</v>
      </c>
      <c r="D437">
        <v>-1.3100000000000001E-2</v>
      </c>
      <c r="E437">
        <v>4.0499999999999998E-3</v>
      </c>
      <c r="F437">
        <v>3.4199999999999999E-3</v>
      </c>
      <c r="G437">
        <v>6.2E-4</v>
      </c>
      <c r="H437">
        <v>0.62670000000000003</v>
      </c>
      <c r="I437">
        <v>0.91800000000000004</v>
      </c>
    </row>
    <row r="438" spans="1:9" x14ac:dyDescent="0.25">
      <c r="A438" t="s">
        <v>1028</v>
      </c>
      <c r="B438">
        <v>2200000</v>
      </c>
      <c r="C438">
        <v>0.10879999999999999</v>
      </c>
      <c r="D438">
        <v>-1.8100000000000002E-2</v>
      </c>
      <c r="E438">
        <v>2.82E-3</v>
      </c>
      <c r="F438">
        <v>2.3500000000000001E-3</v>
      </c>
      <c r="G438">
        <v>4.6000000000000001E-4</v>
      </c>
      <c r="H438">
        <v>0.81459999999999999</v>
      </c>
      <c r="I438">
        <v>0.89939999999999998</v>
      </c>
    </row>
    <row r="439" spans="1:9" x14ac:dyDescent="0.25">
      <c r="A439" t="s">
        <v>1029</v>
      </c>
      <c r="B439">
        <v>2500000</v>
      </c>
      <c r="C439">
        <v>0.13900000000000001</v>
      </c>
      <c r="D439">
        <v>-2.5899999999999999E-2</v>
      </c>
      <c r="E439">
        <v>2.8999999999999998E-3</v>
      </c>
      <c r="F439">
        <v>2.4199999999999998E-3</v>
      </c>
      <c r="G439">
        <v>4.8000000000000001E-4</v>
      </c>
      <c r="H439">
        <v>0.79710000000000003</v>
      </c>
      <c r="I439">
        <v>0.87709999999999999</v>
      </c>
    </row>
    <row r="440" spans="1:9" x14ac:dyDescent="0.25">
      <c r="A440" t="s">
        <v>1030</v>
      </c>
      <c r="B440">
        <v>2800000</v>
      </c>
      <c r="C440">
        <v>0.1651</v>
      </c>
      <c r="D440">
        <v>-3.2399999999999998E-2</v>
      </c>
      <c r="E440">
        <v>2.8600000000000001E-3</v>
      </c>
      <c r="F440">
        <v>2.3600000000000001E-3</v>
      </c>
      <c r="G440">
        <v>5.0000000000000001E-4</v>
      </c>
      <c r="H440">
        <v>0.79990000000000006</v>
      </c>
      <c r="I440">
        <v>0.872</v>
      </c>
    </row>
    <row r="441" spans="1:9" x14ac:dyDescent="0.25">
      <c r="A441" t="s">
        <v>1031</v>
      </c>
      <c r="B441">
        <v>3000000</v>
      </c>
      <c r="C441">
        <v>0.17169999999999999</v>
      </c>
      <c r="D441">
        <v>-3.4500000000000003E-2</v>
      </c>
      <c r="E441">
        <v>2.8E-3</v>
      </c>
      <c r="F441">
        <v>2.2599999999999999E-3</v>
      </c>
      <c r="G441">
        <v>5.4000000000000001E-4</v>
      </c>
      <c r="H441">
        <v>0.81850000000000001</v>
      </c>
      <c r="I441">
        <v>0.87119999999999997</v>
      </c>
    </row>
    <row r="442" spans="1:9" x14ac:dyDescent="0.25">
      <c r="A442" t="s">
        <v>1032</v>
      </c>
      <c r="B442">
        <v>3000000</v>
      </c>
      <c r="C442">
        <v>0.16900000000000001</v>
      </c>
      <c r="D442">
        <v>-3.4099999999999998E-2</v>
      </c>
      <c r="E442">
        <v>2.82E-3</v>
      </c>
      <c r="F442">
        <v>2.1700000000000001E-3</v>
      </c>
      <c r="G442">
        <v>6.4999999999999997E-4</v>
      </c>
      <c r="H442">
        <v>0.83560000000000001</v>
      </c>
      <c r="I442">
        <v>0.87790000000000001</v>
      </c>
    </row>
    <row r="443" spans="1:9" x14ac:dyDescent="0.25">
      <c r="A443" t="s">
        <v>1033</v>
      </c>
      <c r="B443">
        <v>1350000</v>
      </c>
      <c r="C443">
        <v>0.20219999999999999</v>
      </c>
      <c r="D443">
        <v>-4.2299999999999997E-2</v>
      </c>
      <c r="E443">
        <v>3.8999999999999998E-3</v>
      </c>
      <c r="F443">
        <v>3.3E-3</v>
      </c>
      <c r="G443">
        <v>5.9999999999999995E-4</v>
      </c>
      <c r="H443">
        <v>0.75939999999999996</v>
      </c>
      <c r="I443">
        <v>0.79300000000000004</v>
      </c>
    </row>
    <row r="444" spans="1:9" x14ac:dyDescent="0.25">
      <c r="A444" t="s">
        <v>1034</v>
      </c>
      <c r="B444">
        <v>1200000</v>
      </c>
      <c r="C444">
        <v>0.2762</v>
      </c>
      <c r="D444">
        <v>-5.6899999999999999E-2</v>
      </c>
      <c r="E444">
        <v>4.2700000000000004E-3</v>
      </c>
      <c r="F444">
        <v>3.5200000000000001E-3</v>
      </c>
      <c r="G444">
        <v>7.5000000000000002E-4</v>
      </c>
      <c r="H444">
        <v>0.71819999999999995</v>
      </c>
      <c r="I444">
        <v>0.80349999999999999</v>
      </c>
    </row>
    <row r="445" spans="1:9" x14ac:dyDescent="0.25">
      <c r="A445" t="s">
        <v>1035</v>
      </c>
      <c r="B445">
        <v>2900000</v>
      </c>
      <c r="C445">
        <v>0.44030000000000002</v>
      </c>
      <c r="D445">
        <v>-9.4799999999999995E-2</v>
      </c>
      <c r="E445">
        <v>4.96E-3</v>
      </c>
      <c r="F445">
        <v>4.45E-3</v>
      </c>
      <c r="G445">
        <v>5.1000000000000004E-4</v>
      </c>
      <c r="H445">
        <v>0.59660000000000002</v>
      </c>
      <c r="I445">
        <v>0.33979999999999999</v>
      </c>
    </row>
    <row r="446" spans="1:9" x14ac:dyDescent="0.25">
      <c r="A446" t="s">
        <v>1036</v>
      </c>
      <c r="B446">
        <v>925000</v>
      </c>
      <c r="C446">
        <v>0.15279999999999999</v>
      </c>
      <c r="D446">
        <v>-2.4500000000000001E-2</v>
      </c>
      <c r="E446">
        <v>5.13E-3</v>
      </c>
      <c r="F446">
        <v>4.28E-3</v>
      </c>
      <c r="G446">
        <v>8.4999999999999995E-4</v>
      </c>
      <c r="H446">
        <v>0.64600000000000002</v>
      </c>
      <c r="I446">
        <v>0.751</v>
      </c>
    </row>
    <row r="447" spans="1:9" x14ac:dyDescent="0.25">
      <c r="A447" t="s">
        <v>1037</v>
      </c>
      <c r="B447">
        <v>1800000</v>
      </c>
      <c r="C447">
        <v>0.1424</v>
      </c>
      <c r="D447">
        <v>-2.3199999999999998E-2</v>
      </c>
      <c r="E447">
        <v>4.4099999999999999E-3</v>
      </c>
      <c r="F447">
        <v>3.9100000000000003E-3</v>
      </c>
      <c r="G447">
        <v>5.0000000000000001E-4</v>
      </c>
      <c r="H447">
        <v>0.60880000000000001</v>
      </c>
      <c r="I447">
        <v>0.68279999999999996</v>
      </c>
    </row>
    <row r="448" spans="1:9" x14ac:dyDescent="0.25">
      <c r="A448" t="s">
        <v>1038</v>
      </c>
      <c r="B448">
        <v>875000</v>
      </c>
      <c r="C448">
        <v>6.8599999999999994E-2</v>
      </c>
      <c r="D448">
        <v>-2.0999999999999999E-3</v>
      </c>
      <c r="E448">
        <v>4.7099999999999998E-3</v>
      </c>
      <c r="F448">
        <v>3.7299999999999998E-3</v>
      </c>
      <c r="G448">
        <v>9.7999999999999997E-4</v>
      </c>
      <c r="H448">
        <v>0.6643</v>
      </c>
      <c r="I448">
        <v>0.86970000000000003</v>
      </c>
    </row>
    <row r="449" spans="1:9" x14ac:dyDescent="0.25">
      <c r="A449" t="s">
        <v>1039</v>
      </c>
      <c r="B449">
        <v>3000000</v>
      </c>
      <c r="C449">
        <v>8.0699999999999994E-2</v>
      </c>
      <c r="D449">
        <v>-4.0000000000000002E-4</v>
      </c>
      <c r="E449">
        <v>6.43E-3</v>
      </c>
      <c r="F449">
        <v>5.79E-3</v>
      </c>
      <c r="G449">
        <v>6.4000000000000005E-4</v>
      </c>
      <c r="H449">
        <v>0.50009999999999999</v>
      </c>
      <c r="I449">
        <v>8.0000000000000002E-3</v>
      </c>
    </row>
    <row r="450" spans="1:9" x14ac:dyDescent="0.25">
      <c r="A450" t="s">
        <v>1040</v>
      </c>
      <c r="B450">
        <v>875000</v>
      </c>
      <c r="C450">
        <v>7.4300000000000005E-2</v>
      </c>
      <c r="D450">
        <v>-5.3E-3</v>
      </c>
      <c r="E450">
        <v>4.6499999999999996E-3</v>
      </c>
      <c r="F450">
        <v>3.7100000000000002E-3</v>
      </c>
      <c r="G450">
        <v>9.3999999999999997E-4</v>
      </c>
      <c r="H450">
        <v>0.66449999999999998</v>
      </c>
      <c r="I450">
        <v>0.88919999999999999</v>
      </c>
    </row>
    <row r="451" spans="1:9" x14ac:dyDescent="0.25">
      <c r="A451" t="s">
        <v>1041</v>
      </c>
      <c r="B451">
        <v>3000000</v>
      </c>
      <c r="C451">
        <v>8.1299999999999997E-2</v>
      </c>
      <c r="D451">
        <v>-1E-3</v>
      </c>
      <c r="E451">
        <v>4.9199999999999999E-3</v>
      </c>
      <c r="F451">
        <v>4.4099999999999999E-3</v>
      </c>
      <c r="G451">
        <v>5.1000000000000004E-4</v>
      </c>
      <c r="H451">
        <v>0.51280000000000003</v>
      </c>
      <c r="I451">
        <v>0.44479999999999997</v>
      </c>
    </row>
    <row r="452" spans="1:9" x14ac:dyDescent="0.25">
      <c r="A452" t="s">
        <v>1042</v>
      </c>
      <c r="B452">
        <v>2900000</v>
      </c>
      <c r="C452">
        <v>2.5399999999999999E-2</v>
      </c>
      <c r="D452">
        <v>9.1999999999999998E-3</v>
      </c>
      <c r="E452">
        <v>4.64E-3</v>
      </c>
      <c r="F452">
        <v>4.1799999999999997E-3</v>
      </c>
      <c r="G452">
        <v>4.6000000000000001E-4</v>
      </c>
      <c r="H452">
        <v>0.56520000000000004</v>
      </c>
      <c r="I452">
        <v>0.49659999999999999</v>
      </c>
    </row>
    <row r="453" spans="1:9" x14ac:dyDescent="0.25">
      <c r="A453" t="s">
        <v>1043</v>
      </c>
      <c r="B453">
        <v>2900000</v>
      </c>
      <c r="C453">
        <v>8.5900000000000004E-2</v>
      </c>
      <c r="D453">
        <v>-5.4000000000000003E-3</v>
      </c>
      <c r="E453">
        <v>4.79E-3</v>
      </c>
      <c r="F453">
        <v>4.3400000000000001E-3</v>
      </c>
      <c r="G453">
        <v>4.4999999999999999E-4</v>
      </c>
      <c r="H453">
        <v>0.5302</v>
      </c>
      <c r="I453">
        <v>0.45910000000000001</v>
      </c>
    </row>
    <row r="454" spans="1:9" x14ac:dyDescent="0.25">
      <c r="A454" t="s">
        <v>1044</v>
      </c>
      <c r="B454">
        <v>2600000</v>
      </c>
      <c r="C454">
        <v>8.9200000000000002E-2</v>
      </c>
      <c r="D454">
        <v>-8.9999999999999993E-3</v>
      </c>
      <c r="E454">
        <v>4.6899999999999997E-3</v>
      </c>
      <c r="F454">
        <v>4.28E-3</v>
      </c>
      <c r="G454">
        <v>4.0999999999999999E-4</v>
      </c>
      <c r="H454">
        <v>0.55879999999999996</v>
      </c>
      <c r="I454">
        <v>0.48670000000000002</v>
      </c>
    </row>
    <row r="455" spans="1:9" x14ac:dyDescent="0.25">
      <c r="A455" t="s">
        <v>1045</v>
      </c>
      <c r="B455">
        <v>2800000</v>
      </c>
      <c r="C455">
        <v>0.30859999999999999</v>
      </c>
      <c r="D455">
        <v>-5.1799999999999999E-2</v>
      </c>
      <c r="E455">
        <v>5.1599999999999997E-3</v>
      </c>
      <c r="F455">
        <v>4.4799999999999996E-3</v>
      </c>
      <c r="G455">
        <v>6.8000000000000005E-4</v>
      </c>
      <c r="H455">
        <v>0.50539999999999996</v>
      </c>
      <c r="I455">
        <v>0.44579999999999997</v>
      </c>
    </row>
    <row r="456" spans="1:9" x14ac:dyDescent="0.25">
      <c r="A456" t="s">
        <v>1046</v>
      </c>
      <c r="B456">
        <v>675000</v>
      </c>
      <c r="C456">
        <v>2.7000000000000001E-3</v>
      </c>
      <c r="D456">
        <v>4.3700000000000003E-2</v>
      </c>
      <c r="E456">
        <v>7.6E-3</v>
      </c>
      <c r="F456">
        <v>5.3200000000000001E-3</v>
      </c>
      <c r="G456">
        <v>2.2799999999999999E-3</v>
      </c>
      <c r="H456">
        <v>0.30180000000000001</v>
      </c>
      <c r="I456">
        <v>0.78300000000000003</v>
      </c>
    </row>
    <row r="457" spans="1:9" x14ac:dyDescent="0.25">
      <c r="A457" t="s">
        <v>1047</v>
      </c>
      <c r="B457">
        <v>1300000</v>
      </c>
      <c r="C457">
        <v>0.1023</v>
      </c>
      <c r="D457">
        <v>1.6199999999999999E-2</v>
      </c>
      <c r="E457">
        <v>5.8599999999999998E-3</v>
      </c>
      <c r="F457">
        <v>4.5300000000000002E-3</v>
      </c>
      <c r="G457">
        <v>1.33E-3</v>
      </c>
      <c r="H457">
        <v>0.33450000000000002</v>
      </c>
      <c r="I457">
        <v>0.80020000000000002</v>
      </c>
    </row>
    <row r="458" spans="1:9" x14ac:dyDescent="0.25">
      <c r="A458" t="s">
        <v>1048</v>
      </c>
      <c r="B458">
        <v>800000</v>
      </c>
      <c r="C458">
        <v>0.1792</v>
      </c>
      <c r="D458">
        <v>2.0000000000000001E-4</v>
      </c>
      <c r="E458">
        <v>6.9699999999999996E-3</v>
      </c>
      <c r="F458">
        <v>5.1000000000000004E-3</v>
      </c>
      <c r="G458">
        <v>1.8600000000000001E-3</v>
      </c>
      <c r="H458">
        <v>0.35980000000000001</v>
      </c>
      <c r="I458">
        <v>0.77139999999999997</v>
      </c>
    </row>
    <row r="459" spans="1:9" x14ac:dyDescent="0.25">
      <c r="A459" t="s">
        <v>1049</v>
      </c>
      <c r="B459">
        <v>3000000</v>
      </c>
      <c r="C459">
        <v>0.26400000000000001</v>
      </c>
      <c r="D459">
        <v>-1.61E-2</v>
      </c>
      <c r="E459">
        <v>7.0499999999999998E-3</v>
      </c>
      <c r="F459">
        <v>5.8900000000000003E-3</v>
      </c>
      <c r="G459">
        <v>1.16E-3</v>
      </c>
      <c r="H459">
        <v>0.30719999999999997</v>
      </c>
      <c r="I459">
        <v>0.13700000000000001</v>
      </c>
    </row>
    <row r="460" spans="1:9" x14ac:dyDescent="0.25">
      <c r="A460" t="s">
        <v>1050</v>
      </c>
      <c r="B460">
        <v>3000000</v>
      </c>
      <c r="C460">
        <v>0.4647</v>
      </c>
      <c r="D460">
        <v>-6.5100000000000005E-2</v>
      </c>
      <c r="E460">
        <v>7.0299999999999998E-3</v>
      </c>
      <c r="F460">
        <v>5.79E-3</v>
      </c>
      <c r="G460">
        <v>1.25E-3</v>
      </c>
      <c r="H460">
        <v>0.31219999999999998</v>
      </c>
      <c r="I460">
        <v>0.12740000000000001</v>
      </c>
    </row>
    <row r="461" spans="1:9" x14ac:dyDescent="0.25">
      <c r="A461" t="s">
        <v>1051</v>
      </c>
      <c r="B461">
        <v>3000000</v>
      </c>
      <c r="C461">
        <v>0.46639999999999998</v>
      </c>
      <c r="D461">
        <v>-6.9800000000000001E-2</v>
      </c>
      <c r="E461">
        <v>7.0800000000000004E-3</v>
      </c>
      <c r="F461">
        <v>5.8100000000000001E-3</v>
      </c>
      <c r="G461">
        <v>1.2600000000000001E-3</v>
      </c>
      <c r="H461">
        <v>0.31340000000000001</v>
      </c>
      <c r="I461">
        <v>0.1203</v>
      </c>
    </row>
    <row r="462" spans="1:9" x14ac:dyDescent="0.25">
      <c r="A462" t="s">
        <v>1052</v>
      </c>
      <c r="B462">
        <v>3000000</v>
      </c>
      <c r="C462">
        <v>1.0800000000000001E-2</v>
      </c>
      <c r="D462">
        <v>2.58E-2</v>
      </c>
      <c r="E462">
        <v>5.3E-3</v>
      </c>
      <c r="F462">
        <v>4.4000000000000003E-3</v>
      </c>
      <c r="G462">
        <v>8.9999999999999998E-4</v>
      </c>
      <c r="H462">
        <v>0.35399999999999998</v>
      </c>
      <c r="I462">
        <v>0.61780000000000002</v>
      </c>
    </row>
    <row r="463" spans="1:9" x14ac:dyDescent="0.25">
      <c r="A463" t="s">
        <v>1053</v>
      </c>
      <c r="B463">
        <v>2900000</v>
      </c>
      <c r="C463">
        <v>-5.7999999999999996E-3</v>
      </c>
      <c r="D463">
        <v>3.0800000000000001E-2</v>
      </c>
      <c r="E463">
        <v>5.2900000000000004E-3</v>
      </c>
      <c r="F463">
        <v>4.3600000000000002E-3</v>
      </c>
      <c r="G463">
        <v>9.3000000000000005E-4</v>
      </c>
      <c r="H463">
        <v>0.35770000000000002</v>
      </c>
      <c r="I463">
        <v>0.63480000000000003</v>
      </c>
    </row>
    <row r="464" spans="1:9" x14ac:dyDescent="0.25">
      <c r="A464" t="s">
        <v>1054</v>
      </c>
      <c r="B464">
        <v>3000000</v>
      </c>
      <c r="C464">
        <v>-2.41E-2</v>
      </c>
      <c r="D464">
        <v>3.61E-2</v>
      </c>
      <c r="E464">
        <v>5.2599999999999999E-3</v>
      </c>
      <c r="F464">
        <v>4.3099999999999996E-3</v>
      </c>
      <c r="G464">
        <v>9.5E-4</v>
      </c>
      <c r="H464">
        <v>0.3579</v>
      </c>
      <c r="I464">
        <v>0.64190000000000003</v>
      </c>
    </row>
    <row r="465" spans="1:9" x14ac:dyDescent="0.25">
      <c r="A465" t="s">
        <v>1055</v>
      </c>
      <c r="B465">
        <v>3000000</v>
      </c>
      <c r="C465">
        <v>0.24479999999999999</v>
      </c>
      <c r="D465">
        <v>-5.33E-2</v>
      </c>
      <c r="E465">
        <v>5.5999999999999999E-3</v>
      </c>
      <c r="F465">
        <v>4.4900000000000001E-3</v>
      </c>
      <c r="G465">
        <v>1.1199999999999999E-3</v>
      </c>
      <c r="H465">
        <v>0.44419999999999998</v>
      </c>
      <c r="I465">
        <v>0.54679999999999995</v>
      </c>
    </row>
    <row r="466" spans="1:9" x14ac:dyDescent="0.25">
      <c r="A466" t="s">
        <v>1056</v>
      </c>
      <c r="B466">
        <v>3000000</v>
      </c>
      <c r="C466">
        <v>0.2253</v>
      </c>
      <c r="D466">
        <v>-4.4200000000000003E-2</v>
      </c>
      <c r="E466">
        <v>4.9100000000000003E-3</v>
      </c>
      <c r="F466">
        <v>3.8700000000000002E-3</v>
      </c>
      <c r="G466">
        <v>1.0399999999999999E-3</v>
      </c>
      <c r="H466">
        <v>0.50680000000000003</v>
      </c>
      <c r="I466">
        <v>0.67379999999999995</v>
      </c>
    </row>
    <row r="467" spans="1:9" x14ac:dyDescent="0.25">
      <c r="A467" t="s">
        <v>1057</v>
      </c>
      <c r="B467">
        <v>2800000</v>
      </c>
      <c r="C467">
        <v>0.3427</v>
      </c>
      <c r="D467">
        <v>-6.6100000000000006E-2</v>
      </c>
      <c r="E467">
        <v>4.8700000000000002E-3</v>
      </c>
      <c r="F467">
        <v>4.0000000000000001E-3</v>
      </c>
      <c r="G467">
        <v>8.7000000000000001E-4</v>
      </c>
      <c r="H467">
        <v>0.56289999999999996</v>
      </c>
      <c r="I467">
        <v>0.61539999999999995</v>
      </c>
    </row>
    <row r="468" spans="1:9" x14ac:dyDescent="0.25">
      <c r="A468" t="s">
        <v>1058</v>
      </c>
      <c r="B468">
        <v>3000000</v>
      </c>
      <c r="C468">
        <v>0.39529999999999998</v>
      </c>
      <c r="D468">
        <v>-8.0299999999999996E-2</v>
      </c>
      <c r="E468">
        <v>5.0299999999999997E-3</v>
      </c>
      <c r="F468">
        <v>4.0299999999999997E-3</v>
      </c>
      <c r="G468">
        <v>1.01E-3</v>
      </c>
      <c r="H468">
        <v>0.61050000000000004</v>
      </c>
      <c r="I468">
        <v>0.54620000000000002</v>
      </c>
    </row>
    <row r="469" spans="1:9" x14ac:dyDescent="0.25">
      <c r="A469" t="s">
        <v>1059</v>
      </c>
      <c r="B469">
        <v>3000000</v>
      </c>
      <c r="C469">
        <v>0.26939999999999997</v>
      </c>
      <c r="D469">
        <v>-5.3400000000000003E-2</v>
      </c>
      <c r="E469">
        <v>4.7400000000000003E-3</v>
      </c>
      <c r="F469">
        <v>3.7499999999999999E-3</v>
      </c>
      <c r="G469">
        <v>9.8999999999999999E-4</v>
      </c>
      <c r="H469">
        <v>0.59770000000000001</v>
      </c>
      <c r="I469">
        <v>0.65400000000000003</v>
      </c>
    </row>
    <row r="470" spans="1:9" x14ac:dyDescent="0.25">
      <c r="A470" t="s">
        <v>1060</v>
      </c>
      <c r="B470">
        <v>3000000</v>
      </c>
      <c r="C470">
        <v>0.66690000000000005</v>
      </c>
      <c r="D470">
        <v>-0.15210000000000001</v>
      </c>
      <c r="E470">
        <v>5.13E-3</v>
      </c>
      <c r="F470">
        <v>3.79E-3</v>
      </c>
      <c r="G470">
        <v>1.33E-3</v>
      </c>
      <c r="H470">
        <v>0.57030000000000003</v>
      </c>
      <c r="I470">
        <v>0.67820000000000003</v>
      </c>
    </row>
    <row r="471" spans="1:9" x14ac:dyDescent="0.25">
      <c r="A471" t="s">
        <v>1061</v>
      </c>
      <c r="B471">
        <v>3000000</v>
      </c>
      <c r="C471">
        <v>0.77359999999999995</v>
      </c>
      <c r="D471">
        <v>-0.19159999999999999</v>
      </c>
      <c r="E471">
        <v>4.6699999999999997E-3</v>
      </c>
      <c r="F471">
        <v>3.5300000000000002E-3</v>
      </c>
      <c r="G471">
        <v>1.14E-3</v>
      </c>
      <c r="H471">
        <v>0.68769999999999998</v>
      </c>
      <c r="I471">
        <v>0.61529999999999996</v>
      </c>
    </row>
    <row r="472" spans="1:9" x14ac:dyDescent="0.25">
      <c r="A472" t="s">
        <v>1062</v>
      </c>
      <c r="B472">
        <v>3000000</v>
      </c>
      <c r="C472">
        <v>0.32869999999999999</v>
      </c>
      <c r="D472">
        <v>-7.3700000000000002E-2</v>
      </c>
      <c r="E472">
        <v>4.8599999999999997E-3</v>
      </c>
      <c r="F472">
        <v>2.7399999999999998E-3</v>
      </c>
      <c r="G472">
        <v>2.1199999999999999E-3</v>
      </c>
      <c r="H472">
        <v>0.75890000000000002</v>
      </c>
      <c r="I472">
        <v>0.74080000000000001</v>
      </c>
    </row>
    <row r="473" spans="1:9" x14ac:dyDescent="0.25">
      <c r="A473" t="s">
        <v>1063</v>
      </c>
      <c r="B473">
        <v>3000000</v>
      </c>
      <c r="C473">
        <v>0.46329999999999999</v>
      </c>
      <c r="D473">
        <v>-0.12870000000000001</v>
      </c>
      <c r="E473">
        <v>4.4999999999999997E-3</v>
      </c>
      <c r="F473">
        <v>3.3300000000000001E-3</v>
      </c>
      <c r="G473">
        <v>1.16E-3</v>
      </c>
      <c r="H473">
        <v>0.79369999999999996</v>
      </c>
      <c r="I473">
        <v>0.57499999999999996</v>
      </c>
    </row>
    <row r="474" spans="1:9" x14ac:dyDescent="0.25">
      <c r="A474" t="s">
        <v>1064</v>
      </c>
      <c r="B474">
        <v>3000000</v>
      </c>
      <c r="C474">
        <v>0.47539999999999999</v>
      </c>
      <c r="D474">
        <v>-0.10580000000000001</v>
      </c>
      <c r="E474">
        <v>5.4999999999999997E-3</v>
      </c>
      <c r="F474">
        <v>4.3099999999999996E-3</v>
      </c>
      <c r="G474">
        <v>1.1900000000000001E-3</v>
      </c>
      <c r="H474">
        <v>0.43719999999999998</v>
      </c>
      <c r="I474">
        <v>0.62960000000000005</v>
      </c>
    </row>
    <row r="475" spans="1:9" x14ac:dyDescent="0.25">
      <c r="A475" t="s">
        <v>1065</v>
      </c>
      <c r="B475">
        <v>3000000</v>
      </c>
      <c r="C475">
        <v>0.3448</v>
      </c>
      <c r="D475">
        <v>-7.6700000000000004E-2</v>
      </c>
      <c r="E475">
        <v>4.3099999999999996E-3</v>
      </c>
      <c r="F475">
        <v>3.7000000000000002E-3</v>
      </c>
      <c r="G475">
        <v>6.0999999999999997E-4</v>
      </c>
      <c r="H475">
        <v>0.62949999999999995</v>
      </c>
      <c r="I475">
        <v>0.58960000000000001</v>
      </c>
    </row>
    <row r="476" spans="1:9" x14ac:dyDescent="0.25">
      <c r="A476" t="s">
        <v>1066</v>
      </c>
      <c r="B476">
        <v>2100000</v>
      </c>
      <c r="C476">
        <v>0.50839999999999996</v>
      </c>
      <c r="D476">
        <v>-0.11119999999999999</v>
      </c>
      <c r="E476">
        <v>4.81E-3</v>
      </c>
      <c r="F476">
        <v>3.9199999999999999E-3</v>
      </c>
      <c r="G476">
        <v>8.8999999999999995E-4</v>
      </c>
      <c r="H476">
        <v>0.65249999999999997</v>
      </c>
      <c r="I476">
        <v>0.59660000000000002</v>
      </c>
    </row>
    <row r="477" spans="1:9" x14ac:dyDescent="0.25">
      <c r="A477" t="s">
        <v>1067</v>
      </c>
      <c r="B477">
        <v>3000000</v>
      </c>
      <c r="C477">
        <v>0.21410000000000001</v>
      </c>
      <c r="D477">
        <v>-4.7899999999999998E-2</v>
      </c>
      <c r="E477">
        <v>4.0200000000000001E-3</v>
      </c>
      <c r="F477">
        <v>3.5500000000000002E-3</v>
      </c>
      <c r="G477">
        <v>4.6999999999999999E-4</v>
      </c>
      <c r="H477">
        <v>0.58079999999999998</v>
      </c>
      <c r="I477">
        <v>0.7077</v>
      </c>
    </row>
    <row r="478" spans="1:9" x14ac:dyDescent="0.25">
      <c r="A478" t="s">
        <v>1068</v>
      </c>
      <c r="B478">
        <v>3000000</v>
      </c>
      <c r="C478">
        <v>0.27210000000000001</v>
      </c>
      <c r="D478">
        <v>-5.8400000000000001E-2</v>
      </c>
      <c r="E478">
        <v>4.1000000000000003E-3</v>
      </c>
      <c r="F478">
        <v>3.5999999999999999E-3</v>
      </c>
      <c r="G478">
        <v>5.0000000000000001E-4</v>
      </c>
      <c r="H478">
        <v>0.56379999999999997</v>
      </c>
      <c r="I478">
        <v>0.71909999999999996</v>
      </c>
    </row>
    <row r="479" spans="1:9" x14ac:dyDescent="0.25">
      <c r="A479" t="s">
        <v>1069</v>
      </c>
      <c r="B479">
        <v>3000000</v>
      </c>
      <c r="C479">
        <v>0.27210000000000001</v>
      </c>
      <c r="D479">
        <v>-5.8400000000000001E-2</v>
      </c>
      <c r="E479">
        <v>4.1000000000000003E-3</v>
      </c>
      <c r="F479">
        <v>3.5999999999999999E-3</v>
      </c>
      <c r="G479">
        <v>5.0000000000000001E-4</v>
      </c>
      <c r="H479">
        <v>0.56310000000000004</v>
      </c>
      <c r="I479">
        <v>0.71860000000000002</v>
      </c>
    </row>
    <row r="480" spans="1:9" x14ac:dyDescent="0.25">
      <c r="A480" t="s">
        <v>1070</v>
      </c>
      <c r="B480">
        <v>2200000</v>
      </c>
      <c r="C480">
        <v>0.20269999999999999</v>
      </c>
      <c r="D480">
        <v>-4.2599999999999999E-2</v>
      </c>
      <c r="E480">
        <v>3.9399999999999999E-3</v>
      </c>
      <c r="F480">
        <v>3.4299999999999999E-3</v>
      </c>
      <c r="G480">
        <v>5.1000000000000004E-4</v>
      </c>
      <c r="H480">
        <v>0.62739999999999996</v>
      </c>
      <c r="I480">
        <v>0.77549999999999997</v>
      </c>
    </row>
    <row r="481" spans="1:9" x14ac:dyDescent="0.25">
      <c r="A481" t="s">
        <v>1071</v>
      </c>
      <c r="B481">
        <v>1850000</v>
      </c>
      <c r="C481">
        <v>0.20039999999999999</v>
      </c>
      <c r="D481">
        <v>-4.0899999999999999E-2</v>
      </c>
      <c r="E481">
        <v>4.3299999999999996E-3</v>
      </c>
      <c r="F481">
        <v>3.65E-3</v>
      </c>
      <c r="G481">
        <v>6.8000000000000005E-4</v>
      </c>
      <c r="H481">
        <v>0.61129999999999995</v>
      </c>
      <c r="I481">
        <v>0.76119999999999999</v>
      </c>
    </row>
    <row r="482" spans="1:9" x14ac:dyDescent="0.25">
      <c r="A482" t="s">
        <v>1072</v>
      </c>
      <c r="B482">
        <v>2000000</v>
      </c>
      <c r="C482">
        <v>0.20230000000000001</v>
      </c>
      <c r="D482">
        <v>-4.1599999999999998E-2</v>
      </c>
      <c r="E482">
        <v>4.1000000000000003E-3</v>
      </c>
      <c r="F482">
        <v>3.5100000000000001E-3</v>
      </c>
      <c r="G482">
        <v>5.9000000000000003E-4</v>
      </c>
      <c r="H482">
        <v>0.62270000000000003</v>
      </c>
      <c r="I482">
        <v>0.77290000000000003</v>
      </c>
    </row>
    <row r="483" spans="1:9" x14ac:dyDescent="0.25">
      <c r="A483" t="s">
        <v>1073</v>
      </c>
      <c r="B483">
        <v>1950000</v>
      </c>
      <c r="C483">
        <v>0.20169999999999999</v>
      </c>
      <c r="D483">
        <v>-4.1300000000000003E-2</v>
      </c>
      <c r="E483">
        <v>4.2100000000000002E-3</v>
      </c>
      <c r="F483">
        <v>3.5799999999999998E-3</v>
      </c>
      <c r="G483">
        <v>6.3000000000000003E-4</v>
      </c>
      <c r="H483">
        <v>0.6169</v>
      </c>
      <c r="I483">
        <v>0.76349999999999996</v>
      </c>
    </row>
    <row r="484" spans="1:9" x14ac:dyDescent="0.25">
      <c r="A484" t="s">
        <v>1074</v>
      </c>
      <c r="B484">
        <v>2100000</v>
      </c>
      <c r="C484">
        <v>0.17749999999999999</v>
      </c>
      <c r="D484">
        <v>-3.6299999999999999E-2</v>
      </c>
      <c r="E484">
        <v>3.5799999999999998E-3</v>
      </c>
      <c r="F484">
        <v>3.15E-3</v>
      </c>
      <c r="G484">
        <v>4.2999999999999999E-4</v>
      </c>
      <c r="H484">
        <v>0.68289999999999995</v>
      </c>
      <c r="I484">
        <v>0.81779999999999997</v>
      </c>
    </row>
    <row r="485" spans="1:9" x14ac:dyDescent="0.25">
      <c r="A485" t="s">
        <v>1075</v>
      </c>
      <c r="B485">
        <v>1500000</v>
      </c>
      <c r="C485">
        <v>0.2767</v>
      </c>
      <c r="D485">
        <v>-6.2899999999999998E-2</v>
      </c>
      <c r="E485">
        <v>4.5700000000000003E-3</v>
      </c>
      <c r="F485">
        <v>3.9699999999999996E-3</v>
      </c>
      <c r="G485">
        <v>5.9999999999999995E-4</v>
      </c>
      <c r="H485">
        <v>0.68630000000000002</v>
      </c>
      <c r="I485">
        <v>0.6593</v>
      </c>
    </row>
    <row r="486" spans="1:9" x14ac:dyDescent="0.25">
      <c r="A486" t="s">
        <v>1076</v>
      </c>
      <c r="B486">
        <v>3000000</v>
      </c>
      <c r="C486">
        <v>0.27810000000000001</v>
      </c>
      <c r="D486">
        <v>-6.13E-2</v>
      </c>
      <c r="E486">
        <v>4.4900000000000001E-3</v>
      </c>
      <c r="F486">
        <v>3.8899999999999998E-3</v>
      </c>
      <c r="G486">
        <v>5.9999999999999995E-4</v>
      </c>
      <c r="H486">
        <v>0.54649999999999999</v>
      </c>
      <c r="I486">
        <v>0.624</v>
      </c>
    </row>
    <row r="487" spans="1:9" x14ac:dyDescent="0.25">
      <c r="A487" t="s">
        <v>1077</v>
      </c>
      <c r="B487">
        <v>3000000</v>
      </c>
      <c r="C487">
        <v>0.38240000000000002</v>
      </c>
      <c r="D487">
        <v>-8.2799999999999999E-2</v>
      </c>
      <c r="E487">
        <v>4.8999999999999998E-3</v>
      </c>
      <c r="F487">
        <v>4.0899999999999999E-3</v>
      </c>
      <c r="G487">
        <v>8.1999999999999998E-4</v>
      </c>
      <c r="H487">
        <v>0.51500000000000001</v>
      </c>
      <c r="I487">
        <v>0.59830000000000005</v>
      </c>
    </row>
    <row r="488" spans="1:9" x14ac:dyDescent="0.25">
      <c r="A488" t="s">
        <v>1078</v>
      </c>
      <c r="B488">
        <v>3000000</v>
      </c>
      <c r="C488">
        <v>0.38779999999999998</v>
      </c>
      <c r="D488">
        <v>-9.4799999999999995E-2</v>
      </c>
      <c r="E488">
        <v>4.64E-3</v>
      </c>
      <c r="F488">
        <v>4.0099999999999997E-3</v>
      </c>
      <c r="G488">
        <v>6.3000000000000003E-4</v>
      </c>
      <c r="H488">
        <v>0.57489999999999997</v>
      </c>
      <c r="I488">
        <v>0.55720000000000003</v>
      </c>
    </row>
    <row r="489" spans="1:9" x14ac:dyDescent="0.25">
      <c r="A489" t="s">
        <v>1079</v>
      </c>
      <c r="B489">
        <v>1350000</v>
      </c>
      <c r="C489">
        <v>0</v>
      </c>
      <c r="D489">
        <v>0</v>
      </c>
      <c r="E489">
        <v>3.5400000000000002E-3</v>
      </c>
      <c r="F489">
        <v>2.97E-3</v>
      </c>
      <c r="G489">
        <v>5.6999999999999998E-4</v>
      </c>
      <c r="H489">
        <v>0.81940000000000002</v>
      </c>
      <c r="I489">
        <v>0.81940000000000002</v>
      </c>
    </row>
    <row r="490" spans="1:9" x14ac:dyDescent="0.25">
      <c r="A490" t="s">
        <v>1080</v>
      </c>
      <c r="B490">
        <v>3000000</v>
      </c>
      <c r="C490">
        <v>0</v>
      </c>
      <c r="D490">
        <v>0</v>
      </c>
      <c r="E490">
        <v>3.5100000000000001E-3</v>
      </c>
      <c r="F490">
        <v>2.97E-3</v>
      </c>
      <c r="G490">
        <v>5.4000000000000001E-4</v>
      </c>
      <c r="H490">
        <v>0.71870000000000001</v>
      </c>
      <c r="I490">
        <v>0.71850000000000003</v>
      </c>
    </row>
    <row r="491" spans="1:9" x14ac:dyDescent="0.25">
      <c r="A491" t="s">
        <v>1081</v>
      </c>
      <c r="B491">
        <v>3000000</v>
      </c>
      <c r="C491">
        <v>0</v>
      </c>
      <c r="D491">
        <v>0</v>
      </c>
      <c r="E491">
        <v>3.8999999999999998E-3</v>
      </c>
      <c r="F491">
        <v>2.97E-3</v>
      </c>
      <c r="G491">
        <v>9.3999999999999997E-4</v>
      </c>
      <c r="H491">
        <v>0.72230000000000005</v>
      </c>
      <c r="I491">
        <v>0.72230000000000005</v>
      </c>
    </row>
    <row r="492" spans="1:9" x14ac:dyDescent="0.25">
      <c r="A492" t="s">
        <v>1082</v>
      </c>
      <c r="B492">
        <v>3000000</v>
      </c>
      <c r="C492">
        <v>0</v>
      </c>
      <c r="D492">
        <v>0</v>
      </c>
      <c r="E492">
        <v>3.6900000000000001E-3</v>
      </c>
      <c r="F492">
        <v>2.7799999999999999E-3</v>
      </c>
      <c r="G492">
        <v>8.9999999999999998E-4</v>
      </c>
      <c r="H492">
        <v>0.73980000000000001</v>
      </c>
      <c r="I492">
        <v>0.73970000000000002</v>
      </c>
    </row>
    <row r="493" spans="1:9" x14ac:dyDescent="0.25">
      <c r="A493" t="s">
        <v>1083</v>
      </c>
      <c r="B493">
        <v>3000000</v>
      </c>
      <c r="C493">
        <v>0.70209999999999995</v>
      </c>
      <c r="D493">
        <v>-0.16470000000000001</v>
      </c>
      <c r="E493">
        <v>5.3E-3</v>
      </c>
      <c r="F493">
        <v>4.1799999999999997E-3</v>
      </c>
      <c r="G493">
        <v>1.1199999999999999E-3</v>
      </c>
      <c r="H493">
        <v>0.59709999999999996</v>
      </c>
      <c r="I493">
        <v>0.47349999999999998</v>
      </c>
    </row>
    <row r="494" spans="1:9" x14ac:dyDescent="0.25">
      <c r="A494" t="s">
        <v>1084</v>
      </c>
      <c r="B494">
        <v>3000000</v>
      </c>
      <c r="C494">
        <v>0</v>
      </c>
      <c r="D494">
        <v>0</v>
      </c>
      <c r="E494">
        <v>5.8199999999999997E-3</v>
      </c>
      <c r="F494">
        <v>4.8500000000000001E-3</v>
      </c>
      <c r="G494">
        <v>9.7000000000000005E-4</v>
      </c>
      <c r="H494">
        <v>0.43020000000000003</v>
      </c>
      <c r="I494">
        <v>0.43030000000000002</v>
      </c>
    </row>
    <row r="495" spans="1:9" x14ac:dyDescent="0.25">
      <c r="A495" t="s">
        <v>1085</v>
      </c>
      <c r="B495">
        <v>3000000</v>
      </c>
      <c r="C495">
        <v>0</v>
      </c>
      <c r="D495">
        <v>0</v>
      </c>
      <c r="E495">
        <v>5.3600000000000002E-3</v>
      </c>
      <c r="F495">
        <v>4.6600000000000001E-3</v>
      </c>
      <c r="G495">
        <v>6.9999999999999999E-4</v>
      </c>
      <c r="H495">
        <v>0.46160000000000001</v>
      </c>
      <c r="I495">
        <v>0.46160000000000001</v>
      </c>
    </row>
    <row r="496" spans="1:9" x14ac:dyDescent="0.25">
      <c r="A496" t="s">
        <v>1086</v>
      </c>
      <c r="B496">
        <v>2800000</v>
      </c>
      <c r="C496">
        <v>0.6633</v>
      </c>
      <c r="D496">
        <v>-0.1404</v>
      </c>
      <c r="E496">
        <v>6.0200000000000002E-3</v>
      </c>
      <c r="F496">
        <v>4.8999999999999998E-3</v>
      </c>
      <c r="G496">
        <v>1.1299999999999999E-3</v>
      </c>
      <c r="H496">
        <v>0.58940000000000003</v>
      </c>
      <c r="I496">
        <v>6.7000000000000002E-3</v>
      </c>
    </row>
    <row r="497" spans="1:9" x14ac:dyDescent="0.25">
      <c r="A497" t="s">
        <v>1087</v>
      </c>
      <c r="B497">
        <v>3000000</v>
      </c>
      <c r="C497">
        <v>1.1284000000000001</v>
      </c>
      <c r="D497">
        <v>-0.26129999999999998</v>
      </c>
      <c r="E497">
        <v>7.3400000000000002E-3</v>
      </c>
      <c r="F497">
        <v>5.2199999999999998E-3</v>
      </c>
      <c r="G497">
        <v>2.1099999999999999E-3</v>
      </c>
      <c r="H497">
        <v>0.433</v>
      </c>
      <c r="I497">
        <v>0.25919999999999999</v>
      </c>
    </row>
    <row r="498" spans="1:9" x14ac:dyDescent="0.25">
      <c r="A498" t="s">
        <v>1088</v>
      </c>
      <c r="B498">
        <v>3000000</v>
      </c>
      <c r="C498">
        <v>1.2527999999999999</v>
      </c>
      <c r="D498">
        <v>-0.28489999999999999</v>
      </c>
      <c r="E498">
        <v>9.5200000000000007E-3</v>
      </c>
      <c r="F498">
        <v>6.0200000000000002E-3</v>
      </c>
      <c r="G498">
        <v>3.5000000000000001E-3</v>
      </c>
      <c r="H498">
        <v>0.34200000000000003</v>
      </c>
      <c r="I498">
        <v>4.4200000000000003E-2</v>
      </c>
    </row>
    <row r="499" spans="1:9" x14ac:dyDescent="0.25">
      <c r="A499" t="s">
        <v>1089</v>
      </c>
      <c r="B499">
        <v>3000000</v>
      </c>
      <c r="C499">
        <v>0.30909999999999999</v>
      </c>
      <c r="D499">
        <v>-5.7700000000000001E-2</v>
      </c>
      <c r="E499">
        <v>5.2399999999999999E-3</v>
      </c>
      <c r="F499">
        <v>4.4299999999999999E-3</v>
      </c>
      <c r="G499">
        <v>8.0999999999999996E-4</v>
      </c>
      <c r="H499">
        <v>0.48670000000000002</v>
      </c>
      <c r="I499">
        <v>0.50260000000000005</v>
      </c>
    </row>
    <row r="500" spans="1:9" x14ac:dyDescent="0.25">
      <c r="A500" t="s">
        <v>1090</v>
      </c>
      <c r="B500">
        <v>2700000</v>
      </c>
      <c r="C500">
        <v>0.38450000000000001</v>
      </c>
      <c r="D500">
        <v>-9.06E-2</v>
      </c>
      <c r="E500">
        <v>4.4999999999999997E-3</v>
      </c>
      <c r="F500">
        <v>4.0000000000000001E-3</v>
      </c>
      <c r="G500">
        <v>5.0000000000000001E-4</v>
      </c>
      <c r="H500">
        <v>0.62470000000000003</v>
      </c>
      <c r="I500">
        <v>0.4798</v>
      </c>
    </row>
    <row r="501" spans="1:9" x14ac:dyDescent="0.25">
      <c r="A501" t="s">
        <v>1091</v>
      </c>
      <c r="B501">
        <v>2900000</v>
      </c>
      <c r="C501">
        <v>0.30030000000000001</v>
      </c>
      <c r="D501">
        <v>-7.0499999999999993E-2</v>
      </c>
      <c r="E501">
        <v>3.8899999999999998E-3</v>
      </c>
      <c r="F501">
        <v>3.48E-3</v>
      </c>
      <c r="G501">
        <v>4.0999999999999999E-4</v>
      </c>
      <c r="H501">
        <v>0.68600000000000005</v>
      </c>
      <c r="I501">
        <v>0.61070000000000002</v>
      </c>
    </row>
    <row r="502" spans="1:9" x14ac:dyDescent="0.25">
      <c r="A502" t="s">
        <v>1092</v>
      </c>
      <c r="B502">
        <v>2900000</v>
      </c>
      <c r="C502">
        <v>0.25009999999999999</v>
      </c>
      <c r="D502">
        <v>-6.1199999999999997E-2</v>
      </c>
      <c r="E502">
        <v>4.3299999999999996E-3</v>
      </c>
      <c r="F502">
        <v>3.8600000000000001E-3</v>
      </c>
      <c r="G502">
        <v>4.6999999999999999E-4</v>
      </c>
      <c r="H502">
        <v>0.55640000000000001</v>
      </c>
      <c r="I502">
        <v>0.62360000000000004</v>
      </c>
    </row>
    <row r="503" spans="1:9" x14ac:dyDescent="0.25">
      <c r="A503" t="s">
        <v>1093</v>
      </c>
      <c r="B503">
        <v>2300000</v>
      </c>
      <c r="C503">
        <v>0.21729999999999999</v>
      </c>
      <c r="D503">
        <v>-4.6600000000000003E-2</v>
      </c>
      <c r="E503">
        <v>3.5799999999999998E-3</v>
      </c>
      <c r="F503">
        <v>3.14E-3</v>
      </c>
      <c r="G503">
        <v>4.4000000000000002E-4</v>
      </c>
      <c r="H503">
        <v>0.71179999999999999</v>
      </c>
      <c r="I503">
        <v>0.76419999999999999</v>
      </c>
    </row>
    <row r="504" spans="1:9" x14ac:dyDescent="0.25">
      <c r="A504" t="s">
        <v>1094</v>
      </c>
      <c r="B504">
        <v>1800000</v>
      </c>
      <c r="C504">
        <v>0.25829999999999997</v>
      </c>
      <c r="D504">
        <v>-6.1199999999999997E-2</v>
      </c>
      <c r="E504">
        <v>4.0800000000000003E-3</v>
      </c>
      <c r="F504">
        <v>3.5799999999999998E-3</v>
      </c>
      <c r="G504">
        <v>5.0000000000000001E-4</v>
      </c>
      <c r="H504">
        <v>0.72529999999999994</v>
      </c>
      <c r="I504">
        <v>0.65610000000000002</v>
      </c>
    </row>
    <row r="505" spans="1:9" x14ac:dyDescent="0.25">
      <c r="A505" t="s">
        <v>1095</v>
      </c>
      <c r="B505">
        <v>1600000</v>
      </c>
      <c r="C505">
        <v>0.2424</v>
      </c>
      <c r="D505">
        <v>-5.6899999999999999E-2</v>
      </c>
      <c r="E505">
        <v>3.9500000000000004E-3</v>
      </c>
      <c r="F505">
        <v>3.4099999999999998E-3</v>
      </c>
      <c r="G505">
        <v>5.4000000000000001E-4</v>
      </c>
      <c r="H505">
        <v>0.74570000000000003</v>
      </c>
      <c r="I505">
        <v>0.72799999999999998</v>
      </c>
    </row>
    <row r="506" spans="1:9" x14ac:dyDescent="0.25">
      <c r="A506" t="s">
        <v>1096</v>
      </c>
      <c r="B506">
        <v>3000000</v>
      </c>
      <c r="C506">
        <v>0.41570000000000001</v>
      </c>
      <c r="D506">
        <v>-7.9600000000000004E-2</v>
      </c>
      <c r="E506">
        <v>5.5599999999999998E-3</v>
      </c>
      <c r="F506">
        <v>4.8999999999999998E-3</v>
      </c>
      <c r="G506">
        <v>6.6E-4</v>
      </c>
      <c r="H506">
        <v>0.51280000000000003</v>
      </c>
      <c r="I506">
        <v>0.2306</v>
      </c>
    </row>
    <row r="507" spans="1:9" x14ac:dyDescent="0.25">
      <c r="A507" t="s">
        <v>1097</v>
      </c>
      <c r="B507">
        <v>2200000</v>
      </c>
      <c r="C507">
        <v>0.41570000000000001</v>
      </c>
      <c r="D507">
        <v>-8.6699999999999999E-2</v>
      </c>
      <c r="E507">
        <v>4.5300000000000002E-3</v>
      </c>
      <c r="F507">
        <v>3.82E-3</v>
      </c>
      <c r="G507">
        <v>7.1000000000000002E-4</v>
      </c>
      <c r="H507">
        <v>0.58550000000000002</v>
      </c>
      <c r="I507">
        <v>0.66210000000000002</v>
      </c>
    </row>
    <row r="508" spans="1:9" x14ac:dyDescent="0.25">
      <c r="A508" t="s">
        <v>1098</v>
      </c>
      <c r="B508">
        <v>2800000</v>
      </c>
      <c r="C508">
        <v>0.29630000000000001</v>
      </c>
      <c r="D508">
        <v>-5.3600000000000002E-2</v>
      </c>
      <c r="E508">
        <v>5.28E-3</v>
      </c>
      <c r="F508">
        <v>4.64E-3</v>
      </c>
      <c r="G508">
        <v>6.4000000000000005E-4</v>
      </c>
      <c r="H508">
        <v>0.47899999999999998</v>
      </c>
      <c r="I508">
        <v>0.41299999999999998</v>
      </c>
    </row>
    <row r="509" spans="1:9" x14ac:dyDescent="0.25">
      <c r="A509" t="s">
        <v>1099</v>
      </c>
      <c r="B509">
        <v>1000000</v>
      </c>
      <c r="C509">
        <v>0.22090000000000001</v>
      </c>
      <c r="D509">
        <v>-3.73E-2</v>
      </c>
      <c r="E509">
        <v>4.5199999999999997E-3</v>
      </c>
      <c r="F509">
        <v>3.5200000000000001E-3</v>
      </c>
      <c r="G509">
        <v>1E-3</v>
      </c>
      <c r="H509">
        <v>0.68279999999999996</v>
      </c>
      <c r="I509">
        <v>0.87280000000000002</v>
      </c>
    </row>
    <row r="510" spans="1:9" x14ac:dyDescent="0.25">
      <c r="A510" t="s">
        <v>1100</v>
      </c>
      <c r="B510">
        <v>1250000</v>
      </c>
      <c r="C510">
        <v>0.18060000000000001</v>
      </c>
      <c r="D510">
        <v>-0.03</v>
      </c>
      <c r="E510">
        <v>4.6100000000000004E-3</v>
      </c>
      <c r="F510">
        <v>3.8300000000000001E-3</v>
      </c>
      <c r="G510">
        <v>7.7999999999999999E-4</v>
      </c>
      <c r="H510">
        <v>0.66310000000000002</v>
      </c>
      <c r="I510">
        <v>0.74129999999999996</v>
      </c>
    </row>
    <row r="511" spans="1:9" x14ac:dyDescent="0.25">
      <c r="A511" t="s">
        <v>1101</v>
      </c>
      <c r="B511">
        <v>1150000</v>
      </c>
      <c r="C511">
        <v>0.2823</v>
      </c>
      <c r="D511">
        <v>-5.1900000000000002E-2</v>
      </c>
      <c r="E511">
        <v>4.7200000000000002E-3</v>
      </c>
      <c r="F511">
        <v>3.7299999999999998E-3</v>
      </c>
      <c r="G511">
        <v>9.8999999999999999E-4</v>
      </c>
      <c r="H511">
        <v>0.61070000000000002</v>
      </c>
      <c r="I511">
        <v>0.87380000000000002</v>
      </c>
    </row>
    <row r="512" spans="1:9" x14ac:dyDescent="0.25">
      <c r="A512" t="s">
        <v>1102</v>
      </c>
      <c r="B512">
        <v>1050000</v>
      </c>
      <c r="C512">
        <v>0.36320000000000002</v>
      </c>
      <c r="D512">
        <v>-7.22E-2</v>
      </c>
      <c r="E512">
        <v>4.5799999999999999E-3</v>
      </c>
      <c r="F512">
        <v>3.48E-3</v>
      </c>
      <c r="G512">
        <v>1.1000000000000001E-3</v>
      </c>
      <c r="H512">
        <v>0.70609999999999995</v>
      </c>
      <c r="I512">
        <v>0.86129999999999995</v>
      </c>
    </row>
    <row r="513" spans="1:9" x14ac:dyDescent="0.25">
      <c r="A513" t="s">
        <v>1103</v>
      </c>
      <c r="B513">
        <v>1050000</v>
      </c>
      <c r="C513">
        <v>0.38540000000000002</v>
      </c>
      <c r="D513">
        <v>-7.6999999999999999E-2</v>
      </c>
      <c r="E513">
        <v>4.9300000000000004E-3</v>
      </c>
      <c r="F513">
        <v>3.8E-3</v>
      </c>
      <c r="G513">
        <v>1.1299999999999999E-3</v>
      </c>
      <c r="H513">
        <v>0.62890000000000001</v>
      </c>
      <c r="I513">
        <v>0.87809999999999999</v>
      </c>
    </row>
    <row r="514" spans="1:9" x14ac:dyDescent="0.25">
      <c r="A514" t="s">
        <v>1104</v>
      </c>
      <c r="B514">
        <v>3000000</v>
      </c>
      <c r="C514">
        <v>0.71099999999999997</v>
      </c>
      <c r="D514">
        <v>-0.1714</v>
      </c>
      <c r="E514">
        <v>4.62E-3</v>
      </c>
      <c r="F514">
        <v>3.7799999999999999E-3</v>
      </c>
      <c r="G514">
        <v>8.4000000000000003E-4</v>
      </c>
      <c r="H514">
        <v>0.64670000000000005</v>
      </c>
      <c r="I514">
        <v>0.54590000000000005</v>
      </c>
    </row>
    <row r="515" spans="1:9" x14ac:dyDescent="0.25">
      <c r="A515" t="s">
        <v>1105</v>
      </c>
      <c r="B515">
        <v>2100000</v>
      </c>
      <c r="C515">
        <v>0.34029999999999999</v>
      </c>
      <c r="D515">
        <v>-7.0800000000000002E-2</v>
      </c>
      <c r="E515">
        <v>4.5500000000000002E-3</v>
      </c>
      <c r="F515">
        <v>3.9300000000000003E-3</v>
      </c>
      <c r="G515">
        <v>6.2E-4</v>
      </c>
      <c r="H515">
        <v>0.6371</v>
      </c>
      <c r="I515">
        <v>0.61099999999999999</v>
      </c>
    </row>
    <row r="516" spans="1:9" x14ac:dyDescent="0.25">
      <c r="A516" t="s">
        <v>1106</v>
      </c>
      <c r="B516">
        <v>3000000</v>
      </c>
      <c r="C516">
        <v>0.41499999999999998</v>
      </c>
      <c r="D516">
        <v>-8.4199999999999997E-2</v>
      </c>
      <c r="E516">
        <v>5.0899999999999999E-3</v>
      </c>
      <c r="F516">
        <v>4.5500000000000002E-3</v>
      </c>
      <c r="G516">
        <v>5.4000000000000001E-4</v>
      </c>
      <c r="H516">
        <v>0.57669999999999999</v>
      </c>
      <c r="I516">
        <v>0.29139999999999999</v>
      </c>
    </row>
    <row r="517" spans="1:9" x14ac:dyDescent="0.25">
      <c r="A517" t="s">
        <v>1107</v>
      </c>
      <c r="B517">
        <v>2900000</v>
      </c>
      <c r="C517">
        <v>0.4677</v>
      </c>
      <c r="D517">
        <v>-0.1008</v>
      </c>
      <c r="E517">
        <v>4.7999999999999996E-3</v>
      </c>
      <c r="F517">
        <v>4.28E-3</v>
      </c>
      <c r="G517">
        <v>5.1999999999999995E-4</v>
      </c>
      <c r="H517">
        <v>0.64649999999999996</v>
      </c>
      <c r="I517">
        <v>0.31630000000000003</v>
      </c>
    </row>
    <row r="518" spans="1:9" x14ac:dyDescent="0.25">
      <c r="A518" t="s">
        <v>1108</v>
      </c>
      <c r="B518">
        <v>3000000</v>
      </c>
      <c r="C518">
        <v>0.42609999999999998</v>
      </c>
      <c r="D518">
        <v>-8.7999999999999995E-2</v>
      </c>
      <c r="E518">
        <v>5.77E-3</v>
      </c>
      <c r="F518">
        <v>5.11E-3</v>
      </c>
      <c r="G518">
        <v>6.6E-4</v>
      </c>
      <c r="H518">
        <v>0.41070000000000001</v>
      </c>
      <c r="I518">
        <v>0.32329999999999998</v>
      </c>
    </row>
    <row r="519" spans="1:9" x14ac:dyDescent="0.25">
      <c r="A519" t="s">
        <v>1109</v>
      </c>
      <c r="B519">
        <v>2200000</v>
      </c>
      <c r="C519">
        <v>0.40870000000000001</v>
      </c>
      <c r="D519">
        <v>-9.0700000000000003E-2</v>
      </c>
      <c r="E519">
        <v>4.8700000000000002E-3</v>
      </c>
      <c r="F519">
        <v>4.3099999999999996E-3</v>
      </c>
      <c r="G519">
        <v>5.5999999999999995E-4</v>
      </c>
      <c r="H519">
        <v>0.65049999999999997</v>
      </c>
      <c r="I519">
        <v>0.40050000000000002</v>
      </c>
    </row>
    <row r="520" spans="1:9" x14ac:dyDescent="0.25">
      <c r="A520" t="s">
        <v>1110</v>
      </c>
      <c r="B520">
        <v>3000000</v>
      </c>
      <c r="C520">
        <v>0.3553</v>
      </c>
      <c r="D520">
        <v>-6.9599999999999995E-2</v>
      </c>
      <c r="E520">
        <v>4.3400000000000001E-3</v>
      </c>
      <c r="F520">
        <v>3.8E-3</v>
      </c>
      <c r="G520">
        <v>5.4000000000000001E-4</v>
      </c>
      <c r="H520">
        <v>0.70540000000000003</v>
      </c>
      <c r="I520">
        <v>0.42220000000000002</v>
      </c>
    </row>
    <row r="521" spans="1:9" x14ac:dyDescent="0.25">
      <c r="A521" t="s">
        <v>1111</v>
      </c>
      <c r="B521">
        <v>3000000</v>
      </c>
      <c r="C521">
        <v>0.4667</v>
      </c>
      <c r="D521">
        <v>-8.6900000000000005E-2</v>
      </c>
      <c r="E521">
        <v>6.0899999999999999E-3</v>
      </c>
      <c r="F521">
        <v>5.3299999999999997E-3</v>
      </c>
      <c r="G521">
        <v>7.6999999999999996E-4</v>
      </c>
      <c r="H521">
        <v>0.4521</v>
      </c>
      <c r="I521">
        <v>0.1154</v>
      </c>
    </row>
    <row r="522" spans="1:9" x14ac:dyDescent="0.25">
      <c r="A522" t="s">
        <v>1112</v>
      </c>
      <c r="B522">
        <v>3000000</v>
      </c>
      <c r="C522">
        <v>0.373</v>
      </c>
      <c r="D522">
        <v>-7.5899999999999995E-2</v>
      </c>
      <c r="E522">
        <v>4.79E-3</v>
      </c>
      <c r="F522">
        <v>4.0600000000000002E-3</v>
      </c>
      <c r="G522">
        <v>7.2999999999999996E-4</v>
      </c>
      <c r="H522">
        <v>0.55679999999999996</v>
      </c>
      <c r="I522">
        <v>0.54500000000000004</v>
      </c>
    </row>
    <row r="523" spans="1:9" x14ac:dyDescent="0.25">
      <c r="A523" t="s">
        <v>1113</v>
      </c>
      <c r="B523">
        <v>3000000</v>
      </c>
      <c r="C523">
        <v>0.43880000000000002</v>
      </c>
      <c r="D523">
        <v>-8.1699999999999995E-2</v>
      </c>
      <c r="E523">
        <v>5.6899999999999997E-3</v>
      </c>
      <c r="F523">
        <v>5.0000000000000001E-3</v>
      </c>
      <c r="G523">
        <v>6.8999999999999997E-4</v>
      </c>
      <c r="H523">
        <v>0.54769999999999996</v>
      </c>
      <c r="I523">
        <v>0.1719</v>
      </c>
    </row>
    <row r="524" spans="1:9" x14ac:dyDescent="0.25">
      <c r="A524" t="s">
        <v>1114</v>
      </c>
      <c r="B524">
        <v>2900000</v>
      </c>
      <c r="C524">
        <v>0.48920000000000002</v>
      </c>
      <c r="D524">
        <v>-9.4700000000000006E-2</v>
      </c>
      <c r="E524">
        <v>6.11E-3</v>
      </c>
      <c r="F524">
        <v>5.3299999999999997E-3</v>
      </c>
      <c r="G524">
        <v>7.6999999999999996E-4</v>
      </c>
      <c r="H524">
        <v>0.53739999999999999</v>
      </c>
      <c r="I524">
        <v>1.12E-2</v>
      </c>
    </row>
    <row r="525" spans="1:9" x14ac:dyDescent="0.25">
      <c r="A525" t="s">
        <v>1115</v>
      </c>
      <c r="B525">
        <v>1050000</v>
      </c>
      <c r="C525">
        <v>7.4800000000000005E-2</v>
      </c>
      <c r="D525">
        <v>7.4000000000000003E-3</v>
      </c>
      <c r="E525">
        <v>4.8799999999999998E-3</v>
      </c>
      <c r="F525">
        <v>3.8899999999999998E-3</v>
      </c>
      <c r="G525">
        <v>9.8999999999999999E-4</v>
      </c>
      <c r="H525">
        <v>0.53839999999999999</v>
      </c>
      <c r="I525">
        <v>0.86670000000000003</v>
      </c>
    </row>
    <row r="526" spans="1:9" x14ac:dyDescent="0.25">
      <c r="A526" t="s">
        <v>1116</v>
      </c>
      <c r="B526">
        <v>550000</v>
      </c>
      <c r="C526">
        <v>0.12640000000000001</v>
      </c>
      <c r="D526">
        <v>1E-4</v>
      </c>
      <c r="E526">
        <v>5.9699999999999996E-3</v>
      </c>
      <c r="F526">
        <v>4.2900000000000004E-3</v>
      </c>
      <c r="G526">
        <v>1.67E-3</v>
      </c>
      <c r="H526">
        <v>0.5776</v>
      </c>
      <c r="I526">
        <v>0.9677</v>
      </c>
    </row>
    <row r="527" spans="1:9" x14ac:dyDescent="0.25">
      <c r="A527" t="s">
        <v>1117</v>
      </c>
      <c r="B527">
        <v>2300000</v>
      </c>
      <c r="C527">
        <v>0.18390000000000001</v>
      </c>
      <c r="D527">
        <v>-3.61E-2</v>
      </c>
      <c r="E527">
        <v>4.1200000000000004E-3</v>
      </c>
      <c r="F527">
        <v>3.6600000000000001E-3</v>
      </c>
      <c r="G527">
        <v>4.6000000000000001E-4</v>
      </c>
      <c r="H527">
        <v>0.61870000000000003</v>
      </c>
      <c r="I527">
        <v>0.6835</v>
      </c>
    </row>
    <row r="528" spans="1:9" x14ac:dyDescent="0.25">
      <c r="A528" t="s">
        <v>1118</v>
      </c>
      <c r="B528">
        <v>1650000</v>
      </c>
      <c r="C528">
        <v>0.16569999999999999</v>
      </c>
      <c r="D528">
        <v>-3.3300000000000003E-2</v>
      </c>
      <c r="E528">
        <v>3.98E-3</v>
      </c>
      <c r="F528">
        <v>3.48E-3</v>
      </c>
      <c r="G528">
        <v>5.0000000000000001E-4</v>
      </c>
      <c r="H528">
        <v>0.68220000000000003</v>
      </c>
      <c r="I528">
        <v>0.76829999999999998</v>
      </c>
    </row>
    <row r="529" spans="1:9" x14ac:dyDescent="0.25">
      <c r="A529" t="s">
        <v>1119</v>
      </c>
      <c r="B529">
        <v>1200000</v>
      </c>
      <c r="C529">
        <v>0.15090000000000001</v>
      </c>
      <c r="D529">
        <v>-3.1199999999999999E-2</v>
      </c>
      <c r="E529">
        <v>3.8E-3</v>
      </c>
      <c r="F529">
        <v>3.2000000000000002E-3</v>
      </c>
      <c r="G529">
        <v>6.0999999999999997E-4</v>
      </c>
      <c r="H529">
        <v>0.7571</v>
      </c>
      <c r="I529">
        <v>0.85580000000000001</v>
      </c>
    </row>
    <row r="530" spans="1:9" x14ac:dyDescent="0.25">
      <c r="A530" t="s">
        <v>1120</v>
      </c>
      <c r="B530">
        <v>3000000</v>
      </c>
      <c r="C530">
        <v>0.27650000000000002</v>
      </c>
      <c r="D530">
        <v>-5.9200000000000003E-2</v>
      </c>
      <c r="E530">
        <v>4.4900000000000001E-3</v>
      </c>
      <c r="F530">
        <v>4.0299999999999997E-3</v>
      </c>
      <c r="G530">
        <v>4.6999999999999999E-4</v>
      </c>
      <c r="H530">
        <v>0.49880000000000002</v>
      </c>
      <c r="I530">
        <v>0.62290000000000001</v>
      </c>
    </row>
    <row r="531" spans="1:9" x14ac:dyDescent="0.25">
      <c r="A531" t="s">
        <v>1121</v>
      </c>
      <c r="B531">
        <v>925000</v>
      </c>
      <c r="C531">
        <v>0.33550000000000002</v>
      </c>
      <c r="D531">
        <v>-6.3E-2</v>
      </c>
      <c r="E531">
        <v>5.1200000000000004E-3</v>
      </c>
      <c r="F531">
        <v>3.8999999999999998E-3</v>
      </c>
      <c r="G531">
        <v>1.2199999999999999E-3</v>
      </c>
      <c r="H531">
        <v>0.65139999999999998</v>
      </c>
      <c r="I531">
        <v>0.8498</v>
      </c>
    </row>
    <row r="532" spans="1:9" x14ac:dyDescent="0.25">
      <c r="A532" t="s">
        <v>1122</v>
      </c>
      <c r="B532">
        <v>1350000</v>
      </c>
      <c r="C532">
        <v>0.4123</v>
      </c>
      <c r="D532">
        <v>-9.2899999999999996E-2</v>
      </c>
      <c r="E532">
        <v>4.1399999999999996E-3</v>
      </c>
      <c r="F532">
        <v>3.32E-3</v>
      </c>
      <c r="G532">
        <v>8.1999999999999998E-4</v>
      </c>
      <c r="H532">
        <v>0.76249999999999996</v>
      </c>
      <c r="I532">
        <v>0.75739999999999996</v>
      </c>
    </row>
    <row r="533" spans="1:9" x14ac:dyDescent="0.25">
      <c r="A533" t="s">
        <v>1123</v>
      </c>
      <c r="B533">
        <v>2900000</v>
      </c>
      <c r="C533">
        <v>2.5100000000000001E-2</v>
      </c>
      <c r="D533">
        <v>2.9999999999999997E-4</v>
      </c>
      <c r="E533">
        <v>5.1599999999999997E-3</v>
      </c>
      <c r="F533">
        <v>4.7400000000000003E-3</v>
      </c>
      <c r="G533">
        <v>4.2000000000000002E-4</v>
      </c>
      <c r="H533">
        <v>0.3836</v>
      </c>
      <c r="I533">
        <v>0.47839999999999999</v>
      </c>
    </row>
    <row r="534" spans="1:9" x14ac:dyDescent="0.25">
      <c r="A534" t="s">
        <v>1124</v>
      </c>
      <c r="B534">
        <v>3000000</v>
      </c>
      <c r="C534">
        <v>0</v>
      </c>
      <c r="D534">
        <v>0</v>
      </c>
      <c r="E534">
        <v>5.4200000000000003E-3</v>
      </c>
      <c r="F534">
        <v>4.6100000000000004E-3</v>
      </c>
      <c r="G534">
        <v>8.0999999999999996E-4</v>
      </c>
      <c r="H534">
        <v>0.46960000000000002</v>
      </c>
      <c r="I534">
        <v>0.46960000000000002</v>
      </c>
    </row>
    <row r="535" spans="1:9" x14ac:dyDescent="0.25">
      <c r="A535" t="s">
        <v>1125</v>
      </c>
      <c r="B535">
        <v>3000000</v>
      </c>
      <c r="C535">
        <v>0.18590000000000001</v>
      </c>
      <c r="D535">
        <v>-3.0300000000000001E-2</v>
      </c>
      <c r="E535">
        <v>4.8399999999999997E-3</v>
      </c>
      <c r="F535">
        <v>3.96E-3</v>
      </c>
      <c r="G535">
        <v>8.8000000000000003E-4</v>
      </c>
      <c r="H535">
        <v>0.55600000000000005</v>
      </c>
      <c r="I535">
        <v>0.6109</v>
      </c>
    </row>
    <row r="536" spans="1:9" x14ac:dyDescent="0.25">
      <c r="A536" t="s">
        <v>1126</v>
      </c>
      <c r="B536">
        <v>3000000</v>
      </c>
      <c r="C536">
        <v>0.23280000000000001</v>
      </c>
      <c r="D536">
        <v>-3.4099999999999998E-2</v>
      </c>
      <c r="E536">
        <v>4.9500000000000004E-3</v>
      </c>
      <c r="F536">
        <v>4.0299999999999997E-3</v>
      </c>
      <c r="G536">
        <v>9.2000000000000003E-4</v>
      </c>
      <c r="H536">
        <v>0.54</v>
      </c>
      <c r="I536">
        <v>0.60550000000000004</v>
      </c>
    </row>
    <row r="537" spans="1:9" x14ac:dyDescent="0.25">
      <c r="A537" t="s">
        <v>1127</v>
      </c>
      <c r="B537">
        <v>3000000</v>
      </c>
      <c r="C537">
        <v>0.1222</v>
      </c>
      <c r="D537">
        <v>-2.2499999999999999E-2</v>
      </c>
      <c r="E537">
        <v>4.7299999999999998E-3</v>
      </c>
      <c r="F537">
        <v>4.0499999999999998E-3</v>
      </c>
      <c r="G537">
        <v>6.8000000000000005E-4</v>
      </c>
      <c r="H537">
        <v>0.52449999999999997</v>
      </c>
      <c r="I537">
        <v>0.5958</v>
      </c>
    </row>
    <row r="538" spans="1:9" x14ac:dyDescent="0.25">
      <c r="A538" t="s">
        <v>1128</v>
      </c>
      <c r="B538">
        <v>2700000</v>
      </c>
      <c r="C538">
        <v>0.22370000000000001</v>
      </c>
      <c r="D538">
        <v>-4.1300000000000003E-2</v>
      </c>
      <c r="E538">
        <v>4.0499999999999998E-3</v>
      </c>
      <c r="F538">
        <v>3.4399999999999999E-3</v>
      </c>
      <c r="G538">
        <v>6.0999999999999997E-4</v>
      </c>
      <c r="H538">
        <v>0.63229999999999997</v>
      </c>
      <c r="I538">
        <v>0.68689999999999996</v>
      </c>
    </row>
    <row r="539" spans="1:9" x14ac:dyDescent="0.25">
      <c r="A539" t="s">
        <v>1129</v>
      </c>
      <c r="B539">
        <v>1950000</v>
      </c>
      <c r="C539">
        <v>0.33910000000000001</v>
      </c>
      <c r="D539">
        <v>-7.3400000000000007E-2</v>
      </c>
      <c r="E539">
        <v>4.5199999999999997E-3</v>
      </c>
      <c r="F539">
        <v>3.8800000000000002E-3</v>
      </c>
      <c r="G539">
        <v>6.4999999999999997E-4</v>
      </c>
      <c r="H539">
        <v>0.59530000000000005</v>
      </c>
      <c r="I539">
        <v>0.69220000000000004</v>
      </c>
    </row>
    <row r="540" spans="1:9" x14ac:dyDescent="0.25">
      <c r="A540" t="s">
        <v>1130</v>
      </c>
      <c r="B540">
        <v>1300000</v>
      </c>
      <c r="C540">
        <v>0</v>
      </c>
      <c r="D540">
        <v>0</v>
      </c>
      <c r="E540">
        <v>4.9699999999999996E-3</v>
      </c>
      <c r="F540">
        <v>4.2399999999999998E-3</v>
      </c>
      <c r="G540">
        <v>7.2999999999999996E-4</v>
      </c>
      <c r="H540">
        <v>0.63500000000000001</v>
      </c>
      <c r="I540">
        <v>0.63500000000000001</v>
      </c>
    </row>
    <row r="541" spans="1:9" x14ac:dyDescent="0.25">
      <c r="A541" t="s">
        <v>1131</v>
      </c>
      <c r="B541">
        <v>700000</v>
      </c>
      <c r="C541">
        <v>0</v>
      </c>
      <c r="D541">
        <v>0</v>
      </c>
      <c r="E541">
        <v>4.7099999999999998E-3</v>
      </c>
      <c r="F541">
        <v>3.65E-3</v>
      </c>
      <c r="G541">
        <v>1.07E-3</v>
      </c>
      <c r="H541">
        <v>0.79900000000000004</v>
      </c>
      <c r="I541">
        <v>0.79879999999999995</v>
      </c>
    </row>
    <row r="542" spans="1:9" x14ac:dyDescent="0.25">
      <c r="A542" t="s">
        <v>1132</v>
      </c>
      <c r="B542">
        <v>1300000</v>
      </c>
      <c r="C542">
        <v>0</v>
      </c>
      <c r="D542">
        <v>0</v>
      </c>
      <c r="E542">
        <v>5.1000000000000004E-3</v>
      </c>
      <c r="F542">
        <v>4.3899999999999998E-3</v>
      </c>
      <c r="G542">
        <v>7.1000000000000002E-4</v>
      </c>
      <c r="H542">
        <v>0.61140000000000005</v>
      </c>
      <c r="I542">
        <v>0.61180000000000001</v>
      </c>
    </row>
    <row r="543" spans="1:9" x14ac:dyDescent="0.25">
      <c r="A543" t="s">
        <v>1133</v>
      </c>
      <c r="B543">
        <v>550000</v>
      </c>
      <c r="C543">
        <v>0</v>
      </c>
      <c r="D543">
        <v>0</v>
      </c>
      <c r="E543">
        <v>4.7099999999999998E-3</v>
      </c>
      <c r="F543">
        <v>3.4499999999999999E-3</v>
      </c>
      <c r="G543">
        <v>1.2600000000000001E-3</v>
      </c>
      <c r="H543">
        <v>0.85540000000000005</v>
      </c>
      <c r="I543">
        <v>0.85550000000000004</v>
      </c>
    </row>
    <row r="544" spans="1:9" x14ac:dyDescent="0.25">
      <c r="A544" t="s">
        <v>1134</v>
      </c>
      <c r="B544">
        <v>925000</v>
      </c>
      <c r="C544">
        <v>0.38419999999999999</v>
      </c>
      <c r="D544">
        <v>-7.6899999999999996E-2</v>
      </c>
      <c r="E544">
        <v>4.7400000000000003E-3</v>
      </c>
      <c r="F544">
        <v>3.5799999999999998E-3</v>
      </c>
      <c r="G544">
        <v>1.16E-3</v>
      </c>
      <c r="H544">
        <v>0.68159999999999998</v>
      </c>
      <c r="I544">
        <v>0.89810000000000001</v>
      </c>
    </row>
    <row r="545" spans="1:9" x14ac:dyDescent="0.25">
      <c r="A545" t="s">
        <v>1135</v>
      </c>
      <c r="B545">
        <v>2100000</v>
      </c>
      <c r="C545">
        <v>0.30659999999999998</v>
      </c>
      <c r="D545">
        <v>-6.2399999999999997E-2</v>
      </c>
      <c r="E545">
        <v>4.62E-3</v>
      </c>
      <c r="F545">
        <v>4.0200000000000001E-3</v>
      </c>
      <c r="G545">
        <v>6.0999999999999997E-4</v>
      </c>
      <c r="H545">
        <v>0.58660000000000001</v>
      </c>
      <c r="I545">
        <v>0.62180000000000002</v>
      </c>
    </row>
    <row r="546" spans="1:9" x14ac:dyDescent="0.25">
      <c r="A546" t="s">
        <v>1136</v>
      </c>
      <c r="B546">
        <v>1750000</v>
      </c>
      <c r="C546">
        <v>0.33550000000000002</v>
      </c>
      <c r="D546">
        <v>-6.9000000000000006E-2</v>
      </c>
      <c r="E546">
        <v>4.7099999999999998E-3</v>
      </c>
      <c r="F546">
        <v>4.0200000000000001E-3</v>
      </c>
      <c r="G546">
        <v>6.8999999999999997E-4</v>
      </c>
      <c r="H546">
        <v>0.61009999999999998</v>
      </c>
      <c r="I546">
        <v>0.64649999999999996</v>
      </c>
    </row>
    <row r="547" spans="1:9" x14ac:dyDescent="0.25">
      <c r="A547" t="s">
        <v>1137</v>
      </c>
      <c r="B547">
        <v>900000</v>
      </c>
      <c r="C547">
        <v>0.38869999999999999</v>
      </c>
      <c r="D547">
        <v>-8.1299999999999997E-2</v>
      </c>
      <c r="E547">
        <v>4.8999999999999998E-3</v>
      </c>
      <c r="F547">
        <v>3.7699999999999999E-3</v>
      </c>
      <c r="G547">
        <v>1.1299999999999999E-3</v>
      </c>
      <c r="H547">
        <v>0.69679999999999997</v>
      </c>
      <c r="I547">
        <v>0.82</v>
      </c>
    </row>
    <row r="548" spans="1:9" x14ac:dyDescent="0.25">
      <c r="A548" t="s">
        <v>1138</v>
      </c>
      <c r="B548">
        <v>2100000</v>
      </c>
      <c r="C548">
        <v>0.309</v>
      </c>
      <c r="D548">
        <v>-6.93E-2</v>
      </c>
      <c r="E548">
        <v>3.6099999999999999E-3</v>
      </c>
      <c r="F548">
        <v>3.0599999999999998E-3</v>
      </c>
      <c r="G548">
        <v>5.5000000000000003E-4</v>
      </c>
      <c r="H548">
        <v>0.74950000000000006</v>
      </c>
      <c r="I548">
        <v>0.76480000000000004</v>
      </c>
    </row>
    <row r="549" spans="1:9" x14ac:dyDescent="0.25">
      <c r="A549" t="s">
        <v>1139</v>
      </c>
      <c r="B549">
        <v>1150000</v>
      </c>
      <c r="C549">
        <v>0.29349999999999998</v>
      </c>
      <c r="D549">
        <v>-0.06</v>
      </c>
      <c r="E549">
        <v>4.2500000000000003E-3</v>
      </c>
      <c r="F549">
        <v>3.3700000000000002E-3</v>
      </c>
      <c r="G549">
        <v>8.8999999999999995E-4</v>
      </c>
      <c r="H549">
        <v>0.73809999999999998</v>
      </c>
      <c r="I549">
        <v>0.84619999999999995</v>
      </c>
    </row>
    <row r="550" spans="1:9" x14ac:dyDescent="0.25">
      <c r="A550" t="s">
        <v>1140</v>
      </c>
      <c r="B550">
        <v>3000000</v>
      </c>
      <c r="C550">
        <v>0.24779999999999999</v>
      </c>
      <c r="D550">
        <v>-4.99E-2</v>
      </c>
      <c r="E550">
        <v>5.0800000000000003E-3</v>
      </c>
      <c r="F550">
        <v>4.5799999999999999E-3</v>
      </c>
      <c r="G550">
        <v>5.0000000000000001E-4</v>
      </c>
      <c r="H550">
        <v>0.53920000000000001</v>
      </c>
      <c r="I550">
        <v>0.34439999999999998</v>
      </c>
    </row>
    <row r="551" spans="1:9" x14ac:dyDescent="0.25">
      <c r="A551" t="s">
        <v>1141</v>
      </c>
      <c r="B551">
        <v>2900000</v>
      </c>
      <c r="C551">
        <v>0.1734</v>
      </c>
      <c r="D551">
        <v>-3.0599999999999999E-2</v>
      </c>
      <c r="E551">
        <v>4.0499999999999998E-3</v>
      </c>
      <c r="F551">
        <v>3.5799999999999998E-3</v>
      </c>
      <c r="G551">
        <v>4.8000000000000001E-4</v>
      </c>
      <c r="H551">
        <v>0.59489999999999998</v>
      </c>
      <c r="I551">
        <v>0.67859999999999998</v>
      </c>
    </row>
    <row r="552" spans="1:9" x14ac:dyDescent="0.25">
      <c r="A552" t="s">
        <v>1142</v>
      </c>
      <c r="B552">
        <v>3000000</v>
      </c>
      <c r="C552">
        <v>0.39660000000000001</v>
      </c>
      <c r="D552">
        <v>-7.8600000000000003E-2</v>
      </c>
      <c r="E552">
        <v>5.0200000000000002E-3</v>
      </c>
      <c r="F552">
        <v>4.4900000000000001E-3</v>
      </c>
      <c r="G552">
        <v>5.2999999999999998E-4</v>
      </c>
      <c r="H552">
        <v>0.57130000000000003</v>
      </c>
      <c r="I552">
        <v>0.3332</v>
      </c>
    </row>
    <row r="553" spans="1:9" x14ac:dyDescent="0.25">
      <c r="A553" t="s">
        <v>1143</v>
      </c>
      <c r="B553">
        <v>1400000</v>
      </c>
      <c r="C553">
        <v>0.188</v>
      </c>
      <c r="D553">
        <v>-3.8100000000000002E-2</v>
      </c>
      <c r="E553">
        <v>5.0499999999999998E-3</v>
      </c>
      <c r="F553">
        <v>4.3600000000000002E-3</v>
      </c>
      <c r="G553">
        <v>6.8999999999999997E-4</v>
      </c>
      <c r="H553">
        <v>0.55549999999999999</v>
      </c>
      <c r="I553">
        <v>0.65510000000000002</v>
      </c>
    </row>
    <row r="554" spans="1:9" x14ac:dyDescent="0.25">
      <c r="A554" t="s">
        <v>1144</v>
      </c>
      <c r="B554">
        <v>2500000</v>
      </c>
      <c r="C554">
        <v>0.45700000000000002</v>
      </c>
      <c r="D554">
        <v>-9.4600000000000004E-2</v>
      </c>
      <c r="E554">
        <v>5.1000000000000004E-3</v>
      </c>
      <c r="F554">
        <v>4.3699999999999998E-3</v>
      </c>
      <c r="G554">
        <v>7.2999999999999996E-4</v>
      </c>
      <c r="H554">
        <v>0.53900000000000003</v>
      </c>
      <c r="I554">
        <v>0.48359999999999997</v>
      </c>
    </row>
    <row r="555" spans="1:9" x14ac:dyDescent="0.25">
      <c r="A555" t="s">
        <v>1145</v>
      </c>
      <c r="B555">
        <v>2900000</v>
      </c>
      <c r="C555">
        <v>0.41289999999999999</v>
      </c>
      <c r="D555">
        <v>-7.8700000000000006E-2</v>
      </c>
      <c r="E555">
        <v>5.5399999999999998E-3</v>
      </c>
      <c r="F555">
        <v>4.8500000000000001E-3</v>
      </c>
      <c r="G555">
        <v>6.8999999999999997E-4</v>
      </c>
      <c r="H555">
        <v>0.51859999999999995</v>
      </c>
      <c r="I555">
        <v>0.26</v>
      </c>
    </row>
    <row r="556" spans="1:9" x14ac:dyDescent="0.25">
      <c r="A556" t="s">
        <v>1146</v>
      </c>
      <c r="B556">
        <v>1300000</v>
      </c>
      <c r="C556">
        <v>0.37019999999999997</v>
      </c>
      <c r="D556">
        <v>-7.7499999999999999E-2</v>
      </c>
      <c r="E556">
        <v>4.8399999999999997E-3</v>
      </c>
      <c r="F556">
        <v>3.98E-3</v>
      </c>
      <c r="G556">
        <v>8.5999999999999998E-4</v>
      </c>
      <c r="H556">
        <v>0.64759999999999995</v>
      </c>
      <c r="I556">
        <v>0.70450000000000002</v>
      </c>
    </row>
    <row r="557" spans="1:9" x14ac:dyDescent="0.25">
      <c r="A557" t="s">
        <v>1147</v>
      </c>
      <c r="B557">
        <v>2200000</v>
      </c>
      <c r="C557">
        <v>0.44840000000000002</v>
      </c>
      <c r="D557">
        <v>-9.6000000000000002E-2</v>
      </c>
      <c r="E557">
        <v>4.8199999999999996E-3</v>
      </c>
      <c r="F557">
        <v>4.1799999999999997E-3</v>
      </c>
      <c r="G557">
        <v>6.4000000000000005E-4</v>
      </c>
      <c r="H557">
        <v>0.62280000000000002</v>
      </c>
      <c r="I557">
        <v>0.4672</v>
      </c>
    </row>
    <row r="558" spans="1:9" x14ac:dyDescent="0.25">
      <c r="A558" t="s">
        <v>1148</v>
      </c>
      <c r="B558">
        <v>3000000</v>
      </c>
      <c r="C558">
        <v>0.46729999999999999</v>
      </c>
      <c r="D558">
        <v>-8.6599999999999996E-2</v>
      </c>
      <c r="E558">
        <v>5.8799999999999998E-3</v>
      </c>
      <c r="F558">
        <v>4.8300000000000001E-3</v>
      </c>
      <c r="G558">
        <v>1.0499999999999999E-3</v>
      </c>
      <c r="H558">
        <v>0.434</v>
      </c>
      <c r="I558">
        <v>0.38629999999999998</v>
      </c>
    </row>
    <row r="559" spans="1:9" x14ac:dyDescent="0.25">
      <c r="A559" t="s">
        <v>1149</v>
      </c>
      <c r="B559">
        <v>1250000</v>
      </c>
      <c r="C559">
        <v>0.307</v>
      </c>
      <c r="D559">
        <v>-6.3799999999999996E-2</v>
      </c>
      <c r="E559">
        <v>4.6800000000000001E-3</v>
      </c>
      <c r="F559">
        <v>3.8600000000000001E-3</v>
      </c>
      <c r="G559">
        <v>8.3000000000000001E-4</v>
      </c>
      <c r="H559">
        <v>0.66339999999999999</v>
      </c>
      <c r="I559">
        <v>0.73870000000000002</v>
      </c>
    </row>
    <row r="560" spans="1:9" x14ac:dyDescent="0.25">
      <c r="A560" t="s">
        <v>1150</v>
      </c>
      <c r="B560">
        <v>1050000</v>
      </c>
      <c r="C560">
        <v>0.23769999999999999</v>
      </c>
      <c r="D560">
        <v>-4.48E-2</v>
      </c>
      <c r="E560">
        <v>4.5799999999999999E-3</v>
      </c>
      <c r="F560">
        <v>3.63E-3</v>
      </c>
      <c r="G560">
        <v>9.5E-4</v>
      </c>
      <c r="H560">
        <v>0.6794</v>
      </c>
      <c r="I560">
        <v>0.84179999999999999</v>
      </c>
    </row>
    <row r="561" spans="1:9" x14ac:dyDescent="0.25">
      <c r="A561" t="s">
        <v>1151</v>
      </c>
      <c r="B561">
        <v>1650000</v>
      </c>
      <c r="C561">
        <v>0.23089999999999999</v>
      </c>
      <c r="D561">
        <v>-4.7E-2</v>
      </c>
      <c r="E561">
        <v>4.9800000000000001E-3</v>
      </c>
      <c r="F561">
        <v>4.2300000000000003E-3</v>
      </c>
      <c r="G561">
        <v>7.6000000000000004E-4</v>
      </c>
      <c r="H561">
        <v>0.57620000000000005</v>
      </c>
      <c r="I561">
        <v>0.6462</v>
      </c>
    </row>
    <row r="562" spans="1:9" x14ac:dyDescent="0.25">
      <c r="A562" t="s">
        <v>1152</v>
      </c>
      <c r="B562">
        <v>1500000</v>
      </c>
      <c r="C562">
        <v>0.22359999999999999</v>
      </c>
      <c r="D562">
        <v>-4.9700000000000001E-2</v>
      </c>
      <c r="E562">
        <v>4.6100000000000004E-3</v>
      </c>
      <c r="F562">
        <v>3.98E-3</v>
      </c>
      <c r="G562">
        <v>6.4000000000000005E-4</v>
      </c>
      <c r="H562">
        <v>0.68730000000000002</v>
      </c>
      <c r="I562">
        <v>0.60970000000000002</v>
      </c>
    </row>
    <row r="563" spans="1:9" x14ac:dyDescent="0.25">
      <c r="A563" t="s">
        <v>1153</v>
      </c>
      <c r="B563">
        <v>1700000</v>
      </c>
      <c r="C563">
        <v>0</v>
      </c>
      <c r="D563">
        <v>0</v>
      </c>
      <c r="E563">
        <v>4.7600000000000003E-3</v>
      </c>
      <c r="F563">
        <v>4.1099999999999999E-3</v>
      </c>
      <c r="G563">
        <v>6.4999999999999997E-4</v>
      </c>
      <c r="H563">
        <v>0.62749999999999995</v>
      </c>
      <c r="I563">
        <v>0.627</v>
      </c>
    </row>
    <row r="564" spans="1:9" x14ac:dyDescent="0.25">
      <c r="A564" t="s">
        <v>1154</v>
      </c>
      <c r="B564">
        <v>1650000</v>
      </c>
      <c r="C564">
        <v>0.31480000000000002</v>
      </c>
      <c r="D564">
        <v>-6.2899999999999998E-2</v>
      </c>
      <c r="E564">
        <v>5.0099999999999997E-3</v>
      </c>
      <c r="F564">
        <v>4.2100000000000002E-3</v>
      </c>
      <c r="G564">
        <v>8.0999999999999996E-4</v>
      </c>
      <c r="H564">
        <v>0.59160000000000001</v>
      </c>
      <c r="I564">
        <v>0.60780000000000001</v>
      </c>
    </row>
    <row r="565" spans="1:9" x14ac:dyDescent="0.25">
      <c r="A565" t="s">
        <v>1155</v>
      </c>
      <c r="B565">
        <v>3000000</v>
      </c>
      <c r="C565">
        <v>0.40910000000000002</v>
      </c>
      <c r="D565">
        <v>-9.5200000000000007E-2</v>
      </c>
      <c r="E565">
        <v>4.9699999999999996E-3</v>
      </c>
      <c r="F565">
        <v>4.0400000000000002E-3</v>
      </c>
      <c r="G565">
        <v>9.3999999999999997E-4</v>
      </c>
      <c r="H565">
        <v>0.56110000000000004</v>
      </c>
      <c r="I565">
        <v>0.56699999999999995</v>
      </c>
    </row>
    <row r="566" spans="1:9" x14ac:dyDescent="0.25">
      <c r="A566" t="s">
        <v>1156</v>
      </c>
      <c r="B566">
        <v>2700000</v>
      </c>
      <c r="C566">
        <v>0.28420000000000001</v>
      </c>
      <c r="D566">
        <v>-6.0299999999999999E-2</v>
      </c>
      <c r="E566">
        <v>3.9199999999999999E-3</v>
      </c>
      <c r="F566">
        <v>3.3800000000000002E-3</v>
      </c>
      <c r="G566">
        <v>5.4000000000000001E-4</v>
      </c>
      <c r="H566">
        <v>0.66920000000000002</v>
      </c>
      <c r="I566">
        <v>0.68459999999999999</v>
      </c>
    </row>
    <row r="567" spans="1:9" x14ac:dyDescent="0.25">
      <c r="A567" t="s">
        <v>1157</v>
      </c>
      <c r="B567">
        <v>2600000</v>
      </c>
      <c r="C567">
        <v>0.54279999999999995</v>
      </c>
      <c r="D567">
        <v>-0.123</v>
      </c>
      <c r="E567">
        <v>4.3400000000000001E-3</v>
      </c>
      <c r="F567">
        <v>3.6600000000000001E-3</v>
      </c>
      <c r="G567">
        <v>6.8000000000000005E-4</v>
      </c>
      <c r="H567">
        <v>0.68330000000000002</v>
      </c>
      <c r="I567">
        <v>0.55869999999999997</v>
      </c>
    </row>
    <row r="568" spans="1:9" x14ac:dyDescent="0.25">
      <c r="A568" t="s">
        <v>1158</v>
      </c>
      <c r="B568">
        <v>3000000</v>
      </c>
      <c r="C568">
        <v>0.78480000000000005</v>
      </c>
      <c r="D568">
        <v>-0.18160000000000001</v>
      </c>
      <c r="E568">
        <v>5.0600000000000003E-3</v>
      </c>
      <c r="F568">
        <v>4.2300000000000003E-3</v>
      </c>
      <c r="G568">
        <v>8.3000000000000001E-4</v>
      </c>
      <c r="H568">
        <v>0.67049999999999998</v>
      </c>
      <c r="I568">
        <v>0.25180000000000002</v>
      </c>
    </row>
    <row r="569" spans="1:9" x14ac:dyDescent="0.25">
      <c r="A569" t="s">
        <v>1159</v>
      </c>
      <c r="B569">
        <v>3000000</v>
      </c>
      <c r="C569">
        <v>0.39710000000000001</v>
      </c>
      <c r="D569">
        <v>-8.6300000000000002E-2</v>
      </c>
      <c r="E569">
        <v>5.96E-3</v>
      </c>
      <c r="F569">
        <v>4.6299999999999996E-3</v>
      </c>
      <c r="G569">
        <v>1.32E-3</v>
      </c>
      <c r="H569">
        <v>0.57779999999999998</v>
      </c>
      <c r="I569">
        <v>0.38640000000000002</v>
      </c>
    </row>
    <row r="570" spans="1:9" x14ac:dyDescent="0.25">
      <c r="A570" t="s">
        <v>1160</v>
      </c>
      <c r="B570">
        <v>3000000</v>
      </c>
      <c r="C570">
        <v>0.37380000000000002</v>
      </c>
      <c r="D570">
        <v>-8.1799999999999998E-2</v>
      </c>
      <c r="E570">
        <v>5.28E-3</v>
      </c>
      <c r="F570">
        <v>4.1799999999999997E-3</v>
      </c>
      <c r="G570">
        <v>1.1000000000000001E-3</v>
      </c>
      <c r="H570">
        <v>0.66549999999999998</v>
      </c>
      <c r="I570">
        <v>0.42820000000000003</v>
      </c>
    </row>
    <row r="571" spans="1:9" x14ac:dyDescent="0.25">
      <c r="A571" t="s">
        <v>1161</v>
      </c>
      <c r="B571">
        <v>3000000</v>
      </c>
      <c r="C571">
        <v>0.57130000000000003</v>
      </c>
      <c r="D571">
        <v>-0.12790000000000001</v>
      </c>
      <c r="E571">
        <v>4.9800000000000001E-3</v>
      </c>
      <c r="F571">
        <v>3.8899999999999998E-3</v>
      </c>
      <c r="G571">
        <v>1.09E-3</v>
      </c>
      <c r="H571">
        <v>0.58960000000000001</v>
      </c>
      <c r="I571">
        <v>0.56940000000000002</v>
      </c>
    </row>
    <row r="572" spans="1:9" x14ac:dyDescent="0.25">
      <c r="A572" t="s">
        <v>1162</v>
      </c>
      <c r="B572">
        <v>3000000</v>
      </c>
      <c r="C572">
        <v>0.52149999999999996</v>
      </c>
      <c r="D572">
        <v>-0.12189999999999999</v>
      </c>
      <c r="E572">
        <v>3.7699999999999999E-3</v>
      </c>
      <c r="F572">
        <v>2.5899999999999999E-3</v>
      </c>
      <c r="G572">
        <v>1.1900000000000001E-3</v>
      </c>
      <c r="H572">
        <v>0.8306</v>
      </c>
      <c r="I572">
        <v>0.75560000000000005</v>
      </c>
    </row>
    <row r="573" spans="1:9" x14ac:dyDescent="0.25">
      <c r="A573" t="s">
        <v>1163</v>
      </c>
      <c r="B573">
        <v>2200000</v>
      </c>
      <c r="C573">
        <v>0.77600000000000002</v>
      </c>
      <c r="D573">
        <v>-0.1855</v>
      </c>
      <c r="E573">
        <v>4.1000000000000003E-3</v>
      </c>
      <c r="F573">
        <v>2.96E-3</v>
      </c>
      <c r="G573">
        <v>1.14E-3</v>
      </c>
      <c r="H573">
        <v>0.81210000000000004</v>
      </c>
      <c r="I573">
        <v>0.65680000000000005</v>
      </c>
    </row>
    <row r="574" spans="1:9" x14ac:dyDescent="0.25">
      <c r="A574" t="s">
        <v>1164</v>
      </c>
      <c r="B574">
        <v>3000000</v>
      </c>
      <c r="C574">
        <v>0.78690000000000004</v>
      </c>
      <c r="D574">
        <v>-0.18729999999999999</v>
      </c>
      <c r="E574">
        <v>4.3299999999999996E-3</v>
      </c>
      <c r="F574">
        <v>2.9299999999999999E-3</v>
      </c>
      <c r="G574">
        <v>1.4E-3</v>
      </c>
      <c r="H574">
        <v>0.81869999999999998</v>
      </c>
      <c r="I574">
        <v>0.64139999999999997</v>
      </c>
    </row>
    <row r="575" spans="1:9" x14ac:dyDescent="0.25">
      <c r="A575" t="s">
        <v>1165</v>
      </c>
      <c r="B575">
        <v>3000000</v>
      </c>
      <c r="C575">
        <v>0.2581</v>
      </c>
      <c r="D575">
        <v>-7.3400000000000007E-2</v>
      </c>
      <c r="E575">
        <v>7.3200000000000001E-3</v>
      </c>
      <c r="F575">
        <v>3.4299999999999999E-3</v>
      </c>
      <c r="G575">
        <v>3.8999999999999998E-3</v>
      </c>
      <c r="H575">
        <v>0.66949999999999998</v>
      </c>
      <c r="I575">
        <v>0.68159999999999998</v>
      </c>
    </row>
    <row r="576" spans="1:9" x14ac:dyDescent="0.25">
      <c r="A576" t="s">
        <v>1166</v>
      </c>
      <c r="B576">
        <v>3000000</v>
      </c>
      <c r="C576">
        <v>0.24529999999999999</v>
      </c>
      <c r="D576">
        <v>-7.0300000000000001E-2</v>
      </c>
      <c r="E576">
        <v>3.8999999999999998E-3</v>
      </c>
      <c r="F576">
        <v>3.4499999999999999E-3</v>
      </c>
      <c r="G576">
        <v>4.4999999999999999E-4</v>
      </c>
      <c r="H576">
        <v>0.83860000000000001</v>
      </c>
      <c r="I576">
        <v>0.4798</v>
      </c>
    </row>
    <row r="577" spans="1:9" x14ac:dyDescent="0.25">
      <c r="A577" t="s">
        <v>1167</v>
      </c>
      <c r="B577">
        <v>3000000</v>
      </c>
      <c r="C577">
        <v>0.41010000000000002</v>
      </c>
      <c r="D577">
        <v>-0.1099</v>
      </c>
      <c r="E577">
        <v>4.5199999999999997E-3</v>
      </c>
      <c r="F577">
        <v>4.0299999999999997E-3</v>
      </c>
      <c r="G577">
        <v>4.8999999999999998E-4</v>
      </c>
      <c r="H577">
        <v>0.77939999999999998</v>
      </c>
      <c r="I577">
        <v>0.30180000000000001</v>
      </c>
    </row>
  </sheetData>
  <pageMargins left="0.7" right="0.7" top="0.75" bottom="0.75" header="0.3" footer="0.3"/>
  <pageSetup paperSize="9" orientation="portrait" r:id="rId1"/>
  <headerFooter differentOddEven="1" differentFirst="1">
    <oddFooter>&amp;L &amp;"arial,Regular"&amp;10Internal Use</oddFooter>
    <evenFooter>&amp;L &amp;"arial,Regular"&amp;10Internal Use</evenFooter>
    <firstFooter>&amp;L &amp;"arial,Regular"&amp;10Internal Use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A44B7-3E36-4DCF-B19C-C875AD8308E8}">
  <sheetPr codeName="Sheet3"/>
  <dimension ref="A1:D581"/>
  <sheetViews>
    <sheetView workbookViewId="0">
      <selection activeCell="N574" sqref="N574"/>
    </sheetView>
  </sheetViews>
  <sheetFormatPr defaultRowHeight="15" x14ac:dyDescent="0.25"/>
  <cols>
    <col min="1" max="1" width="42.42578125" bestFit="1" customWidth="1"/>
    <col min="2" max="3" width="11.5703125" bestFit="1" customWidth="1"/>
    <col min="4" max="4" width="16.5703125" bestFit="1" customWidth="1"/>
  </cols>
  <sheetData>
    <row r="1" spans="1:4" x14ac:dyDescent="0.25">
      <c r="A1" t="s">
        <v>0</v>
      </c>
      <c r="B1" s="9" t="s">
        <v>1754</v>
      </c>
      <c r="C1" s="9" t="s">
        <v>1755</v>
      </c>
      <c r="D1" s="9" t="s">
        <v>1756</v>
      </c>
    </row>
    <row r="2" spans="1:4" x14ac:dyDescent="0.25">
      <c r="A2" t="s">
        <v>592</v>
      </c>
      <c r="B2">
        <v>125000</v>
      </c>
      <c r="C2">
        <v>50000</v>
      </c>
      <c r="D2">
        <v>90000</v>
      </c>
    </row>
    <row r="3" spans="1:4" x14ac:dyDescent="0.25">
      <c r="A3" t="s">
        <v>593</v>
      </c>
      <c r="B3">
        <v>125000</v>
      </c>
      <c r="C3">
        <v>50000</v>
      </c>
      <c r="D3">
        <v>70000</v>
      </c>
    </row>
    <row r="4" spans="1:4" x14ac:dyDescent="0.25">
      <c r="A4" t="s">
        <v>594</v>
      </c>
      <c r="B4">
        <v>100000</v>
      </c>
      <c r="C4">
        <v>50000</v>
      </c>
      <c r="D4">
        <v>80000</v>
      </c>
    </row>
    <row r="5" spans="1:4" x14ac:dyDescent="0.25">
      <c r="A5" t="s">
        <v>595</v>
      </c>
      <c r="B5">
        <v>100000</v>
      </c>
      <c r="C5">
        <v>50000</v>
      </c>
      <c r="D5">
        <v>70000</v>
      </c>
    </row>
    <row r="6" spans="1:4" x14ac:dyDescent="0.25">
      <c r="A6" t="s">
        <v>596</v>
      </c>
      <c r="B6">
        <v>100000</v>
      </c>
      <c r="C6">
        <v>50000</v>
      </c>
      <c r="D6">
        <v>70000</v>
      </c>
    </row>
    <row r="7" spans="1:4" x14ac:dyDescent="0.25">
      <c r="A7" t="s">
        <v>597</v>
      </c>
      <c r="B7">
        <v>125000</v>
      </c>
      <c r="C7">
        <v>70000</v>
      </c>
      <c r="D7">
        <v>70000</v>
      </c>
    </row>
    <row r="8" spans="1:4" x14ac:dyDescent="0.25">
      <c r="A8" t="s">
        <v>598</v>
      </c>
      <c r="B8">
        <v>100000</v>
      </c>
      <c r="C8">
        <v>50000</v>
      </c>
      <c r="D8">
        <v>60000</v>
      </c>
    </row>
    <row r="9" spans="1:4" x14ac:dyDescent="0.25">
      <c r="A9" t="s">
        <v>599</v>
      </c>
      <c r="B9">
        <v>100000</v>
      </c>
      <c r="C9">
        <v>50000</v>
      </c>
      <c r="D9">
        <v>70000</v>
      </c>
    </row>
    <row r="10" spans="1:4" x14ac:dyDescent="0.25">
      <c r="A10" t="s">
        <v>600</v>
      </c>
      <c r="B10">
        <v>100000</v>
      </c>
      <c r="C10">
        <v>50000</v>
      </c>
      <c r="D10">
        <v>70000</v>
      </c>
    </row>
    <row r="11" spans="1:4" x14ac:dyDescent="0.25">
      <c r="A11" t="s">
        <v>601</v>
      </c>
      <c r="B11">
        <v>125000</v>
      </c>
      <c r="C11">
        <v>50000</v>
      </c>
      <c r="D11">
        <v>60000</v>
      </c>
    </row>
    <row r="12" spans="1:4" x14ac:dyDescent="0.25">
      <c r="A12" t="s">
        <v>602</v>
      </c>
      <c r="B12">
        <v>125000</v>
      </c>
      <c r="C12">
        <v>50000</v>
      </c>
      <c r="D12">
        <v>70000</v>
      </c>
    </row>
    <row r="13" spans="1:4" x14ac:dyDescent="0.25">
      <c r="A13" t="s">
        <v>603</v>
      </c>
      <c r="B13">
        <v>100000</v>
      </c>
      <c r="C13">
        <v>50000</v>
      </c>
      <c r="D13">
        <v>80000</v>
      </c>
    </row>
    <row r="14" spans="1:4" x14ac:dyDescent="0.25">
      <c r="A14" t="s">
        <v>604</v>
      </c>
      <c r="B14">
        <v>100000</v>
      </c>
      <c r="C14">
        <v>50000</v>
      </c>
      <c r="D14">
        <v>80000</v>
      </c>
    </row>
    <row r="15" spans="1:4" x14ac:dyDescent="0.25">
      <c r="A15" t="s">
        <v>605</v>
      </c>
      <c r="B15">
        <v>150000</v>
      </c>
      <c r="C15">
        <v>60000</v>
      </c>
      <c r="D15">
        <v>100000</v>
      </c>
    </row>
    <row r="16" spans="1:4" x14ac:dyDescent="0.25">
      <c r="A16" t="s">
        <v>606</v>
      </c>
      <c r="B16">
        <v>150000</v>
      </c>
      <c r="C16">
        <v>60000</v>
      </c>
      <c r="D16">
        <v>100000</v>
      </c>
    </row>
    <row r="17" spans="1:4" x14ac:dyDescent="0.25">
      <c r="A17" t="s">
        <v>607</v>
      </c>
      <c r="B17">
        <v>150000</v>
      </c>
      <c r="C17">
        <v>50000</v>
      </c>
      <c r="D17">
        <v>100000</v>
      </c>
    </row>
    <row r="18" spans="1:4" x14ac:dyDescent="0.25">
      <c r="A18" t="s">
        <v>608</v>
      </c>
      <c r="B18">
        <v>150000</v>
      </c>
      <c r="C18">
        <v>50000</v>
      </c>
      <c r="D18">
        <v>100000</v>
      </c>
    </row>
    <row r="19" spans="1:4" x14ac:dyDescent="0.25">
      <c r="A19" t="s">
        <v>609</v>
      </c>
      <c r="B19">
        <v>125000</v>
      </c>
      <c r="C19">
        <v>50000</v>
      </c>
      <c r="D19">
        <v>80000</v>
      </c>
    </row>
    <row r="20" spans="1:4" x14ac:dyDescent="0.25">
      <c r="A20" t="s">
        <v>610</v>
      </c>
      <c r="B20">
        <v>100000</v>
      </c>
      <c r="C20">
        <v>50000</v>
      </c>
      <c r="D20">
        <v>60000</v>
      </c>
    </row>
    <row r="21" spans="1:4" x14ac:dyDescent="0.25">
      <c r="A21" t="s">
        <v>611</v>
      </c>
      <c r="B21">
        <v>100000</v>
      </c>
      <c r="C21">
        <v>50000</v>
      </c>
      <c r="D21">
        <v>50000</v>
      </c>
    </row>
    <row r="22" spans="1:4" x14ac:dyDescent="0.25">
      <c r="A22" t="s">
        <v>612</v>
      </c>
      <c r="B22">
        <v>125000</v>
      </c>
      <c r="C22">
        <v>50000</v>
      </c>
      <c r="D22">
        <v>70000</v>
      </c>
    </row>
    <row r="23" spans="1:4" x14ac:dyDescent="0.25">
      <c r="A23" t="s">
        <v>613</v>
      </c>
      <c r="B23">
        <v>90000</v>
      </c>
      <c r="C23">
        <v>50000</v>
      </c>
      <c r="D23">
        <v>50000</v>
      </c>
    </row>
    <row r="24" spans="1:4" x14ac:dyDescent="0.25">
      <c r="A24" t="s">
        <v>614</v>
      </c>
      <c r="B24">
        <v>100000</v>
      </c>
      <c r="C24">
        <v>50000</v>
      </c>
      <c r="D24">
        <v>60000</v>
      </c>
    </row>
    <row r="25" spans="1:4" x14ac:dyDescent="0.25">
      <c r="A25" t="s">
        <v>615</v>
      </c>
      <c r="B25">
        <v>90000</v>
      </c>
      <c r="C25">
        <v>50000</v>
      </c>
      <c r="D25">
        <v>50000</v>
      </c>
    </row>
    <row r="26" spans="1:4" x14ac:dyDescent="0.25">
      <c r="A26" t="s">
        <v>616</v>
      </c>
      <c r="B26">
        <v>90000</v>
      </c>
      <c r="C26">
        <v>50000</v>
      </c>
      <c r="D26">
        <v>70000</v>
      </c>
    </row>
    <row r="27" spans="1:4" x14ac:dyDescent="0.25">
      <c r="A27" t="s">
        <v>617</v>
      </c>
      <c r="B27">
        <v>550000</v>
      </c>
      <c r="C27">
        <v>175000</v>
      </c>
      <c r="D27">
        <v>475000</v>
      </c>
    </row>
    <row r="28" spans="1:4" x14ac:dyDescent="0.25">
      <c r="A28" t="s">
        <v>618</v>
      </c>
      <c r="B28">
        <v>250000</v>
      </c>
      <c r="C28">
        <v>225000</v>
      </c>
      <c r="D28">
        <v>225000</v>
      </c>
    </row>
    <row r="29" spans="1:4" x14ac:dyDescent="0.25">
      <c r="A29" t="s">
        <v>619</v>
      </c>
      <c r="B29">
        <v>400000</v>
      </c>
      <c r="C29">
        <v>200000</v>
      </c>
      <c r="D29">
        <v>200000</v>
      </c>
    </row>
    <row r="30" spans="1:4" x14ac:dyDescent="0.25">
      <c r="A30" t="s">
        <v>620</v>
      </c>
      <c r="B30">
        <v>250000</v>
      </c>
      <c r="C30">
        <v>100000</v>
      </c>
      <c r="D30">
        <v>150000</v>
      </c>
    </row>
    <row r="31" spans="1:4" x14ac:dyDescent="0.25">
      <c r="A31" t="s">
        <v>621</v>
      </c>
      <c r="B31">
        <v>300000</v>
      </c>
      <c r="C31">
        <v>125000</v>
      </c>
      <c r="D31">
        <v>150000</v>
      </c>
    </row>
    <row r="32" spans="1:4" x14ac:dyDescent="0.25">
      <c r="A32" t="s">
        <v>622</v>
      </c>
      <c r="B32">
        <v>550000</v>
      </c>
      <c r="C32">
        <v>550000</v>
      </c>
      <c r="D32">
        <v>550000</v>
      </c>
    </row>
    <row r="33" spans="1:4" x14ac:dyDescent="0.25">
      <c r="A33" t="s">
        <v>623</v>
      </c>
      <c r="B33">
        <v>500000</v>
      </c>
      <c r="C33">
        <v>200000</v>
      </c>
      <c r="D33">
        <v>400000</v>
      </c>
    </row>
    <row r="34" spans="1:4" x14ac:dyDescent="0.25">
      <c r="A34" t="s">
        <v>624</v>
      </c>
      <c r="B34">
        <v>500000</v>
      </c>
      <c r="C34">
        <v>175000</v>
      </c>
      <c r="D34">
        <v>425000</v>
      </c>
    </row>
    <row r="35" spans="1:4" x14ac:dyDescent="0.25">
      <c r="A35" t="s">
        <v>625</v>
      </c>
      <c r="B35">
        <v>650000</v>
      </c>
      <c r="C35">
        <v>300000</v>
      </c>
      <c r="D35">
        <v>600000</v>
      </c>
    </row>
    <row r="36" spans="1:4" x14ac:dyDescent="0.25">
      <c r="A36" t="s">
        <v>626</v>
      </c>
      <c r="B36">
        <v>400000</v>
      </c>
      <c r="C36">
        <v>150000</v>
      </c>
      <c r="D36">
        <v>275000</v>
      </c>
    </row>
    <row r="37" spans="1:4" x14ac:dyDescent="0.25">
      <c r="A37" t="s">
        <v>627</v>
      </c>
      <c r="B37">
        <v>400000</v>
      </c>
      <c r="C37">
        <v>175000</v>
      </c>
      <c r="D37">
        <v>200000</v>
      </c>
    </row>
    <row r="38" spans="1:4" x14ac:dyDescent="0.25">
      <c r="A38" t="s">
        <v>628</v>
      </c>
      <c r="B38">
        <v>425000</v>
      </c>
      <c r="C38">
        <v>150000</v>
      </c>
      <c r="D38">
        <v>150000</v>
      </c>
    </row>
    <row r="39" spans="1:4" x14ac:dyDescent="0.25">
      <c r="A39" t="s">
        <v>629</v>
      </c>
      <c r="B39">
        <v>525000</v>
      </c>
      <c r="C39">
        <v>250000</v>
      </c>
      <c r="D39">
        <v>425000</v>
      </c>
    </row>
    <row r="40" spans="1:4" x14ac:dyDescent="0.25">
      <c r="A40" t="s">
        <v>630</v>
      </c>
      <c r="B40">
        <v>550000</v>
      </c>
      <c r="C40">
        <v>250000</v>
      </c>
      <c r="D40">
        <v>425000</v>
      </c>
    </row>
    <row r="41" spans="1:4" x14ac:dyDescent="0.25">
      <c r="A41" t="s">
        <v>631</v>
      </c>
      <c r="B41">
        <v>1700000</v>
      </c>
      <c r="C41">
        <v>450000</v>
      </c>
      <c r="D41">
        <v>325000</v>
      </c>
    </row>
    <row r="42" spans="1:4" x14ac:dyDescent="0.25">
      <c r="A42" t="s">
        <v>632</v>
      </c>
      <c r="B42">
        <v>525000</v>
      </c>
      <c r="C42">
        <v>200000</v>
      </c>
      <c r="D42">
        <v>375000</v>
      </c>
    </row>
    <row r="43" spans="1:4" x14ac:dyDescent="0.25">
      <c r="A43" t="s">
        <v>633</v>
      </c>
      <c r="B43">
        <v>750000</v>
      </c>
      <c r="C43">
        <v>375000</v>
      </c>
      <c r="D43">
        <v>650000</v>
      </c>
    </row>
    <row r="44" spans="1:4" x14ac:dyDescent="0.25">
      <c r="A44" t="s">
        <v>634</v>
      </c>
      <c r="B44">
        <v>600000</v>
      </c>
      <c r="C44">
        <v>350000</v>
      </c>
      <c r="D44">
        <v>375000</v>
      </c>
    </row>
    <row r="45" spans="1:4" x14ac:dyDescent="0.25">
      <c r="A45" t="s">
        <v>635</v>
      </c>
      <c r="B45">
        <v>650000</v>
      </c>
      <c r="C45">
        <v>250000</v>
      </c>
      <c r="D45">
        <v>450000</v>
      </c>
    </row>
    <row r="46" spans="1:4" x14ac:dyDescent="0.25">
      <c r="A46" t="s">
        <v>636</v>
      </c>
      <c r="B46">
        <v>475000</v>
      </c>
      <c r="C46">
        <v>225000</v>
      </c>
      <c r="D46">
        <v>475000</v>
      </c>
    </row>
    <row r="47" spans="1:4" x14ac:dyDescent="0.25">
      <c r="A47" t="s">
        <v>637</v>
      </c>
      <c r="B47">
        <v>525000</v>
      </c>
      <c r="C47">
        <v>325000</v>
      </c>
      <c r="D47">
        <v>450000</v>
      </c>
    </row>
    <row r="48" spans="1:4" x14ac:dyDescent="0.25">
      <c r="A48" t="s">
        <v>638</v>
      </c>
      <c r="B48">
        <v>725000</v>
      </c>
      <c r="C48">
        <v>325000</v>
      </c>
      <c r="D48">
        <v>650000</v>
      </c>
    </row>
    <row r="49" spans="1:4" x14ac:dyDescent="0.25">
      <c r="A49" t="s">
        <v>639</v>
      </c>
      <c r="B49">
        <v>575000</v>
      </c>
      <c r="C49">
        <v>225000</v>
      </c>
      <c r="D49">
        <v>450000</v>
      </c>
    </row>
    <row r="50" spans="1:4" x14ac:dyDescent="0.25">
      <c r="A50" t="s">
        <v>640</v>
      </c>
      <c r="B50">
        <v>525000</v>
      </c>
      <c r="C50">
        <v>200000</v>
      </c>
      <c r="D50">
        <v>400000</v>
      </c>
    </row>
    <row r="51" spans="1:4" x14ac:dyDescent="0.25">
      <c r="A51" t="s">
        <v>641</v>
      </c>
      <c r="B51">
        <v>525000</v>
      </c>
      <c r="C51">
        <v>250000</v>
      </c>
      <c r="D51">
        <v>375000</v>
      </c>
    </row>
    <row r="52" spans="1:4" x14ac:dyDescent="0.25">
      <c r="A52" t="s">
        <v>642</v>
      </c>
      <c r="B52">
        <v>525000</v>
      </c>
      <c r="C52">
        <v>250000</v>
      </c>
      <c r="D52">
        <v>325000</v>
      </c>
    </row>
    <row r="53" spans="1:4" x14ac:dyDescent="0.25">
      <c r="A53" t="s">
        <v>643</v>
      </c>
      <c r="B53">
        <v>675000</v>
      </c>
      <c r="C53">
        <v>250000</v>
      </c>
      <c r="D53">
        <v>575000</v>
      </c>
    </row>
    <row r="54" spans="1:4" x14ac:dyDescent="0.25">
      <c r="A54" t="s">
        <v>644</v>
      </c>
      <c r="B54">
        <v>400000</v>
      </c>
      <c r="C54">
        <v>125000</v>
      </c>
      <c r="D54">
        <v>150000</v>
      </c>
    </row>
    <row r="55" spans="1:4" x14ac:dyDescent="0.25">
      <c r="A55" t="s">
        <v>645</v>
      </c>
      <c r="B55">
        <v>500000</v>
      </c>
      <c r="C55">
        <v>175000</v>
      </c>
      <c r="D55">
        <v>200000</v>
      </c>
    </row>
    <row r="56" spans="1:4" x14ac:dyDescent="0.25">
      <c r="A56" t="s">
        <v>646</v>
      </c>
      <c r="B56">
        <v>550000</v>
      </c>
      <c r="C56">
        <v>175000</v>
      </c>
      <c r="D56">
        <v>225000</v>
      </c>
    </row>
    <row r="57" spans="1:4" x14ac:dyDescent="0.25">
      <c r="A57" t="s">
        <v>647</v>
      </c>
      <c r="B57">
        <v>825000</v>
      </c>
      <c r="C57">
        <v>325000</v>
      </c>
      <c r="D57">
        <v>325000</v>
      </c>
    </row>
    <row r="58" spans="1:4" x14ac:dyDescent="0.25">
      <c r="A58" t="s">
        <v>648</v>
      </c>
      <c r="B58">
        <v>1250000</v>
      </c>
      <c r="C58">
        <v>250000</v>
      </c>
      <c r="D58">
        <v>175000</v>
      </c>
    </row>
    <row r="59" spans="1:4" x14ac:dyDescent="0.25">
      <c r="A59" t="s">
        <v>649</v>
      </c>
      <c r="B59">
        <v>475000</v>
      </c>
      <c r="C59">
        <v>200000</v>
      </c>
      <c r="D59">
        <v>225000</v>
      </c>
    </row>
    <row r="60" spans="1:4" x14ac:dyDescent="0.25">
      <c r="A60" t="s">
        <v>650</v>
      </c>
      <c r="B60">
        <v>575000</v>
      </c>
      <c r="C60">
        <v>225000</v>
      </c>
      <c r="D60">
        <v>450000</v>
      </c>
    </row>
    <row r="61" spans="1:4" x14ac:dyDescent="0.25">
      <c r="A61" t="s">
        <v>651</v>
      </c>
      <c r="B61">
        <v>1200000</v>
      </c>
      <c r="C61">
        <v>275000</v>
      </c>
      <c r="D61">
        <v>225000</v>
      </c>
    </row>
    <row r="62" spans="1:4" x14ac:dyDescent="0.25">
      <c r="A62" t="s">
        <v>652</v>
      </c>
      <c r="B62">
        <v>500000</v>
      </c>
      <c r="C62">
        <v>225000</v>
      </c>
      <c r="D62">
        <v>250000</v>
      </c>
    </row>
    <row r="63" spans="1:4" x14ac:dyDescent="0.25">
      <c r="A63" t="s">
        <v>653</v>
      </c>
      <c r="B63">
        <v>525000</v>
      </c>
      <c r="C63">
        <v>250000</v>
      </c>
      <c r="D63">
        <v>250000</v>
      </c>
    </row>
    <row r="64" spans="1:4" x14ac:dyDescent="0.25">
      <c r="A64" t="s">
        <v>654</v>
      </c>
      <c r="B64">
        <v>525000</v>
      </c>
      <c r="C64">
        <v>300000</v>
      </c>
      <c r="D64">
        <v>300000</v>
      </c>
    </row>
    <row r="65" spans="1:4" x14ac:dyDescent="0.25">
      <c r="A65" t="s">
        <v>655</v>
      </c>
      <c r="B65">
        <v>500000</v>
      </c>
      <c r="C65">
        <v>225000</v>
      </c>
      <c r="D65">
        <v>225000</v>
      </c>
    </row>
    <row r="66" spans="1:4" x14ac:dyDescent="0.25">
      <c r="A66" t="s">
        <v>656</v>
      </c>
      <c r="B66">
        <v>225000</v>
      </c>
      <c r="C66">
        <v>100000</v>
      </c>
      <c r="D66">
        <v>100000</v>
      </c>
    </row>
    <row r="67" spans="1:4" x14ac:dyDescent="0.25">
      <c r="A67" t="s">
        <v>657</v>
      </c>
      <c r="B67">
        <v>650000</v>
      </c>
      <c r="C67">
        <v>175000</v>
      </c>
      <c r="D67">
        <v>175000</v>
      </c>
    </row>
    <row r="68" spans="1:4" x14ac:dyDescent="0.25">
      <c r="A68" t="s">
        <v>658</v>
      </c>
      <c r="B68">
        <v>275000</v>
      </c>
      <c r="C68">
        <v>90000</v>
      </c>
      <c r="D68">
        <v>90000</v>
      </c>
    </row>
    <row r="69" spans="1:4" x14ac:dyDescent="0.25">
      <c r="A69" t="s">
        <v>659</v>
      </c>
      <c r="B69">
        <v>200000</v>
      </c>
      <c r="C69">
        <v>60000</v>
      </c>
      <c r="D69">
        <v>70000</v>
      </c>
    </row>
    <row r="70" spans="1:4" x14ac:dyDescent="0.25">
      <c r="A70" t="s">
        <v>660</v>
      </c>
      <c r="B70">
        <v>250000</v>
      </c>
      <c r="C70">
        <v>50000</v>
      </c>
      <c r="D70">
        <v>425000</v>
      </c>
    </row>
    <row r="71" spans="1:4" x14ac:dyDescent="0.25">
      <c r="A71" t="s">
        <v>661</v>
      </c>
      <c r="B71">
        <v>175000</v>
      </c>
      <c r="C71">
        <v>725000</v>
      </c>
      <c r="D71">
        <v>725000</v>
      </c>
    </row>
    <row r="72" spans="1:4" x14ac:dyDescent="0.25">
      <c r="A72" t="s">
        <v>662</v>
      </c>
      <c r="B72">
        <v>675000</v>
      </c>
      <c r="C72">
        <v>250000</v>
      </c>
      <c r="D72">
        <v>325000</v>
      </c>
    </row>
    <row r="73" spans="1:4" x14ac:dyDescent="0.25">
      <c r="A73" t="s">
        <v>663</v>
      </c>
      <c r="B73">
        <v>750000</v>
      </c>
      <c r="C73">
        <v>125000</v>
      </c>
      <c r="D73">
        <v>100000</v>
      </c>
    </row>
    <row r="74" spans="1:4" x14ac:dyDescent="0.25">
      <c r="A74" t="s">
        <v>664</v>
      </c>
      <c r="B74">
        <v>775000</v>
      </c>
      <c r="C74">
        <v>150000</v>
      </c>
      <c r="D74">
        <v>125000</v>
      </c>
    </row>
    <row r="75" spans="1:4" x14ac:dyDescent="0.25">
      <c r="A75" t="s">
        <v>665</v>
      </c>
      <c r="B75">
        <v>700000</v>
      </c>
      <c r="C75">
        <v>125000</v>
      </c>
      <c r="D75">
        <v>100000</v>
      </c>
    </row>
    <row r="76" spans="1:4" x14ac:dyDescent="0.25">
      <c r="A76" t="s">
        <v>666</v>
      </c>
      <c r="B76">
        <v>625000</v>
      </c>
      <c r="C76">
        <v>125000</v>
      </c>
      <c r="D76">
        <v>100000</v>
      </c>
    </row>
    <row r="77" spans="1:4" x14ac:dyDescent="0.25">
      <c r="A77" t="s">
        <v>667</v>
      </c>
      <c r="B77">
        <v>700000</v>
      </c>
      <c r="C77">
        <v>125000</v>
      </c>
      <c r="D77">
        <v>125000</v>
      </c>
    </row>
    <row r="78" spans="1:4" x14ac:dyDescent="0.25">
      <c r="A78" t="s">
        <v>668</v>
      </c>
      <c r="B78">
        <v>525000</v>
      </c>
      <c r="C78">
        <v>100000</v>
      </c>
      <c r="D78">
        <v>125000</v>
      </c>
    </row>
    <row r="79" spans="1:4" x14ac:dyDescent="0.25">
      <c r="A79" t="s">
        <v>669</v>
      </c>
      <c r="B79">
        <v>575000</v>
      </c>
      <c r="C79">
        <v>150000</v>
      </c>
      <c r="D79">
        <v>175000</v>
      </c>
    </row>
    <row r="80" spans="1:4" x14ac:dyDescent="0.25">
      <c r="A80" t="s">
        <v>670</v>
      </c>
      <c r="B80">
        <v>225000</v>
      </c>
      <c r="C80">
        <v>60000</v>
      </c>
      <c r="D80">
        <v>80000</v>
      </c>
    </row>
    <row r="81" spans="1:4" x14ac:dyDescent="0.25">
      <c r="A81" t="s">
        <v>671</v>
      </c>
      <c r="B81">
        <v>325000</v>
      </c>
      <c r="C81">
        <v>80000</v>
      </c>
      <c r="D81">
        <v>100000</v>
      </c>
    </row>
    <row r="82" spans="1:4" x14ac:dyDescent="0.25">
      <c r="A82" t="s">
        <v>672</v>
      </c>
      <c r="B82">
        <v>250000</v>
      </c>
      <c r="C82">
        <v>90000</v>
      </c>
      <c r="D82">
        <v>150000</v>
      </c>
    </row>
    <row r="83" spans="1:4" x14ac:dyDescent="0.25">
      <c r="A83" t="s">
        <v>673</v>
      </c>
      <c r="B83">
        <v>200000</v>
      </c>
      <c r="C83">
        <v>80000</v>
      </c>
      <c r="D83">
        <v>100000</v>
      </c>
    </row>
    <row r="84" spans="1:4" x14ac:dyDescent="0.25">
      <c r="A84" t="s">
        <v>674</v>
      </c>
      <c r="B84">
        <v>200000</v>
      </c>
      <c r="C84">
        <v>70000</v>
      </c>
      <c r="D84">
        <v>100000</v>
      </c>
    </row>
    <row r="85" spans="1:4" x14ac:dyDescent="0.25">
      <c r="A85" t="s">
        <v>675</v>
      </c>
      <c r="B85">
        <v>175000</v>
      </c>
      <c r="C85">
        <v>70000</v>
      </c>
      <c r="D85">
        <v>100000</v>
      </c>
    </row>
    <row r="86" spans="1:4" x14ac:dyDescent="0.25">
      <c r="A86" t="s">
        <v>676</v>
      </c>
      <c r="B86">
        <v>175000</v>
      </c>
      <c r="C86">
        <v>60000</v>
      </c>
      <c r="D86">
        <v>125000</v>
      </c>
    </row>
    <row r="87" spans="1:4" x14ac:dyDescent="0.25">
      <c r="A87" t="s">
        <v>677</v>
      </c>
      <c r="B87">
        <v>175000</v>
      </c>
      <c r="C87">
        <v>50000</v>
      </c>
      <c r="D87">
        <v>125000</v>
      </c>
    </row>
    <row r="88" spans="1:4" x14ac:dyDescent="0.25">
      <c r="A88" t="s">
        <v>678</v>
      </c>
      <c r="B88">
        <v>175000</v>
      </c>
      <c r="C88">
        <v>50000</v>
      </c>
      <c r="D88">
        <v>125000</v>
      </c>
    </row>
    <row r="89" spans="1:4" x14ac:dyDescent="0.25">
      <c r="A89" t="s">
        <v>679</v>
      </c>
      <c r="B89">
        <v>275000</v>
      </c>
      <c r="C89">
        <v>70000</v>
      </c>
      <c r="D89">
        <v>150000</v>
      </c>
    </row>
    <row r="90" spans="1:4" x14ac:dyDescent="0.25">
      <c r="A90" t="s">
        <v>680</v>
      </c>
      <c r="B90">
        <v>200000</v>
      </c>
      <c r="C90">
        <v>90000</v>
      </c>
      <c r="D90">
        <v>100000</v>
      </c>
    </row>
    <row r="91" spans="1:4" x14ac:dyDescent="0.25">
      <c r="A91" t="s">
        <v>681</v>
      </c>
      <c r="B91">
        <v>225000</v>
      </c>
      <c r="C91">
        <v>90000</v>
      </c>
      <c r="D91">
        <v>125000</v>
      </c>
    </row>
    <row r="92" spans="1:4" x14ac:dyDescent="0.25">
      <c r="A92" t="s">
        <v>682</v>
      </c>
      <c r="B92">
        <v>275000</v>
      </c>
      <c r="C92">
        <v>90000</v>
      </c>
      <c r="D92">
        <v>150000</v>
      </c>
    </row>
    <row r="93" spans="1:4" x14ac:dyDescent="0.25">
      <c r="A93" t="s">
        <v>683</v>
      </c>
      <c r="B93">
        <v>225000</v>
      </c>
      <c r="C93">
        <v>80000</v>
      </c>
      <c r="D93">
        <v>125000</v>
      </c>
    </row>
    <row r="94" spans="1:4" x14ac:dyDescent="0.25">
      <c r="A94" t="s">
        <v>684</v>
      </c>
      <c r="B94">
        <v>300000</v>
      </c>
      <c r="C94">
        <v>100000</v>
      </c>
      <c r="D94">
        <v>125000</v>
      </c>
    </row>
    <row r="95" spans="1:4" x14ac:dyDescent="0.25">
      <c r="A95" t="s">
        <v>685</v>
      </c>
      <c r="B95">
        <v>200000</v>
      </c>
      <c r="C95">
        <v>70000</v>
      </c>
      <c r="D95">
        <v>90000</v>
      </c>
    </row>
    <row r="96" spans="1:4" x14ac:dyDescent="0.25">
      <c r="A96" t="s">
        <v>686</v>
      </c>
      <c r="B96">
        <v>225000</v>
      </c>
      <c r="C96">
        <v>70000</v>
      </c>
      <c r="D96">
        <v>100000</v>
      </c>
    </row>
    <row r="97" spans="1:4" x14ac:dyDescent="0.25">
      <c r="A97" t="s">
        <v>687</v>
      </c>
      <c r="B97">
        <v>275000</v>
      </c>
      <c r="C97">
        <v>80000</v>
      </c>
      <c r="D97">
        <v>125000</v>
      </c>
    </row>
    <row r="98" spans="1:4" x14ac:dyDescent="0.25">
      <c r="A98" t="s">
        <v>688</v>
      </c>
      <c r="B98">
        <v>325000</v>
      </c>
      <c r="C98">
        <v>100000</v>
      </c>
      <c r="D98">
        <v>100000</v>
      </c>
    </row>
    <row r="99" spans="1:4" x14ac:dyDescent="0.25">
      <c r="A99" t="s">
        <v>689</v>
      </c>
      <c r="B99">
        <v>200000</v>
      </c>
      <c r="C99">
        <v>90000</v>
      </c>
      <c r="D99">
        <v>150000</v>
      </c>
    </row>
    <row r="100" spans="1:4" x14ac:dyDescent="0.25">
      <c r="A100" t="s">
        <v>690</v>
      </c>
      <c r="B100">
        <v>225000</v>
      </c>
      <c r="C100">
        <v>100000</v>
      </c>
      <c r="D100">
        <v>150000</v>
      </c>
    </row>
    <row r="101" spans="1:4" x14ac:dyDescent="0.25">
      <c r="A101" t="s">
        <v>691</v>
      </c>
      <c r="B101">
        <v>225000</v>
      </c>
      <c r="C101">
        <v>90000</v>
      </c>
      <c r="D101">
        <v>150000</v>
      </c>
    </row>
    <row r="102" spans="1:4" x14ac:dyDescent="0.25">
      <c r="A102" t="s">
        <v>692</v>
      </c>
      <c r="B102">
        <v>300000</v>
      </c>
      <c r="C102">
        <v>150000</v>
      </c>
      <c r="D102">
        <v>175000</v>
      </c>
    </row>
    <row r="103" spans="1:4" x14ac:dyDescent="0.25">
      <c r="A103" t="s">
        <v>693</v>
      </c>
      <c r="B103">
        <v>325000</v>
      </c>
      <c r="C103">
        <v>100000</v>
      </c>
      <c r="D103">
        <v>175000</v>
      </c>
    </row>
    <row r="104" spans="1:4" x14ac:dyDescent="0.25">
      <c r="A104" t="s">
        <v>694</v>
      </c>
      <c r="B104">
        <v>175000</v>
      </c>
      <c r="C104">
        <v>60000</v>
      </c>
      <c r="D104">
        <v>100000</v>
      </c>
    </row>
    <row r="105" spans="1:4" x14ac:dyDescent="0.25">
      <c r="A105" t="s">
        <v>695</v>
      </c>
      <c r="B105">
        <v>200000</v>
      </c>
      <c r="C105">
        <v>80000</v>
      </c>
      <c r="D105">
        <v>125000</v>
      </c>
    </row>
    <row r="106" spans="1:4" x14ac:dyDescent="0.25">
      <c r="A106" t="s">
        <v>696</v>
      </c>
      <c r="B106">
        <v>200000</v>
      </c>
      <c r="C106">
        <v>50000</v>
      </c>
      <c r="D106">
        <v>125000</v>
      </c>
    </row>
    <row r="107" spans="1:4" x14ac:dyDescent="0.25">
      <c r="A107" t="s">
        <v>697</v>
      </c>
      <c r="B107">
        <v>175000</v>
      </c>
      <c r="C107">
        <v>50000</v>
      </c>
      <c r="D107">
        <v>125000</v>
      </c>
    </row>
    <row r="108" spans="1:4" x14ac:dyDescent="0.25">
      <c r="A108" t="s">
        <v>698</v>
      </c>
      <c r="B108">
        <v>200000</v>
      </c>
      <c r="C108">
        <v>50000</v>
      </c>
      <c r="D108">
        <v>100000</v>
      </c>
    </row>
    <row r="109" spans="1:4" x14ac:dyDescent="0.25">
      <c r="A109" t="s">
        <v>699</v>
      </c>
      <c r="B109">
        <v>200000</v>
      </c>
      <c r="C109">
        <v>50000</v>
      </c>
      <c r="D109">
        <v>100000</v>
      </c>
    </row>
    <row r="110" spans="1:4" x14ac:dyDescent="0.25">
      <c r="A110" t="s">
        <v>700</v>
      </c>
      <c r="B110">
        <v>700000</v>
      </c>
      <c r="C110">
        <v>250000</v>
      </c>
      <c r="D110">
        <v>425000</v>
      </c>
    </row>
    <row r="111" spans="1:4" x14ac:dyDescent="0.25">
      <c r="A111" t="s">
        <v>701</v>
      </c>
      <c r="B111">
        <v>325000</v>
      </c>
      <c r="C111">
        <v>125000</v>
      </c>
      <c r="D111">
        <v>300000</v>
      </c>
    </row>
    <row r="112" spans="1:4" x14ac:dyDescent="0.25">
      <c r="A112" t="s">
        <v>702</v>
      </c>
      <c r="B112">
        <v>575000</v>
      </c>
      <c r="C112">
        <v>100000</v>
      </c>
      <c r="D112">
        <v>400000</v>
      </c>
    </row>
    <row r="113" spans="1:4" x14ac:dyDescent="0.25">
      <c r="A113" t="s">
        <v>703</v>
      </c>
      <c r="B113">
        <v>550000</v>
      </c>
      <c r="C113">
        <v>100000</v>
      </c>
      <c r="D113">
        <v>350000</v>
      </c>
    </row>
    <row r="114" spans="1:4" x14ac:dyDescent="0.25">
      <c r="A114" t="s">
        <v>704</v>
      </c>
      <c r="B114">
        <v>500000</v>
      </c>
      <c r="C114">
        <v>90000</v>
      </c>
      <c r="D114">
        <v>325000</v>
      </c>
    </row>
    <row r="115" spans="1:4" x14ac:dyDescent="0.25">
      <c r="A115" t="s">
        <v>705</v>
      </c>
      <c r="B115">
        <v>475000</v>
      </c>
      <c r="C115">
        <v>90000</v>
      </c>
      <c r="D115">
        <v>250000</v>
      </c>
    </row>
    <row r="116" spans="1:4" x14ac:dyDescent="0.25">
      <c r="A116" t="s">
        <v>706</v>
      </c>
      <c r="B116">
        <v>450000</v>
      </c>
      <c r="C116">
        <v>90000</v>
      </c>
      <c r="D116">
        <v>150000</v>
      </c>
    </row>
    <row r="117" spans="1:4" x14ac:dyDescent="0.25">
      <c r="A117" t="s">
        <v>707</v>
      </c>
      <c r="B117">
        <v>525000</v>
      </c>
      <c r="C117">
        <v>80000</v>
      </c>
      <c r="D117">
        <v>125000</v>
      </c>
    </row>
    <row r="118" spans="1:4" x14ac:dyDescent="0.25">
      <c r="A118" t="s">
        <v>708</v>
      </c>
      <c r="B118">
        <v>550000</v>
      </c>
      <c r="C118">
        <v>70000</v>
      </c>
      <c r="D118">
        <v>125000</v>
      </c>
    </row>
    <row r="119" spans="1:4" x14ac:dyDescent="0.25">
      <c r="A119" t="s">
        <v>709</v>
      </c>
      <c r="B119">
        <v>475000</v>
      </c>
      <c r="C119">
        <v>150000</v>
      </c>
      <c r="D119">
        <v>150000</v>
      </c>
    </row>
    <row r="120" spans="1:4" x14ac:dyDescent="0.25">
      <c r="A120" t="s">
        <v>710</v>
      </c>
      <c r="B120">
        <v>375000</v>
      </c>
      <c r="C120">
        <v>80000</v>
      </c>
      <c r="D120">
        <v>80000</v>
      </c>
    </row>
    <row r="121" spans="1:4" x14ac:dyDescent="0.25">
      <c r="A121" t="s">
        <v>711</v>
      </c>
      <c r="B121">
        <v>350000</v>
      </c>
      <c r="C121">
        <v>80000</v>
      </c>
      <c r="D121">
        <v>80000</v>
      </c>
    </row>
    <row r="122" spans="1:4" x14ac:dyDescent="0.25">
      <c r="A122" t="s">
        <v>712</v>
      </c>
      <c r="B122">
        <v>575000</v>
      </c>
      <c r="C122">
        <v>100000</v>
      </c>
      <c r="D122">
        <v>250000</v>
      </c>
    </row>
    <row r="123" spans="1:4" x14ac:dyDescent="0.25">
      <c r="A123" t="s">
        <v>713</v>
      </c>
      <c r="B123">
        <v>650000</v>
      </c>
      <c r="C123">
        <v>90000</v>
      </c>
      <c r="D123">
        <v>175000</v>
      </c>
    </row>
    <row r="124" spans="1:4" x14ac:dyDescent="0.25">
      <c r="A124" t="s">
        <v>714</v>
      </c>
      <c r="B124">
        <v>550000</v>
      </c>
      <c r="C124">
        <v>90000</v>
      </c>
      <c r="D124">
        <v>150000</v>
      </c>
    </row>
    <row r="125" spans="1:4" x14ac:dyDescent="0.25">
      <c r="A125" t="s">
        <v>715</v>
      </c>
      <c r="B125">
        <v>450000</v>
      </c>
      <c r="C125">
        <v>90000</v>
      </c>
      <c r="D125">
        <v>100000</v>
      </c>
    </row>
    <row r="126" spans="1:4" x14ac:dyDescent="0.25">
      <c r="A126" t="s">
        <v>716</v>
      </c>
      <c r="B126">
        <v>750000</v>
      </c>
      <c r="C126">
        <v>100000</v>
      </c>
      <c r="D126">
        <v>80000</v>
      </c>
    </row>
    <row r="127" spans="1:4" x14ac:dyDescent="0.25">
      <c r="A127" t="s">
        <v>717</v>
      </c>
      <c r="B127">
        <v>650000</v>
      </c>
      <c r="C127">
        <v>125000</v>
      </c>
      <c r="D127">
        <v>175000</v>
      </c>
    </row>
    <row r="128" spans="1:4" x14ac:dyDescent="0.25">
      <c r="A128" t="s">
        <v>718</v>
      </c>
      <c r="B128">
        <v>575000</v>
      </c>
      <c r="C128">
        <v>100000</v>
      </c>
      <c r="D128">
        <v>150000</v>
      </c>
    </row>
    <row r="129" spans="1:4" x14ac:dyDescent="0.25">
      <c r="A129" t="s">
        <v>719</v>
      </c>
      <c r="B129">
        <v>900000</v>
      </c>
      <c r="C129">
        <v>100000</v>
      </c>
      <c r="D129">
        <v>80000</v>
      </c>
    </row>
    <row r="130" spans="1:4" x14ac:dyDescent="0.25">
      <c r="A130" t="s">
        <v>720</v>
      </c>
      <c r="B130">
        <v>450000</v>
      </c>
      <c r="C130">
        <v>125000</v>
      </c>
      <c r="D130">
        <v>90000</v>
      </c>
    </row>
    <row r="131" spans="1:4" x14ac:dyDescent="0.25">
      <c r="A131" t="s">
        <v>721</v>
      </c>
      <c r="B131">
        <v>300000</v>
      </c>
      <c r="C131">
        <v>80000</v>
      </c>
      <c r="D131">
        <v>225000</v>
      </c>
    </row>
    <row r="132" spans="1:4" x14ac:dyDescent="0.25">
      <c r="A132" t="s">
        <v>722</v>
      </c>
      <c r="B132">
        <v>300000</v>
      </c>
      <c r="C132">
        <v>80000</v>
      </c>
      <c r="D132">
        <v>200000</v>
      </c>
    </row>
    <row r="133" spans="1:4" x14ac:dyDescent="0.25">
      <c r="A133" t="s">
        <v>723</v>
      </c>
      <c r="B133">
        <v>250000</v>
      </c>
      <c r="C133">
        <v>80000</v>
      </c>
      <c r="D133">
        <v>150000</v>
      </c>
    </row>
    <row r="134" spans="1:4" x14ac:dyDescent="0.25">
      <c r="A134" t="s">
        <v>724</v>
      </c>
      <c r="B134">
        <v>625000</v>
      </c>
      <c r="C134">
        <v>625000</v>
      </c>
      <c r="D134">
        <v>70000</v>
      </c>
    </row>
    <row r="135" spans="1:4" x14ac:dyDescent="0.25">
      <c r="A135" t="s">
        <v>725</v>
      </c>
      <c r="B135">
        <v>350000</v>
      </c>
      <c r="C135">
        <v>350000</v>
      </c>
      <c r="D135">
        <v>350000</v>
      </c>
    </row>
    <row r="136" spans="1:4" x14ac:dyDescent="0.25">
      <c r="A136" t="s">
        <v>726</v>
      </c>
      <c r="B136">
        <v>1750000</v>
      </c>
      <c r="C136">
        <v>1050000</v>
      </c>
      <c r="D136">
        <v>350000</v>
      </c>
    </row>
    <row r="137" spans="1:4" x14ac:dyDescent="0.25">
      <c r="A137" t="s">
        <v>727</v>
      </c>
      <c r="B137">
        <v>175000</v>
      </c>
      <c r="C137">
        <v>175000</v>
      </c>
      <c r="D137">
        <v>70000</v>
      </c>
    </row>
    <row r="138" spans="1:4" x14ac:dyDescent="0.25">
      <c r="A138" t="s">
        <v>728</v>
      </c>
      <c r="B138">
        <v>900000</v>
      </c>
      <c r="C138">
        <v>900000</v>
      </c>
      <c r="D138">
        <v>100000</v>
      </c>
    </row>
    <row r="139" spans="1:4" x14ac:dyDescent="0.25">
      <c r="A139" t="s">
        <v>729</v>
      </c>
      <c r="B139">
        <v>225000</v>
      </c>
      <c r="C139">
        <v>100000</v>
      </c>
      <c r="D139">
        <v>125000</v>
      </c>
    </row>
    <row r="140" spans="1:4" x14ac:dyDescent="0.25">
      <c r="A140" t="s">
        <v>730</v>
      </c>
      <c r="B140">
        <v>200000</v>
      </c>
      <c r="C140">
        <v>80000</v>
      </c>
      <c r="D140">
        <v>100000</v>
      </c>
    </row>
    <row r="141" spans="1:4" x14ac:dyDescent="0.25">
      <c r="A141" t="s">
        <v>731</v>
      </c>
      <c r="B141">
        <v>200000</v>
      </c>
      <c r="C141">
        <v>80000</v>
      </c>
      <c r="D141">
        <v>125000</v>
      </c>
    </row>
    <row r="142" spans="1:4" x14ac:dyDescent="0.25">
      <c r="A142" t="s">
        <v>732</v>
      </c>
      <c r="B142">
        <v>250000</v>
      </c>
      <c r="C142">
        <v>90000</v>
      </c>
      <c r="D142">
        <v>125000</v>
      </c>
    </row>
    <row r="143" spans="1:4" x14ac:dyDescent="0.25">
      <c r="A143" t="s">
        <v>733</v>
      </c>
      <c r="B143">
        <v>325000</v>
      </c>
      <c r="C143">
        <v>150000</v>
      </c>
      <c r="D143">
        <v>175000</v>
      </c>
    </row>
    <row r="144" spans="1:4" x14ac:dyDescent="0.25">
      <c r="A144" t="s">
        <v>734</v>
      </c>
      <c r="B144">
        <v>350000</v>
      </c>
      <c r="C144">
        <v>150000</v>
      </c>
      <c r="D144">
        <v>200000</v>
      </c>
    </row>
    <row r="145" spans="1:4" x14ac:dyDescent="0.25">
      <c r="A145" t="s">
        <v>735</v>
      </c>
      <c r="B145">
        <v>375000</v>
      </c>
      <c r="C145">
        <v>150000</v>
      </c>
      <c r="D145">
        <v>200000</v>
      </c>
    </row>
    <row r="146" spans="1:4" x14ac:dyDescent="0.25">
      <c r="A146" t="s">
        <v>736</v>
      </c>
      <c r="B146">
        <v>400000</v>
      </c>
      <c r="C146">
        <v>175000</v>
      </c>
      <c r="D146">
        <v>175000</v>
      </c>
    </row>
    <row r="147" spans="1:4" x14ac:dyDescent="0.25">
      <c r="A147" t="s">
        <v>737</v>
      </c>
      <c r="B147">
        <v>400000</v>
      </c>
      <c r="C147">
        <v>150000</v>
      </c>
      <c r="D147">
        <v>150000</v>
      </c>
    </row>
    <row r="148" spans="1:4" x14ac:dyDescent="0.25">
      <c r="A148" t="s">
        <v>738</v>
      </c>
      <c r="B148">
        <v>625000</v>
      </c>
      <c r="C148">
        <v>300000</v>
      </c>
      <c r="D148">
        <v>425000</v>
      </c>
    </row>
    <row r="149" spans="1:4" x14ac:dyDescent="0.25">
      <c r="A149" t="s">
        <v>739</v>
      </c>
      <c r="B149">
        <v>500000</v>
      </c>
      <c r="C149">
        <v>250000</v>
      </c>
      <c r="D149">
        <v>425000</v>
      </c>
    </row>
    <row r="150" spans="1:4" x14ac:dyDescent="0.25">
      <c r="A150" t="s">
        <v>740</v>
      </c>
      <c r="B150">
        <v>575000</v>
      </c>
      <c r="C150">
        <v>300000</v>
      </c>
      <c r="D150">
        <v>550000</v>
      </c>
    </row>
    <row r="151" spans="1:4" x14ac:dyDescent="0.25">
      <c r="A151" t="s">
        <v>741</v>
      </c>
      <c r="B151">
        <v>1200000</v>
      </c>
      <c r="C151">
        <v>225000</v>
      </c>
      <c r="D151">
        <v>175000</v>
      </c>
    </row>
    <row r="152" spans="1:4" x14ac:dyDescent="0.25">
      <c r="A152" t="s">
        <v>742</v>
      </c>
      <c r="B152">
        <v>900000</v>
      </c>
      <c r="C152">
        <v>225000</v>
      </c>
      <c r="D152">
        <v>225000</v>
      </c>
    </row>
    <row r="153" spans="1:4" x14ac:dyDescent="0.25">
      <c r="A153" t="s">
        <v>743</v>
      </c>
      <c r="B153">
        <v>750000</v>
      </c>
      <c r="C153">
        <v>150000</v>
      </c>
      <c r="D153">
        <v>150000</v>
      </c>
    </row>
    <row r="154" spans="1:4" x14ac:dyDescent="0.25">
      <c r="A154" t="s">
        <v>744</v>
      </c>
      <c r="B154">
        <v>800000</v>
      </c>
      <c r="C154">
        <v>450000</v>
      </c>
      <c r="D154">
        <v>450000</v>
      </c>
    </row>
    <row r="155" spans="1:4" x14ac:dyDescent="0.25">
      <c r="A155" t="s">
        <v>745</v>
      </c>
      <c r="B155">
        <v>175000</v>
      </c>
      <c r="C155">
        <v>50000</v>
      </c>
      <c r="D155">
        <v>50000</v>
      </c>
    </row>
    <row r="156" spans="1:4" x14ac:dyDescent="0.25">
      <c r="A156" t="s">
        <v>746</v>
      </c>
      <c r="B156">
        <v>175000</v>
      </c>
      <c r="C156">
        <v>60000</v>
      </c>
      <c r="D156">
        <v>60000</v>
      </c>
    </row>
    <row r="157" spans="1:4" x14ac:dyDescent="0.25">
      <c r="A157" t="s">
        <v>747</v>
      </c>
      <c r="B157">
        <v>450000</v>
      </c>
      <c r="C157">
        <v>200000</v>
      </c>
      <c r="D157">
        <v>300000</v>
      </c>
    </row>
    <row r="158" spans="1:4" x14ac:dyDescent="0.25">
      <c r="A158" t="s">
        <v>748</v>
      </c>
      <c r="B158">
        <v>500000</v>
      </c>
      <c r="C158">
        <v>150000</v>
      </c>
      <c r="D158">
        <v>250000</v>
      </c>
    </row>
    <row r="159" spans="1:4" x14ac:dyDescent="0.25">
      <c r="A159" t="s">
        <v>749</v>
      </c>
      <c r="B159">
        <v>425000</v>
      </c>
      <c r="C159">
        <v>225000</v>
      </c>
      <c r="D159">
        <v>300000</v>
      </c>
    </row>
    <row r="160" spans="1:4" x14ac:dyDescent="0.25">
      <c r="A160" t="s">
        <v>750</v>
      </c>
      <c r="B160">
        <v>375000</v>
      </c>
      <c r="C160">
        <v>150000</v>
      </c>
      <c r="D160">
        <v>250000</v>
      </c>
    </row>
    <row r="161" spans="1:4" x14ac:dyDescent="0.25">
      <c r="A161" t="s">
        <v>751</v>
      </c>
      <c r="B161">
        <v>475000</v>
      </c>
      <c r="C161">
        <v>250000</v>
      </c>
      <c r="D161">
        <v>275000</v>
      </c>
    </row>
    <row r="162" spans="1:4" x14ac:dyDescent="0.25">
      <c r="A162" t="s">
        <v>752</v>
      </c>
      <c r="B162">
        <v>275000</v>
      </c>
      <c r="C162">
        <v>100000</v>
      </c>
      <c r="D162">
        <v>200000</v>
      </c>
    </row>
    <row r="163" spans="1:4" x14ac:dyDescent="0.25">
      <c r="A163" t="s">
        <v>753</v>
      </c>
      <c r="B163">
        <v>375000</v>
      </c>
      <c r="C163">
        <v>60000</v>
      </c>
      <c r="D163">
        <v>60000</v>
      </c>
    </row>
    <row r="164" spans="1:4" x14ac:dyDescent="0.25">
      <c r="A164" t="s">
        <v>754</v>
      </c>
      <c r="B164">
        <v>675000</v>
      </c>
      <c r="C164">
        <v>90000</v>
      </c>
      <c r="D164">
        <v>70000</v>
      </c>
    </row>
    <row r="165" spans="1:4" x14ac:dyDescent="0.25">
      <c r="A165" t="s">
        <v>755</v>
      </c>
      <c r="B165">
        <v>450000</v>
      </c>
      <c r="C165">
        <v>60000</v>
      </c>
      <c r="D165">
        <v>60000</v>
      </c>
    </row>
    <row r="166" spans="1:4" x14ac:dyDescent="0.25">
      <c r="A166" t="s">
        <v>756</v>
      </c>
      <c r="B166">
        <v>375000</v>
      </c>
      <c r="C166">
        <v>70000</v>
      </c>
      <c r="D166">
        <v>60000</v>
      </c>
    </row>
    <row r="167" spans="1:4" x14ac:dyDescent="0.25">
      <c r="A167" t="s">
        <v>757</v>
      </c>
      <c r="B167">
        <v>425000</v>
      </c>
      <c r="C167">
        <v>90000</v>
      </c>
      <c r="D167">
        <v>100000</v>
      </c>
    </row>
    <row r="168" spans="1:4" x14ac:dyDescent="0.25">
      <c r="A168" t="s">
        <v>758</v>
      </c>
      <c r="B168">
        <v>275000</v>
      </c>
      <c r="C168">
        <v>90000</v>
      </c>
      <c r="D168">
        <v>200000</v>
      </c>
    </row>
    <row r="169" spans="1:4" x14ac:dyDescent="0.25">
      <c r="A169" t="s">
        <v>759</v>
      </c>
      <c r="B169">
        <v>275000</v>
      </c>
      <c r="C169">
        <v>225000</v>
      </c>
      <c r="D169">
        <v>225000</v>
      </c>
    </row>
    <row r="170" spans="1:4" x14ac:dyDescent="0.25">
      <c r="A170" t="s">
        <v>760</v>
      </c>
      <c r="B170">
        <v>550000</v>
      </c>
      <c r="C170">
        <v>225000</v>
      </c>
      <c r="D170">
        <v>375000</v>
      </c>
    </row>
    <row r="171" spans="1:4" x14ac:dyDescent="0.25">
      <c r="A171" t="s">
        <v>761</v>
      </c>
      <c r="B171">
        <v>425000</v>
      </c>
      <c r="C171">
        <v>150000</v>
      </c>
      <c r="D171">
        <v>300000</v>
      </c>
    </row>
    <row r="172" spans="1:4" x14ac:dyDescent="0.25">
      <c r="A172" t="s">
        <v>762</v>
      </c>
      <c r="B172">
        <v>375000</v>
      </c>
      <c r="C172">
        <v>150000</v>
      </c>
      <c r="D172">
        <v>300000</v>
      </c>
    </row>
    <row r="173" spans="1:4" x14ac:dyDescent="0.25">
      <c r="A173" t="s">
        <v>763</v>
      </c>
      <c r="B173">
        <v>650000</v>
      </c>
      <c r="C173">
        <v>350000</v>
      </c>
      <c r="D173">
        <v>450000</v>
      </c>
    </row>
    <row r="174" spans="1:4" x14ac:dyDescent="0.25">
      <c r="A174" t="s">
        <v>764</v>
      </c>
      <c r="B174">
        <v>725000</v>
      </c>
      <c r="C174">
        <v>300000</v>
      </c>
      <c r="D174">
        <v>375000</v>
      </c>
    </row>
    <row r="175" spans="1:4" x14ac:dyDescent="0.25">
      <c r="A175" t="s">
        <v>765</v>
      </c>
      <c r="B175">
        <v>725000</v>
      </c>
      <c r="C175">
        <v>325000</v>
      </c>
      <c r="D175">
        <v>475000</v>
      </c>
    </row>
    <row r="176" spans="1:4" x14ac:dyDescent="0.25">
      <c r="A176" t="s">
        <v>766</v>
      </c>
      <c r="B176">
        <v>650000</v>
      </c>
      <c r="C176">
        <v>275000</v>
      </c>
      <c r="D176">
        <v>400000</v>
      </c>
    </row>
    <row r="177" spans="1:4" x14ac:dyDescent="0.25">
      <c r="A177" t="s">
        <v>767</v>
      </c>
      <c r="B177">
        <v>575000</v>
      </c>
      <c r="C177">
        <v>225000</v>
      </c>
      <c r="D177">
        <v>350000</v>
      </c>
    </row>
    <row r="178" spans="1:4" x14ac:dyDescent="0.25">
      <c r="A178" t="s">
        <v>768</v>
      </c>
      <c r="B178">
        <v>500000</v>
      </c>
      <c r="C178">
        <v>200000</v>
      </c>
      <c r="D178">
        <v>250000</v>
      </c>
    </row>
    <row r="179" spans="1:4" x14ac:dyDescent="0.25">
      <c r="A179" t="s">
        <v>769</v>
      </c>
      <c r="B179">
        <v>500000</v>
      </c>
      <c r="C179">
        <v>200000</v>
      </c>
      <c r="D179">
        <v>275000</v>
      </c>
    </row>
    <row r="180" spans="1:4" x14ac:dyDescent="0.25">
      <c r="A180" t="s">
        <v>770</v>
      </c>
      <c r="B180">
        <v>550000</v>
      </c>
      <c r="C180">
        <v>200000</v>
      </c>
      <c r="D180">
        <v>300000</v>
      </c>
    </row>
    <row r="181" spans="1:4" x14ac:dyDescent="0.25">
      <c r="A181" t="s">
        <v>771</v>
      </c>
      <c r="B181">
        <v>625000</v>
      </c>
      <c r="C181">
        <v>225000</v>
      </c>
      <c r="D181">
        <v>300000</v>
      </c>
    </row>
    <row r="182" spans="1:4" x14ac:dyDescent="0.25">
      <c r="A182" t="s">
        <v>772</v>
      </c>
      <c r="B182">
        <v>500000</v>
      </c>
      <c r="C182">
        <v>175000</v>
      </c>
      <c r="D182">
        <v>225000</v>
      </c>
    </row>
    <row r="183" spans="1:4" x14ac:dyDescent="0.25">
      <c r="A183" t="s">
        <v>773</v>
      </c>
      <c r="B183">
        <v>575000</v>
      </c>
      <c r="C183">
        <v>175000</v>
      </c>
      <c r="D183">
        <v>225000</v>
      </c>
    </row>
    <row r="184" spans="1:4" x14ac:dyDescent="0.25">
      <c r="A184" t="s">
        <v>774</v>
      </c>
      <c r="B184">
        <v>475000</v>
      </c>
      <c r="C184">
        <v>150000</v>
      </c>
      <c r="D184">
        <v>200000</v>
      </c>
    </row>
    <row r="185" spans="1:4" x14ac:dyDescent="0.25">
      <c r="A185" t="s">
        <v>775</v>
      </c>
      <c r="B185">
        <v>575000</v>
      </c>
      <c r="C185">
        <v>150000</v>
      </c>
      <c r="D185">
        <v>200000</v>
      </c>
    </row>
    <row r="186" spans="1:4" x14ac:dyDescent="0.25">
      <c r="A186" t="s">
        <v>776</v>
      </c>
      <c r="B186">
        <v>475000</v>
      </c>
      <c r="C186">
        <v>250000</v>
      </c>
      <c r="D186">
        <v>250000</v>
      </c>
    </row>
    <row r="187" spans="1:4" x14ac:dyDescent="0.25">
      <c r="A187" t="s">
        <v>777</v>
      </c>
      <c r="B187">
        <v>550000</v>
      </c>
      <c r="C187">
        <v>150000</v>
      </c>
      <c r="D187">
        <v>175000</v>
      </c>
    </row>
    <row r="188" spans="1:4" x14ac:dyDescent="0.25">
      <c r="A188" t="s">
        <v>778</v>
      </c>
      <c r="B188">
        <v>375000</v>
      </c>
      <c r="C188">
        <v>125000</v>
      </c>
      <c r="D188">
        <v>150000</v>
      </c>
    </row>
    <row r="189" spans="1:4" x14ac:dyDescent="0.25">
      <c r="A189" t="s">
        <v>779</v>
      </c>
      <c r="B189">
        <v>400000</v>
      </c>
      <c r="C189">
        <v>125000</v>
      </c>
      <c r="D189">
        <v>150000</v>
      </c>
    </row>
    <row r="190" spans="1:4" x14ac:dyDescent="0.25">
      <c r="A190" t="s">
        <v>780</v>
      </c>
      <c r="B190">
        <v>400000</v>
      </c>
      <c r="C190">
        <v>125000</v>
      </c>
      <c r="D190">
        <v>150000</v>
      </c>
    </row>
    <row r="191" spans="1:4" x14ac:dyDescent="0.25">
      <c r="A191" t="s">
        <v>781</v>
      </c>
      <c r="B191">
        <v>450000</v>
      </c>
      <c r="C191">
        <v>100000</v>
      </c>
      <c r="D191">
        <v>100000</v>
      </c>
    </row>
    <row r="192" spans="1:4" x14ac:dyDescent="0.25">
      <c r="A192" t="s">
        <v>782</v>
      </c>
      <c r="B192">
        <v>475000</v>
      </c>
      <c r="C192">
        <v>100000</v>
      </c>
      <c r="D192">
        <v>100000</v>
      </c>
    </row>
    <row r="193" spans="1:4" x14ac:dyDescent="0.25">
      <c r="A193" t="s">
        <v>783</v>
      </c>
      <c r="B193">
        <v>500000</v>
      </c>
      <c r="C193">
        <v>100000</v>
      </c>
      <c r="D193">
        <v>125000</v>
      </c>
    </row>
    <row r="194" spans="1:4" x14ac:dyDescent="0.25">
      <c r="A194" t="s">
        <v>784</v>
      </c>
      <c r="B194">
        <v>575000</v>
      </c>
      <c r="C194">
        <v>125000</v>
      </c>
      <c r="D194">
        <v>125000</v>
      </c>
    </row>
    <row r="195" spans="1:4" x14ac:dyDescent="0.25">
      <c r="A195" t="s">
        <v>785</v>
      </c>
      <c r="B195">
        <v>375000</v>
      </c>
      <c r="C195">
        <v>90000</v>
      </c>
      <c r="D195">
        <v>125000</v>
      </c>
    </row>
    <row r="196" spans="1:4" x14ac:dyDescent="0.25">
      <c r="A196" t="s">
        <v>786</v>
      </c>
      <c r="B196">
        <v>350000</v>
      </c>
      <c r="C196">
        <v>275000</v>
      </c>
      <c r="D196">
        <v>80000</v>
      </c>
    </row>
    <row r="197" spans="1:4" x14ac:dyDescent="0.25">
      <c r="A197" t="s">
        <v>787</v>
      </c>
      <c r="B197">
        <v>450000</v>
      </c>
      <c r="C197">
        <v>175000</v>
      </c>
      <c r="D197">
        <v>175000</v>
      </c>
    </row>
    <row r="198" spans="1:4" x14ac:dyDescent="0.25">
      <c r="A198" t="s">
        <v>788</v>
      </c>
      <c r="B198">
        <v>500000</v>
      </c>
      <c r="C198">
        <v>175000</v>
      </c>
      <c r="D198">
        <v>325000</v>
      </c>
    </row>
    <row r="199" spans="1:4" x14ac:dyDescent="0.25">
      <c r="A199" t="s">
        <v>789</v>
      </c>
      <c r="B199">
        <v>550000</v>
      </c>
      <c r="C199">
        <v>200000</v>
      </c>
      <c r="D199">
        <v>325000</v>
      </c>
    </row>
    <row r="200" spans="1:4" x14ac:dyDescent="0.25">
      <c r="A200" t="s">
        <v>790</v>
      </c>
      <c r="B200">
        <v>700000</v>
      </c>
      <c r="C200">
        <v>200000</v>
      </c>
      <c r="D200">
        <v>425000</v>
      </c>
    </row>
    <row r="201" spans="1:4" x14ac:dyDescent="0.25">
      <c r="A201" t="s">
        <v>791</v>
      </c>
      <c r="B201">
        <v>450000</v>
      </c>
      <c r="C201">
        <v>200000</v>
      </c>
      <c r="D201">
        <v>300000</v>
      </c>
    </row>
    <row r="202" spans="1:4" x14ac:dyDescent="0.25">
      <c r="A202" t="s">
        <v>792</v>
      </c>
      <c r="B202">
        <v>500000</v>
      </c>
      <c r="C202">
        <v>225000</v>
      </c>
      <c r="D202">
        <v>300000</v>
      </c>
    </row>
    <row r="203" spans="1:4" x14ac:dyDescent="0.25">
      <c r="A203" t="s">
        <v>793</v>
      </c>
      <c r="B203">
        <v>3000000</v>
      </c>
      <c r="C203">
        <v>175000</v>
      </c>
      <c r="D203">
        <v>250000</v>
      </c>
    </row>
    <row r="204" spans="1:4" x14ac:dyDescent="0.25">
      <c r="A204" t="s">
        <v>794</v>
      </c>
      <c r="B204">
        <v>550000</v>
      </c>
      <c r="C204">
        <v>125000</v>
      </c>
      <c r="D204">
        <v>100000</v>
      </c>
    </row>
    <row r="205" spans="1:4" x14ac:dyDescent="0.25">
      <c r="A205" t="s">
        <v>795</v>
      </c>
      <c r="B205">
        <v>650000</v>
      </c>
      <c r="C205">
        <v>125000</v>
      </c>
      <c r="D205">
        <v>150000</v>
      </c>
    </row>
    <row r="206" spans="1:4" x14ac:dyDescent="0.25">
      <c r="A206" t="s">
        <v>796</v>
      </c>
      <c r="B206">
        <v>450000</v>
      </c>
      <c r="C206">
        <v>100000</v>
      </c>
      <c r="D206">
        <v>100000</v>
      </c>
    </row>
    <row r="207" spans="1:4" x14ac:dyDescent="0.25">
      <c r="A207" t="s">
        <v>797</v>
      </c>
      <c r="B207">
        <v>750000</v>
      </c>
      <c r="C207">
        <v>300000</v>
      </c>
      <c r="D207">
        <v>425000</v>
      </c>
    </row>
    <row r="208" spans="1:4" x14ac:dyDescent="0.25">
      <c r="A208" t="s">
        <v>798</v>
      </c>
      <c r="B208">
        <v>550000</v>
      </c>
      <c r="C208">
        <v>225000</v>
      </c>
      <c r="D208">
        <v>325000</v>
      </c>
    </row>
    <row r="209" spans="1:4" x14ac:dyDescent="0.25">
      <c r="A209" t="s">
        <v>799</v>
      </c>
      <c r="B209">
        <v>950000</v>
      </c>
      <c r="C209">
        <v>100000</v>
      </c>
      <c r="D209">
        <v>950000</v>
      </c>
    </row>
    <row r="210" spans="1:4" x14ac:dyDescent="0.25">
      <c r="A210" t="s">
        <v>800</v>
      </c>
      <c r="B210">
        <v>275000</v>
      </c>
      <c r="C210">
        <v>100000</v>
      </c>
      <c r="D210">
        <v>200000</v>
      </c>
    </row>
    <row r="211" spans="1:4" x14ac:dyDescent="0.25">
      <c r="A211" t="s">
        <v>801</v>
      </c>
      <c r="B211">
        <v>425000</v>
      </c>
      <c r="C211">
        <v>80000</v>
      </c>
      <c r="D211">
        <v>125000</v>
      </c>
    </row>
    <row r="212" spans="1:4" x14ac:dyDescent="0.25">
      <c r="A212" t="s">
        <v>802</v>
      </c>
      <c r="B212">
        <v>3000000</v>
      </c>
      <c r="C212">
        <v>150000</v>
      </c>
      <c r="D212">
        <v>3000000</v>
      </c>
    </row>
    <row r="213" spans="1:4" x14ac:dyDescent="0.25">
      <c r="A213" t="s">
        <v>803</v>
      </c>
      <c r="B213">
        <v>475000</v>
      </c>
      <c r="C213">
        <v>80000</v>
      </c>
      <c r="D213">
        <v>125000</v>
      </c>
    </row>
    <row r="214" spans="1:4" x14ac:dyDescent="0.25">
      <c r="A214" t="s">
        <v>804</v>
      </c>
      <c r="B214">
        <v>425000</v>
      </c>
      <c r="C214">
        <v>80000</v>
      </c>
      <c r="D214">
        <v>90000</v>
      </c>
    </row>
    <row r="215" spans="1:4" x14ac:dyDescent="0.25">
      <c r="A215" t="s">
        <v>805</v>
      </c>
      <c r="B215">
        <v>375000</v>
      </c>
      <c r="C215">
        <v>150000</v>
      </c>
      <c r="D215">
        <v>150000</v>
      </c>
    </row>
    <row r="216" spans="1:4" x14ac:dyDescent="0.25">
      <c r="A216" t="s">
        <v>806</v>
      </c>
      <c r="B216">
        <v>375000</v>
      </c>
      <c r="C216">
        <v>90000</v>
      </c>
      <c r="D216">
        <v>80000</v>
      </c>
    </row>
    <row r="217" spans="1:4" x14ac:dyDescent="0.25">
      <c r="A217" t="s">
        <v>807</v>
      </c>
      <c r="B217">
        <v>700000</v>
      </c>
      <c r="C217">
        <v>90000</v>
      </c>
      <c r="D217">
        <v>80000</v>
      </c>
    </row>
    <row r="218" spans="1:4" x14ac:dyDescent="0.25">
      <c r="A218" t="s">
        <v>808</v>
      </c>
      <c r="B218">
        <v>225000</v>
      </c>
      <c r="C218">
        <v>60000</v>
      </c>
      <c r="D218">
        <v>175000</v>
      </c>
    </row>
    <row r="219" spans="1:4" x14ac:dyDescent="0.25">
      <c r="A219" t="s">
        <v>809</v>
      </c>
      <c r="B219">
        <v>600000</v>
      </c>
      <c r="C219">
        <v>175000</v>
      </c>
      <c r="D219">
        <v>450000</v>
      </c>
    </row>
    <row r="220" spans="1:4" x14ac:dyDescent="0.25">
      <c r="A220" t="s">
        <v>810</v>
      </c>
      <c r="B220">
        <v>550000</v>
      </c>
      <c r="C220">
        <v>225000</v>
      </c>
      <c r="D220">
        <v>300000</v>
      </c>
    </row>
    <row r="221" spans="1:4" x14ac:dyDescent="0.25">
      <c r="A221" t="s">
        <v>811</v>
      </c>
      <c r="B221">
        <v>550000</v>
      </c>
      <c r="C221">
        <v>300000</v>
      </c>
      <c r="D221">
        <v>350000</v>
      </c>
    </row>
    <row r="222" spans="1:4" x14ac:dyDescent="0.25">
      <c r="A222" t="s">
        <v>812</v>
      </c>
      <c r="B222">
        <v>525000</v>
      </c>
      <c r="C222">
        <v>275000</v>
      </c>
      <c r="D222">
        <v>275000</v>
      </c>
    </row>
    <row r="223" spans="1:4" x14ac:dyDescent="0.25">
      <c r="A223" t="s">
        <v>813</v>
      </c>
      <c r="B223">
        <v>525000</v>
      </c>
      <c r="C223">
        <v>250000</v>
      </c>
      <c r="D223">
        <v>375000</v>
      </c>
    </row>
    <row r="224" spans="1:4" x14ac:dyDescent="0.25">
      <c r="A224" t="s">
        <v>814</v>
      </c>
      <c r="B224">
        <v>275000</v>
      </c>
      <c r="C224">
        <v>100000</v>
      </c>
      <c r="D224">
        <v>175000</v>
      </c>
    </row>
    <row r="225" spans="1:4" x14ac:dyDescent="0.25">
      <c r="A225" t="s">
        <v>815</v>
      </c>
      <c r="B225">
        <v>625000</v>
      </c>
      <c r="C225">
        <v>225000</v>
      </c>
      <c r="D225">
        <v>450000</v>
      </c>
    </row>
    <row r="226" spans="1:4" x14ac:dyDescent="0.25">
      <c r="A226" t="s">
        <v>816</v>
      </c>
      <c r="B226">
        <v>750000</v>
      </c>
      <c r="C226">
        <v>275000</v>
      </c>
      <c r="D226">
        <v>550000</v>
      </c>
    </row>
    <row r="227" spans="1:4" x14ac:dyDescent="0.25">
      <c r="A227" t="s">
        <v>817</v>
      </c>
      <c r="B227">
        <v>1300000</v>
      </c>
      <c r="C227">
        <v>275000</v>
      </c>
      <c r="D227">
        <v>200000</v>
      </c>
    </row>
    <row r="228" spans="1:4" x14ac:dyDescent="0.25">
      <c r="A228" t="s">
        <v>818</v>
      </c>
      <c r="B228">
        <v>500000</v>
      </c>
      <c r="C228">
        <v>225000</v>
      </c>
      <c r="D228">
        <v>375000</v>
      </c>
    </row>
    <row r="229" spans="1:4" x14ac:dyDescent="0.25">
      <c r="A229" t="s">
        <v>819</v>
      </c>
      <c r="B229">
        <v>250000</v>
      </c>
      <c r="C229">
        <v>150000</v>
      </c>
      <c r="D229">
        <v>175000</v>
      </c>
    </row>
    <row r="230" spans="1:4" x14ac:dyDescent="0.25">
      <c r="A230" t="s">
        <v>820</v>
      </c>
      <c r="B230">
        <v>400000</v>
      </c>
      <c r="C230">
        <v>250000</v>
      </c>
      <c r="D230">
        <v>250000</v>
      </c>
    </row>
    <row r="231" spans="1:4" x14ac:dyDescent="0.25">
      <c r="A231" t="s">
        <v>821</v>
      </c>
      <c r="B231">
        <v>275000</v>
      </c>
      <c r="C231">
        <v>125000</v>
      </c>
      <c r="D231">
        <v>200000</v>
      </c>
    </row>
    <row r="232" spans="1:4" x14ac:dyDescent="0.25">
      <c r="A232" t="s">
        <v>822</v>
      </c>
      <c r="B232">
        <v>700000</v>
      </c>
      <c r="C232">
        <v>275000</v>
      </c>
      <c r="D232">
        <v>575000</v>
      </c>
    </row>
    <row r="233" spans="1:4" x14ac:dyDescent="0.25">
      <c r="A233" t="s">
        <v>823</v>
      </c>
      <c r="B233">
        <v>550000</v>
      </c>
      <c r="C233">
        <v>300000</v>
      </c>
      <c r="D233">
        <v>425000</v>
      </c>
    </row>
    <row r="234" spans="1:4" x14ac:dyDescent="0.25">
      <c r="A234" t="s">
        <v>824</v>
      </c>
      <c r="B234">
        <v>300000</v>
      </c>
      <c r="C234">
        <v>60000</v>
      </c>
      <c r="D234">
        <v>275000</v>
      </c>
    </row>
    <row r="235" spans="1:4" x14ac:dyDescent="0.25">
      <c r="A235" t="s">
        <v>825</v>
      </c>
      <c r="B235">
        <v>525000</v>
      </c>
      <c r="C235">
        <v>150000</v>
      </c>
      <c r="D235">
        <v>225000</v>
      </c>
    </row>
    <row r="236" spans="1:4" x14ac:dyDescent="0.25">
      <c r="A236" t="s">
        <v>826</v>
      </c>
      <c r="B236">
        <v>825000</v>
      </c>
      <c r="C236">
        <v>175000</v>
      </c>
      <c r="D236">
        <v>175000</v>
      </c>
    </row>
    <row r="237" spans="1:4" x14ac:dyDescent="0.25">
      <c r="A237" t="s">
        <v>827</v>
      </c>
      <c r="B237">
        <v>400000</v>
      </c>
      <c r="C237">
        <v>100000</v>
      </c>
      <c r="D237">
        <v>100000</v>
      </c>
    </row>
    <row r="238" spans="1:4" x14ac:dyDescent="0.25">
      <c r="A238" t="s">
        <v>828</v>
      </c>
      <c r="B238">
        <v>450000</v>
      </c>
      <c r="C238">
        <v>175000</v>
      </c>
      <c r="D238">
        <v>375000</v>
      </c>
    </row>
    <row r="239" spans="1:4" x14ac:dyDescent="0.25">
      <c r="A239" t="s">
        <v>829</v>
      </c>
      <c r="B239">
        <v>425000</v>
      </c>
      <c r="C239">
        <v>90000</v>
      </c>
      <c r="D239">
        <v>375000</v>
      </c>
    </row>
    <row r="240" spans="1:4" x14ac:dyDescent="0.25">
      <c r="A240" t="s">
        <v>830</v>
      </c>
      <c r="B240">
        <v>325000</v>
      </c>
      <c r="C240">
        <v>150000</v>
      </c>
      <c r="D240">
        <v>275000</v>
      </c>
    </row>
    <row r="241" spans="1:4" x14ac:dyDescent="0.25">
      <c r="A241" t="s">
        <v>831</v>
      </c>
      <c r="B241">
        <v>400000</v>
      </c>
      <c r="C241">
        <v>150000</v>
      </c>
      <c r="D241">
        <v>225000</v>
      </c>
    </row>
    <row r="242" spans="1:4" x14ac:dyDescent="0.25">
      <c r="A242" t="s">
        <v>832</v>
      </c>
      <c r="B242">
        <v>475000</v>
      </c>
      <c r="C242">
        <v>200000</v>
      </c>
      <c r="D242">
        <v>275000</v>
      </c>
    </row>
    <row r="243" spans="1:4" x14ac:dyDescent="0.25">
      <c r="A243" t="s">
        <v>833</v>
      </c>
      <c r="B243">
        <v>325000</v>
      </c>
      <c r="C243">
        <v>50000</v>
      </c>
      <c r="D243">
        <v>300000</v>
      </c>
    </row>
    <row r="244" spans="1:4" x14ac:dyDescent="0.25">
      <c r="A244" t="s">
        <v>834</v>
      </c>
      <c r="B244">
        <v>275000</v>
      </c>
      <c r="C244">
        <v>125000</v>
      </c>
      <c r="D244">
        <v>150000</v>
      </c>
    </row>
    <row r="245" spans="1:4" x14ac:dyDescent="0.25">
      <c r="A245" t="s">
        <v>835</v>
      </c>
      <c r="B245">
        <v>325000</v>
      </c>
      <c r="C245">
        <v>90000</v>
      </c>
      <c r="D245">
        <v>125000</v>
      </c>
    </row>
    <row r="246" spans="1:4" x14ac:dyDescent="0.25">
      <c r="A246" t="s">
        <v>836</v>
      </c>
      <c r="B246">
        <v>425000</v>
      </c>
      <c r="C246">
        <v>125000</v>
      </c>
      <c r="D246">
        <v>150000</v>
      </c>
    </row>
    <row r="247" spans="1:4" x14ac:dyDescent="0.25">
      <c r="A247" t="s">
        <v>837</v>
      </c>
      <c r="B247">
        <v>550000</v>
      </c>
      <c r="C247">
        <v>125000</v>
      </c>
      <c r="D247">
        <v>125000</v>
      </c>
    </row>
    <row r="248" spans="1:4" x14ac:dyDescent="0.25">
      <c r="A248" t="s">
        <v>838</v>
      </c>
      <c r="B248">
        <v>700000</v>
      </c>
      <c r="C248">
        <v>150000</v>
      </c>
      <c r="D248">
        <v>150000</v>
      </c>
    </row>
    <row r="249" spans="1:4" x14ac:dyDescent="0.25">
      <c r="A249" t="s">
        <v>839</v>
      </c>
      <c r="B249">
        <v>950000</v>
      </c>
      <c r="C249">
        <v>175000</v>
      </c>
      <c r="D249">
        <v>150000</v>
      </c>
    </row>
    <row r="250" spans="1:4" x14ac:dyDescent="0.25">
      <c r="A250" t="s">
        <v>840</v>
      </c>
      <c r="B250">
        <v>1500000</v>
      </c>
      <c r="C250">
        <v>325000</v>
      </c>
      <c r="D250">
        <v>225000</v>
      </c>
    </row>
    <row r="251" spans="1:4" x14ac:dyDescent="0.25">
      <c r="A251" t="s">
        <v>841</v>
      </c>
      <c r="B251">
        <v>1950000</v>
      </c>
      <c r="C251">
        <v>400000</v>
      </c>
      <c r="D251">
        <v>250000</v>
      </c>
    </row>
    <row r="252" spans="1:4" x14ac:dyDescent="0.25">
      <c r="A252" t="s">
        <v>842</v>
      </c>
      <c r="B252">
        <v>2400000</v>
      </c>
      <c r="C252">
        <v>475000</v>
      </c>
      <c r="D252">
        <v>400000</v>
      </c>
    </row>
    <row r="253" spans="1:4" x14ac:dyDescent="0.25">
      <c r="A253" t="s">
        <v>843</v>
      </c>
      <c r="B253">
        <v>150000</v>
      </c>
      <c r="C253">
        <v>50000</v>
      </c>
      <c r="D253">
        <v>70000</v>
      </c>
    </row>
    <row r="254" spans="1:4" x14ac:dyDescent="0.25">
      <c r="A254" t="s">
        <v>844</v>
      </c>
      <c r="B254">
        <v>400000</v>
      </c>
      <c r="C254">
        <v>60000</v>
      </c>
      <c r="D254">
        <v>425000</v>
      </c>
    </row>
    <row r="255" spans="1:4" x14ac:dyDescent="0.25">
      <c r="A255" t="s">
        <v>845</v>
      </c>
      <c r="B255">
        <v>475000</v>
      </c>
      <c r="C255">
        <v>80000</v>
      </c>
      <c r="D255">
        <v>500000</v>
      </c>
    </row>
    <row r="256" spans="1:4" x14ac:dyDescent="0.25">
      <c r="A256" t="s">
        <v>846</v>
      </c>
      <c r="B256">
        <v>200000</v>
      </c>
      <c r="C256">
        <v>50000</v>
      </c>
      <c r="D256">
        <v>150000</v>
      </c>
    </row>
    <row r="257" spans="1:4" x14ac:dyDescent="0.25">
      <c r="A257" t="s">
        <v>847</v>
      </c>
      <c r="B257">
        <v>300000</v>
      </c>
      <c r="C257">
        <v>100000</v>
      </c>
      <c r="D257">
        <v>200000</v>
      </c>
    </row>
    <row r="258" spans="1:4" x14ac:dyDescent="0.25">
      <c r="A258" t="s">
        <v>848</v>
      </c>
      <c r="B258">
        <v>125000</v>
      </c>
      <c r="C258">
        <v>50000</v>
      </c>
      <c r="D258">
        <v>100000</v>
      </c>
    </row>
    <row r="259" spans="1:4" x14ac:dyDescent="0.25">
      <c r="A259" t="s">
        <v>849</v>
      </c>
      <c r="B259">
        <v>175000</v>
      </c>
      <c r="C259">
        <v>50000</v>
      </c>
      <c r="D259">
        <v>90000</v>
      </c>
    </row>
    <row r="260" spans="1:4" x14ac:dyDescent="0.25">
      <c r="A260" t="s">
        <v>850</v>
      </c>
      <c r="B260">
        <v>125000</v>
      </c>
      <c r="C260">
        <v>50000</v>
      </c>
      <c r="D260">
        <v>80000</v>
      </c>
    </row>
    <row r="261" spans="1:4" x14ac:dyDescent="0.25">
      <c r="A261" t="s">
        <v>851</v>
      </c>
      <c r="B261">
        <v>150000</v>
      </c>
      <c r="C261">
        <v>50000</v>
      </c>
      <c r="D261">
        <v>100000</v>
      </c>
    </row>
    <row r="262" spans="1:4" x14ac:dyDescent="0.25">
      <c r="A262" t="s">
        <v>852</v>
      </c>
      <c r="B262">
        <v>175000</v>
      </c>
      <c r="C262">
        <v>50000</v>
      </c>
      <c r="D262">
        <v>90000</v>
      </c>
    </row>
    <row r="263" spans="1:4" x14ac:dyDescent="0.25">
      <c r="A263" t="s">
        <v>853</v>
      </c>
      <c r="B263">
        <v>250000</v>
      </c>
      <c r="C263">
        <v>50000</v>
      </c>
      <c r="D263">
        <v>100000</v>
      </c>
    </row>
    <row r="264" spans="1:4" x14ac:dyDescent="0.25">
      <c r="A264" t="s">
        <v>854</v>
      </c>
      <c r="B264">
        <v>275000</v>
      </c>
      <c r="C264">
        <v>70000</v>
      </c>
      <c r="D264">
        <v>125000</v>
      </c>
    </row>
    <row r="265" spans="1:4" x14ac:dyDescent="0.25">
      <c r="A265" t="s">
        <v>855</v>
      </c>
      <c r="B265">
        <v>125000</v>
      </c>
      <c r="C265">
        <v>50000</v>
      </c>
      <c r="D265">
        <v>80000</v>
      </c>
    </row>
    <row r="266" spans="1:4" x14ac:dyDescent="0.25">
      <c r="A266" t="s">
        <v>856</v>
      </c>
      <c r="B266">
        <v>275000</v>
      </c>
      <c r="C266">
        <v>60000</v>
      </c>
      <c r="D266">
        <v>70000</v>
      </c>
    </row>
    <row r="267" spans="1:4" x14ac:dyDescent="0.25">
      <c r="A267" t="s">
        <v>857</v>
      </c>
      <c r="B267">
        <v>300000</v>
      </c>
      <c r="C267">
        <v>80000</v>
      </c>
      <c r="D267">
        <v>70000</v>
      </c>
    </row>
    <row r="268" spans="1:4" x14ac:dyDescent="0.25">
      <c r="A268" t="s">
        <v>858</v>
      </c>
      <c r="B268">
        <v>1400000</v>
      </c>
      <c r="C268">
        <v>300000</v>
      </c>
      <c r="D268">
        <v>250000</v>
      </c>
    </row>
    <row r="269" spans="1:4" x14ac:dyDescent="0.25">
      <c r="A269" t="s">
        <v>859</v>
      </c>
      <c r="B269">
        <v>550000</v>
      </c>
      <c r="C269">
        <v>225000</v>
      </c>
      <c r="D269">
        <v>375000</v>
      </c>
    </row>
    <row r="270" spans="1:4" x14ac:dyDescent="0.25">
      <c r="A270" t="s">
        <v>860</v>
      </c>
      <c r="B270">
        <v>450000</v>
      </c>
      <c r="C270">
        <v>250000</v>
      </c>
      <c r="D270">
        <v>300000</v>
      </c>
    </row>
    <row r="271" spans="1:4" x14ac:dyDescent="0.25">
      <c r="A271" t="s">
        <v>861</v>
      </c>
      <c r="B271">
        <v>825000</v>
      </c>
      <c r="C271">
        <v>525000</v>
      </c>
      <c r="D271">
        <v>525000</v>
      </c>
    </row>
    <row r="272" spans="1:4" x14ac:dyDescent="0.25">
      <c r="A272" t="s">
        <v>862</v>
      </c>
      <c r="B272">
        <v>625000</v>
      </c>
      <c r="C272">
        <v>225000</v>
      </c>
      <c r="D272">
        <v>225000</v>
      </c>
    </row>
    <row r="273" spans="1:4" x14ac:dyDescent="0.25">
      <c r="A273" t="s">
        <v>863</v>
      </c>
      <c r="B273">
        <v>450000</v>
      </c>
      <c r="C273">
        <v>225000</v>
      </c>
      <c r="D273">
        <v>300000</v>
      </c>
    </row>
    <row r="274" spans="1:4" x14ac:dyDescent="0.25">
      <c r="A274" t="s">
        <v>864</v>
      </c>
      <c r="B274">
        <v>750000</v>
      </c>
      <c r="C274">
        <v>400000</v>
      </c>
      <c r="D274">
        <v>400000</v>
      </c>
    </row>
    <row r="275" spans="1:4" x14ac:dyDescent="0.25">
      <c r="A275" t="s">
        <v>865</v>
      </c>
      <c r="B275">
        <v>1000000</v>
      </c>
      <c r="C275">
        <v>800000</v>
      </c>
      <c r="D275">
        <v>150000</v>
      </c>
    </row>
    <row r="276" spans="1:4" x14ac:dyDescent="0.25">
      <c r="A276" t="s">
        <v>866</v>
      </c>
      <c r="B276">
        <v>525000</v>
      </c>
      <c r="C276">
        <v>275000</v>
      </c>
      <c r="D276">
        <v>525000</v>
      </c>
    </row>
    <row r="277" spans="1:4" x14ac:dyDescent="0.25">
      <c r="A277" t="s">
        <v>867</v>
      </c>
      <c r="B277">
        <v>250000</v>
      </c>
      <c r="C277">
        <v>100000</v>
      </c>
      <c r="D277">
        <v>150000</v>
      </c>
    </row>
    <row r="278" spans="1:4" x14ac:dyDescent="0.25">
      <c r="A278" t="s">
        <v>868</v>
      </c>
      <c r="B278">
        <v>250000</v>
      </c>
      <c r="C278">
        <v>100000</v>
      </c>
      <c r="D278">
        <v>125000</v>
      </c>
    </row>
    <row r="279" spans="1:4" x14ac:dyDescent="0.25">
      <c r="A279" t="s">
        <v>869</v>
      </c>
      <c r="B279">
        <v>250000</v>
      </c>
      <c r="C279">
        <v>100000</v>
      </c>
      <c r="D279">
        <v>150000</v>
      </c>
    </row>
    <row r="280" spans="1:4" x14ac:dyDescent="0.25">
      <c r="A280" t="s">
        <v>870</v>
      </c>
      <c r="B280">
        <v>275000</v>
      </c>
      <c r="C280">
        <v>100000</v>
      </c>
      <c r="D280">
        <v>125000</v>
      </c>
    </row>
    <row r="281" spans="1:4" x14ac:dyDescent="0.25">
      <c r="A281" t="s">
        <v>871</v>
      </c>
      <c r="B281">
        <v>300000</v>
      </c>
      <c r="C281">
        <v>100000</v>
      </c>
      <c r="D281">
        <v>90000</v>
      </c>
    </row>
    <row r="282" spans="1:4" x14ac:dyDescent="0.25">
      <c r="A282" t="s">
        <v>872</v>
      </c>
      <c r="B282">
        <v>425000</v>
      </c>
      <c r="C282">
        <v>225000</v>
      </c>
      <c r="D282">
        <v>225000</v>
      </c>
    </row>
    <row r="283" spans="1:4" x14ac:dyDescent="0.25">
      <c r="A283" t="s">
        <v>873</v>
      </c>
      <c r="B283">
        <v>425000</v>
      </c>
      <c r="C283">
        <v>150000</v>
      </c>
      <c r="D283">
        <v>225000</v>
      </c>
    </row>
    <row r="284" spans="1:4" x14ac:dyDescent="0.25">
      <c r="A284" t="s">
        <v>874</v>
      </c>
      <c r="B284">
        <v>400000</v>
      </c>
      <c r="C284">
        <v>250000</v>
      </c>
      <c r="D284">
        <v>250000</v>
      </c>
    </row>
    <row r="285" spans="1:4" x14ac:dyDescent="0.25">
      <c r="A285" t="s">
        <v>875</v>
      </c>
      <c r="B285">
        <v>450000</v>
      </c>
      <c r="C285">
        <v>125000</v>
      </c>
      <c r="D285">
        <v>150000</v>
      </c>
    </row>
    <row r="286" spans="1:4" x14ac:dyDescent="0.25">
      <c r="A286" t="s">
        <v>876</v>
      </c>
      <c r="B286">
        <v>575000</v>
      </c>
      <c r="C286">
        <v>175000</v>
      </c>
      <c r="D286">
        <v>250000</v>
      </c>
    </row>
    <row r="287" spans="1:4" x14ac:dyDescent="0.25">
      <c r="A287" t="s">
        <v>877</v>
      </c>
      <c r="B287">
        <v>575000</v>
      </c>
      <c r="C287">
        <v>225000</v>
      </c>
      <c r="D287">
        <v>325000</v>
      </c>
    </row>
    <row r="288" spans="1:4" x14ac:dyDescent="0.25">
      <c r="A288" t="s">
        <v>878</v>
      </c>
      <c r="B288">
        <v>250000</v>
      </c>
      <c r="C288">
        <v>100000</v>
      </c>
      <c r="D288">
        <v>125000</v>
      </c>
    </row>
    <row r="289" spans="1:4" x14ac:dyDescent="0.25">
      <c r="A289" t="s">
        <v>879</v>
      </c>
      <c r="B289">
        <v>275000</v>
      </c>
      <c r="C289">
        <v>90000</v>
      </c>
      <c r="D289">
        <v>125000</v>
      </c>
    </row>
    <row r="290" spans="1:4" x14ac:dyDescent="0.25">
      <c r="A290" t="s">
        <v>880</v>
      </c>
      <c r="B290">
        <v>325000</v>
      </c>
      <c r="C290">
        <v>100000</v>
      </c>
      <c r="D290">
        <v>175000</v>
      </c>
    </row>
    <row r="291" spans="1:4" x14ac:dyDescent="0.25">
      <c r="A291" t="s">
        <v>881</v>
      </c>
      <c r="B291">
        <v>375000</v>
      </c>
      <c r="C291">
        <v>125000</v>
      </c>
      <c r="D291">
        <v>125000</v>
      </c>
    </row>
    <row r="292" spans="1:4" x14ac:dyDescent="0.25">
      <c r="A292" t="s">
        <v>882</v>
      </c>
      <c r="B292">
        <v>2200000</v>
      </c>
      <c r="C292">
        <v>100000</v>
      </c>
      <c r="D292">
        <v>60000</v>
      </c>
    </row>
    <row r="293" spans="1:4" x14ac:dyDescent="0.25">
      <c r="A293" t="s">
        <v>883</v>
      </c>
      <c r="B293">
        <v>2900000</v>
      </c>
      <c r="C293">
        <v>100000</v>
      </c>
      <c r="D293">
        <v>60000</v>
      </c>
    </row>
    <row r="294" spans="1:4" x14ac:dyDescent="0.25">
      <c r="A294" t="s">
        <v>884</v>
      </c>
      <c r="B294">
        <v>750000</v>
      </c>
      <c r="C294">
        <v>150000</v>
      </c>
      <c r="D294">
        <v>100000</v>
      </c>
    </row>
    <row r="295" spans="1:4" x14ac:dyDescent="0.25">
      <c r="A295" t="s">
        <v>885</v>
      </c>
      <c r="B295">
        <v>625000</v>
      </c>
      <c r="C295">
        <v>200000</v>
      </c>
      <c r="D295">
        <v>250000</v>
      </c>
    </row>
    <row r="296" spans="1:4" x14ac:dyDescent="0.25">
      <c r="A296" t="s">
        <v>886</v>
      </c>
      <c r="B296">
        <v>625000</v>
      </c>
      <c r="C296">
        <v>200000</v>
      </c>
      <c r="D296">
        <v>250000</v>
      </c>
    </row>
    <row r="297" spans="1:4" x14ac:dyDescent="0.25">
      <c r="A297" t="s">
        <v>887</v>
      </c>
      <c r="B297">
        <v>650000</v>
      </c>
      <c r="C297">
        <v>200000</v>
      </c>
      <c r="D297">
        <v>250000</v>
      </c>
    </row>
    <row r="298" spans="1:4" x14ac:dyDescent="0.25">
      <c r="A298" t="s">
        <v>888</v>
      </c>
      <c r="B298">
        <v>650000</v>
      </c>
      <c r="C298">
        <v>200000</v>
      </c>
      <c r="D298">
        <v>225000</v>
      </c>
    </row>
    <row r="299" spans="1:4" x14ac:dyDescent="0.25">
      <c r="A299" t="s">
        <v>889</v>
      </c>
      <c r="B299">
        <v>700000</v>
      </c>
      <c r="C299">
        <v>175000</v>
      </c>
      <c r="D299">
        <v>200000</v>
      </c>
    </row>
    <row r="300" spans="1:4" x14ac:dyDescent="0.25">
      <c r="A300" t="s">
        <v>890</v>
      </c>
      <c r="B300">
        <v>150000</v>
      </c>
      <c r="C300">
        <v>50000</v>
      </c>
      <c r="D300">
        <v>50000</v>
      </c>
    </row>
    <row r="301" spans="1:4" x14ac:dyDescent="0.25">
      <c r="A301" t="s">
        <v>891</v>
      </c>
      <c r="B301">
        <v>225000</v>
      </c>
      <c r="C301">
        <v>50000</v>
      </c>
      <c r="D301">
        <v>80000</v>
      </c>
    </row>
    <row r="302" spans="1:4" x14ac:dyDescent="0.25">
      <c r="A302" t="s">
        <v>892</v>
      </c>
      <c r="B302">
        <v>500000</v>
      </c>
      <c r="C302">
        <v>150000</v>
      </c>
      <c r="D302">
        <v>175000</v>
      </c>
    </row>
    <row r="303" spans="1:4" x14ac:dyDescent="0.25">
      <c r="A303" t="s">
        <v>893</v>
      </c>
      <c r="B303">
        <v>550000</v>
      </c>
      <c r="C303">
        <v>150000</v>
      </c>
      <c r="D303">
        <v>200000</v>
      </c>
    </row>
    <row r="304" spans="1:4" x14ac:dyDescent="0.25">
      <c r="A304" t="s">
        <v>894</v>
      </c>
      <c r="B304">
        <v>675000</v>
      </c>
      <c r="C304">
        <v>225000</v>
      </c>
      <c r="D304">
        <v>275000</v>
      </c>
    </row>
    <row r="305" spans="1:4" x14ac:dyDescent="0.25">
      <c r="A305" t="s">
        <v>895</v>
      </c>
      <c r="B305">
        <v>475000</v>
      </c>
      <c r="C305">
        <v>325000</v>
      </c>
      <c r="D305">
        <v>325000</v>
      </c>
    </row>
    <row r="306" spans="1:4" x14ac:dyDescent="0.25">
      <c r="A306" t="s">
        <v>896</v>
      </c>
      <c r="B306">
        <v>525000</v>
      </c>
      <c r="C306">
        <v>325000</v>
      </c>
      <c r="D306">
        <v>325000</v>
      </c>
    </row>
    <row r="307" spans="1:4" x14ac:dyDescent="0.25">
      <c r="A307" t="s">
        <v>897</v>
      </c>
      <c r="B307">
        <v>250000</v>
      </c>
      <c r="C307">
        <v>90000</v>
      </c>
      <c r="D307">
        <v>100000</v>
      </c>
    </row>
    <row r="308" spans="1:4" x14ac:dyDescent="0.25">
      <c r="A308" t="s">
        <v>898</v>
      </c>
      <c r="B308">
        <v>175000</v>
      </c>
      <c r="C308">
        <v>50000</v>
      </c>
      <c r="D308">
        <v>125000</v>
      </c>
    </row>
    <row r="309" spans="1:4" x14ac:dyDescent="0.25">
      <c r="A309" t="s">
        <v>899</v>
      </c>
      <c r="B309">
        <v>175000</v>
      </c>
      <c r="C309">
        <v>50000</v>
      </c>
      <c r="D309">
        <v>100000</v>
      </c>
    </row>
    <row r="310" spans="1:4" x14ac:dyDescent="0.25">
      <c r="A310" t="s">
        <v>900</v>
      </c>
      <c r="B310">
        <v>2200000</v>
      </c>
      <c r="C310">
        <v>225000</v>
      </c>
      <c r="D310">
        <v>150000</v>
      </c>
    </row>
    <row r="311" spans="1:4" x14ac:dyDescent="0.25">
      <c r="A311" t="s">
        <v>901</v>
      </c>
      <c r="B311">
        <v>175000</v>
      </c>
      <c r="C311">
        <v>50000</v>
      </c>
      <c r="D311">
        <v>50000</v>
      </c>
    </row>
    <row r="312" spans="1:4" x14ac:dyDescent="0.25">
      <c r="A312" t="s">
        <v>902</v>
      </c>
      <c r="B312">
        <v>175000</v>
      </c>
      <c r="C312">
        <v>70000</v>
      </c>
      <c r="D312">
        <v>50000</v>
      </c>
    </row>
    <row r="313" spans="1:4" x14ac:dyDescent="0.25">
      <c r="A313" t="s">
        <v>903</v>
      </c>
      <c r="B313">
        <v>425000</v>
      </c>
      <c r="C313">
        <v>175000</v>
      </c>
      <c r="D313">
        <v>250000</v>
      </c>
    </row>
    <row r="314" spans="1:4" x14ac:dyDescent="0.25">
      <c r="A314" t="s">
        <v>904</v>
      </c>
      <c r="B314">
        <v>375000</v>
      </c>
      <c r="C314">
        <v>150000</v>
      </c>
      <c r="D314">
        <v>225000</v>
      </c>
    </row>
    <row r="315" spans="1:4" x14ac:dyDescent="0.25">
      <c r="A315" t="s">
        <v>905</v>
      </c>
      <c r="B315">
        <v>400000</v>
      </c>
      <c r="C315">
        <v>150000</v>
      </c>
      <c r="D315">
        <v>250000</v>
      </c>
    </row>
    <row r="316" spans="1:4" x14ac:dyDescent="0.25">
      <c r="A316" t="s">
        <v>906</v>
      </c>
      <c r="B316">
        <v>400000</v>
      </c>
      <c r="C316">
        <v>150000</v>
      </c>
      <c r="D316">
        <v>250000</v>
      </c>
    </row>
    <row r="317" spans="1:4" x14ac:dyDescent="0.25">
      <c r="A317" t="s">
        <v>907</v>
      </c>
      <c r="B317">
        <v>925000</v>
      </c>
      <c r="C317">
        <v>375000</v>
      </c>
      <c r="D317">
        <v>375000</v>
      </c>
    </row>
    <row r="318" spans="1:4" x14ac:dyDescent="0.25">
      <c r="A318" t="s">
        <v>908</v>
      </c>
      <c r="B318">
        <v>800000</v>
      </c>
      <c r="C318">
        <v>475000</v>
      </c>
      <c r="D318">
        <v>475000</v>
      </c>
    </row>
    <row r="319" spans="1:4" x14ac:dyDescent="0.25">
      <c r="A319" t="s">
        <v>909</v>
      </c>
      <c r="B319">
        <v>700000</v>
      </c>
      <c r="C319">
        <v>325000</v>
      </c>
      <c r="D319">
        <v>450000</v>
      </c>
    </row>
    <row r="320" spans="1:4" x14ac:dyDescent="0.25">
      <c r="A320" t="s">
        <v>910</v>
      </c>
      <c r="B320">
        <v>2800000</v>
      </c>
      <c r="C320">
        <v>2800000</v>
      </c>
      <c r="D320">
        <v>2800000</v>
      </c>
    </row>
    <row r="321" spans="1:4" x14ac:dyDescent="0.25">
      <c r="A321" t="s">
        <v>911</v>
      </c>
      <c r="B321">
        <v>900000</v>
      </c>
      <c r="C321">
        <v>175000</v>
      </c>
      <c r="D321">
        <v>150000</v>
      </c>
    </row>
    <row r="322" spans="1:4" x14ac:dyDescent="0.25">
      <c r="A322" t="s">
        <v>912</v>
      </c>
      <c r="B322">
        <v>1050000</v>
      </c>
      <c r="C322">
        <v>150000</v>
      </c>
      <c r="D322">
        <v>100000</v>
      </c>
    </row>
    <row r="323" spans="1:4" x14ac:dyDescent="0.25">
      <c r="A323" t="s">
        <v>913</v>
      </c>
      <c r="B323">
        <v>1050000</v>
      </c>
      <c r="C323">
        <v>150000</v>
      </c>
      <c r="D323">
        <v>125000</v>
      </c>
    </row>
    <row r="324" spans="1:4" x14ac:dyDescent="0.25">
      <c r="A324" t="s">
        <v>914</v>
      </c>
      <c r="B324">
        <v>525000</v>
      </c>
      <c r="C324">
        <v>300000</v>
      </c>
      <c r="D324">
        <v>350000</v>
      </c>
    </row>
    <row r="325" spans="1:4" x14ac:dyDescent="0.25">
      <c r="A325" t="s">
        <v>915</v>
      </c>
      <c r="B325">
        <v>300000</v>
      </c>
      <c r="C325">
        <v>150000</v>
      </c>
      <c r="D325">
        <v>250000</v>
      </c>
    </row>
    <row r="326" spans="1:4" x14ac:dyDescent="0.25">
      <c r="A326" t="s">
        <v>916</v>
      </c>
      <c r="B326">
        <v>675000</v>
      </c>
      <c r="C326">
        <v>675000</v>
      </c>
      <c r="D326">
        <v>675000</v>
      </c>
    </row>
    <row r="327" spans="1:4" x14ac:dyDescent="0.25">
      <c r="A327" t="s">
        <v>917</v>
      </c>
      <c r="B327">
        <v>650000</v>
      </c>
      <c r="C327">
        <v>275000</v>
      </c>
      <c r="D327">
        <v>500000</v>
      </c>
    </row>
    <row r="328" spans="1:4" x14ac:dyDescent="0.25">
      <c r="A328" t="s">
        <v>918</v>
      </c>
      <c r="B328">
        <v>475000</v>
      </c>
      <c r="C328">
        <v>175000</v>
      </c>
      <c r="D328">
        <v>400000</v>
      </c>
    </row>
    <row r="329" spans="1:4" x14ac:dyDescent="0.25">
      <c r="A329" t="s">
        <v>919</v>
      </c>
      <c r="B329">
        <v>225000</v>
      </c>
      <c r="C329">
        <v>225000</v>
      </c>
      <c r="D329">
        <v>225000</v>
      </c>
    </row>
    <row r="330" spans="1:4" x14ac:dyDescent="0.25">
      <c r="A330" t="s">
        <v>920</v>
      </c>
      <c r="B330">
        <v>900000</v>
      </c>
      <c r="C330">
        <v>200000</v>
      </c>
      <c r="D330">
        <v>200000</v>
      </c>
    </row>
    <row r="331" spans="1:4" x14ac:dyDescent="0.25">
      <c r="A331" t="s">
        <v>921</v>
      </c>
      <c r="B331">
        <v>1300000</v>
      </c>
      <c r="C331">
        <v>200000</v>
      </c>
      <c r="D331">
        <v>150000</v>
      </c>
    </row>
    <row r="332" spans="1:4" x14ac:dyDescent="0.25">
      <c r="A332" t="s">
        <v>922</v>
      </c>
      <c r="B332">
        <v>450000</v>
      </c>
      <c r="C332">
        <v>200000</v>
      </c>
      <c r="D332">
        <v>325000</v>
      </c>
    </row>
    <row r="333" spans="1:4" x14ac:dyDescent="0.25">
      <c r="A333" t="s">
        <v>923</v>
      </c>
      <c r="B333">
        <v>875000</v>
      </c>
      <c r="C333">
        <v>750000</v>
      </c>
      <c r="D333">
        <v>750000</v>
      </c>
    </row>
    <row r="334" spans="1:4" x14ac:dyDescent="0.25">
      <c r="A334" t="s">
        <v>924</v>
      </c>
      <c r="B334">
        <v>1000000</v>
      </c>
      <c r="C334">
        <v>450000</v>
      </c>
      <c r="D334">
        <v>725000</v>
      </c>
    </row>
    <row r="335" spans="1:4" x14ac:dyDescent="0.25">
      <c r="A335" t="s">
        <v>925</v>
      </c>
      <c r="B335">
        <v>200000</v>
      </c>
      <c r="C335">
        <v>50000</v>
      </c>
      <c r="D335">
        <v>100000</v>
      </c>
    </row>
    <row r="336" spans="1:4" x14ac:dyDescent="0.25">
      <c r="A336" t="s">
        <v>926</v>
      </c>
      <c r="B336">
        <v>200000</v>
      </c>
      <c r="C336">
        <v>70000</v>
      </c>
      <c r="D336">
        <v>125000</v>
      </c>
    </row>
    <row r="337" spans="1:4" x14ac:dyDescent="0.25">
      <c r="A337" t="s">
        <v>927</v>
      </c>
      <c r="B337">
        <v>550000</v>
      </c>
      <c r="C337">
        <v>550000</v>
      </c>
      <c r="D337">
        <v>550000</v>
      </c>
    </row>
    <row r="338" spans="1:4" x14ac:dyDescent="0.25">
      <c r="A338" t="s">
        <v>928</v>
      </c>
      <c r="B338">
        <v>525000</v>
      </c>
      <c r="C338">
        <v>500000</v>
      </c>
      <c r="D338">
        <v>500000</v>
      </c>
    </row>
    <row r="339" spans="1:4" x14ac:dyDescent="0.25">
      <c r="A339" t="s">
        <v>929</v>
      </c>
      <c r="B339">
        <v>500000</v>
      </c>
      <c r="C339">
        <v>200000</v>
      </c>
      <c r="D339">
        <v>200000</v>
      </c>
    </row>
    <row r="340" spans="1:4" x14ac:dyDescent="0.25">
      <c r="A340" t="s">
        <v>930</v>
      </c>
      <c r="B340">
        <v>150000</v>
      </c>
      <c r="C340">
        <v>50000</v>
      </c>
      <c r="D340">
        <v>90000</v>
      </c>
    </row>
    <row r="341" spans="1:4" x14ac:dyDescent="0.25">
      <c r="A341" t="s">
        <v>931</v>
      </c>
      <c r="B341">
        <v>450000</v>
      </c>
      <c r="C341">
        <v>125000</v>
      </c>
      <c r="D341">
        <v>125000</v>
      </c>
    </row>
    <row r="342" spans="1:4" x14ac:dyDescent="0.25">
      <c r="A342" t="s">
        <v>932</v>
      </c>
      <c r="B342">
        <v>1100000</v>
      </c>
      <c r="C342">
        <v>150000</v>
      </c>
      <c r="D342">
        <v>100000</v>
      </c>
    </row>
    <row r="343" spans="1:4" x14ac:dyDescent="0.25">
      <c r="A343" t="s">
        <v>933</v>
      </c>
      <c r="B343">
        <v>2700000</v>
      </c>
      <c r="C343">
        <v>375000</v>
      </c>
      <c r="D343">
        <v>250000</v>
      </c>
    </row>
    <row r="344" spans="1:4" x14ac:dyDescent="0.25">
      <c r="A344" t="s">
        <v>934</v>
      </c>
      <c r="B344">
        <v>3000000</v>
      </c>
      <c r="C344">
        <v>450000</v>
      </c>
      <c r="D344">
        <v>200000</v>
      </c>
    </row>
    <row r="345" spans="1:4" x14ac:dyDescent="0.25">
      <c r="A345" t="s">
        <v>935</v>
      </c>
      <c r="B345">
        <v>1650000</v>
      </c>
      <c r="C345">
        <v>725000</v>
      </c>
      <c r="D345">
        <v>725000</v>
      </c>
    </row>
    <row r="346" spans="1:4" x14ac:dyDescent="0.25">
      <c r="A346" t="s">
        <v>936</v>
      </c>
      <c r="B346">
        <v>550000</v>
      </c>
      <c r="C346">
        <v>300000</v>
      </c>
      <c r="D346">
        <v>400000</v>
      </c>
    </row>
    <row r="347" spans="1:4" x14ac:dyDescent="0.25">
      <c r="A347" t="s">
        <v>937</v>
      </c>
      <c r="B347">
        <v>625000</v>
      </c>
      <c r="C347">
        <v>300000</v>
      </c>
      <c r="D347">
        <v>525000</v>
      </c>
    </row>
    <row r="348" spans="1:4" x14ac:dyDescent="0.25">
      <c r="A348" t="s">
        <v>938</v>
      </c>
      <c r="B348">
        <v>625000</v>
      </c>
      <c r="C348">
        <v>300000</v>
      </c>
      <c r="D348">
        <v>475000</v>
      </c>
    </row>
    <row r="349" spans="1:4" x14ac:dyDescent="0.25">
      <c r="A349" t="s">
        <v>939</v>
      </c>
      <c r="B349">
        <v>625000</v>
      </c>
      <c r="C349">
        <v>325000</v>
      </c>
      <c r="D349">
        <v>475000</v>
      </c>
    </row>
    <row r="350" spans="1:4" x14ac:dyDescent="0.25">
      <c r="A350" t="s">
        <v>940</v>
      </c>
      <c r="B350">
        <v>750000</v>
      </c>
      <c r="C350">
        <v>450000</v>
      </c>
      <c r="D350">
        <v>525000</v>
      </c>
    </row>
    <row r="351" spans="1:4" x14ac:dyDescent="0.25">
      <c r="A351" t="s">
        <v>941</v>
      </c>
      <c r="B351">
        <v>650000</v>
      </c>
      <c r="C351">
        <v>250000</v>
      </c>
      <c r="D351">
        <v>575000</v>
      </c>
    </row>
    <row r="352" spans="1:4" x14ac:dyDescent="0.25">
      <c r="A352" t="s">
        <v>942</v>
      </c>
      <c r="B352">
        <v>175000</v>
      </c>
      <c r="C352">
        <v>50000</v>
      </c>
      <c r="D352">
        <v>100000</v>
      </c>
    </row>
    <row r="353" spans="1:4" x14ac:dyDescent="0.25">
      <c r="A353" t="s">
        <v>943</v>
      </c>
      <c r="B353">
        <v>250000</v>
      </c>
      <c r="C353">
        <v>80000</v>
      </c>
      <c r="D353">
        <v>125000</v>
      </c>
    </row>
    <row r="354" spans="1:4" x14ac:dyDescent="0.25">
      <c r="A354" t="s">
        <v>944</v>
      </c>
      <c r="B354">
        <v>300000</v>
      </c>
      <c r="C354">
        <v>125000</v>
      </c>
      <c r="D354">
        <v>125000</v>
      </c>
    </row>
    <row r="355" spans="1:4" x14ac:dyDescent="0.25">
      <c r="A355" t="s">
        <v>945</v>
      </c>
      <c r="B355">
        <v>275000</v>
      </c>
      <c r="C355">
        <v>50000</v>
      </c>
      <c r="D355">
        <v>275000</v>
      </c>
    </row>
    <row r="356" spans="1:4" x14ac:dyDescent="0.25">
      <c r="A356" t="s">
        <v>946</v>
      </c>
      <c r="B356">
        <v>300000</v>
      </c>
      <c r="C356">
        <v>125000</v>
      </c>
      <c r="D356">
        <v>200000</v>
      </c>
    </row>
    <row r="357" spans="1:4" x14ac:dyDescent="0.25">
      <c r="A357" t="s">
        <v>947</v>
      </c>
      <c r="B357">
        <v>425000</v>
      </c>
      <c r="C357">
        <v>175000</v>
      </c>
      <c r="D357">
        <v>300000</v>
      </c>
    </row>
    <row r="358" spans="1:4" x14ac:dyDescent="0.25">
      <c r="A358" t="s">
        <v>948</v>
      </c>
      <c r="B358">
        <v>475000</v>
      </c>
      <c r="C358">
        <v>175000</v>
      </c>
      <c r="D358">
        <v>175000</v>
      </c>
    </row>
    <row r="359" spans="1:4" x14ac:dyDescent="0.25">
      <c r="A359" t="s">
        <v>949</v>
      </c>
      <c r="B359">
        <v>200000</v>
      </c>
      <c r="C359">
        <v>80000</v>
      </c>
      <c r="D359">
        <v>125000</v>
      </c>
    </row>
    <row r="360" spans="1:4" x14ac:dyDescent="0.25">
      <c r="A360" t="s">
        <v>950</v>
      </c>
      <c r="B360">
        <v>275000</v>
      </c>
      <c r="C360">
        <v>125000</v>
      </c>
      <c r="D360">
        <v>150000</v>
      </c>
    </row>
    <row r="361" spans="1:4" x14ac:dyDescent="0.25">
      <c r="A361" t="s">
        <v>951</v>
      </c>
      <c r="B361">
        <v>300000</v>
      </c>
      <c r="C361">
        <v>150000</v>
      </c>
      <c r="D361">
        <v>200000</v>
      </c>
    </row>
    <row r="362" spans="1:4" x14ac:dyDescent="0.25">
      <c r="A362" t="s">
        <v>952</v>
      </c>
      <c r="B362">
        <v>325000</v>
      </c>
      <c r="C362">
        <v>200000</v>
      </c>
      <c r="D362">
        <v>200000</v>
      </c>
    </row>
    <row r="363" spans="1:4" x14ac:dyDescent="0.25">
      <c r="A363" t="s">
        <v>953</v>
      </c>
      <c r="B363">
        <v>400000</v>
      </c>
      <c r="C363">
        <v>200000</v>
      </c>
      <c r="D363">
        <v>200000</v>
      </c>
    </row>
    <row r="364" spans="1:4" x14ac:dyDescent="0.25">
      <c r="A364" t="s">
        <v>954</v>
      </c>
      <c r="B364">
        <v>450000</v>
      </c>
      <c r="C364">
        <v>300000</v>
      </c>
      <c r="D364">
        <v>300000</v>
      </c>
    </row>
    <row r="365" spans="1:4" x14ac:dyDescent="0.25">
      <c r="A365" t="s">
        <v>955</v>
      </c>
      <c r="B365">
        <v>375000</v>
      </c>
      <c r="C365">
        <v>100000</v>
      </c>
      <c r="D365">
        <v>150000</v>
      </c>
    </row>
    <row r="366" spans="1:4" x14ac:dyDescent="0.25">
      <c r="A366" t="s">
        <v>956</v>
      </c>
      <c r="B366">
        <v>400000</v>
      </c>
      <c r="C366">
        <v>125000</v>
      </c>
      <c r="D366">
        <v>225000</v>
      </c>
    </row>
    <row r="367" spans="1:4" x14ac:dyDescent="0.25">
      <c r="A367" t="s">
        <v>957</v>
      </c>
      <c r="B367">
        <v>625000</v>
      </c>
      <c r="C367">
        <v>80000</v>
      </c>
      <c r="D367">
        <v>625000</v>
      </c>
    </row>
    <row r="368" spans="1:4" x14ac:dyDescent="0.25">
      <c r="A368" t="s">
        <v>958</v>
      </c>
      <c r="B368">
        <v>3000000</v>
      </c>
      <c r="C368">
        <v>175000</v>
      </c>
      <c r="D368">
        <v>150000</v>
      </c>
    </row>
    <row r="369" spans="1:4" x14ac:dyDescent="0.25">
      <c r="A369" t="s">
        <v>959</v>
      </c>
      <c r="B369">
        <v>575000</v>
      </c>
      <c r="C369">
        <v>225000</v>
      </c>
      <c r="D369">
        <v>300000</v>
      </c>
    </row>
    <row r="370" spans="1:4" x14ac:dyDescent="0.25">
      <c r="A370" t="s">
        <v>960</v>
      </c>
      <c r="B370">
        <v>600000</v>
      </c>
      <c r="C370">
        <v>150000</v>
      </c>
      <c r="D370">
        <v>150000</v>
      </c>
    </row>
    <row r="371" spans="1:4" x14ac:dyDescent="0.25">
      <c r="A371" t="s">
        <v>961</v>
      </c>
      <c r="B371">
        <v>200000</v>
      </c>
      <c r="C371">
        <v>50000</v>
      </c>
      <c r="D371">
        <v>150000</v>
      </c>
    </row>
    <row r="372" spans="1:4" x14ac:dyDescent="0.25">
      <c r="A372" t="s">
        <v>962</v>
      </c>
      <c r="B372">
        <v>125000</v>
      </c>
      <c r="C372">
        <v>50000</v>
      </c>
      <c r="D372">
        <v>100000</v>
      </c>
    </row>
    <row r="373" spans="1:4" x14ac:dyDescent="0.25">
      <c r="A373" t="s">
        <v>963</v>
      </c>
      <c r="B373">
        <v>175000</v>
      </c>
      <c r="C373">
        <v>50000</v>
      </c>
      <c r="D373">
        <v>125000</v>
      </c>
    </row>
    <row r="374" spans="1:4" x14ac:dyDescent="0.25">
      <c r="A374" t="s">
        <v>964</v>
      </c>
      <c r="B374">
        <v>200000</v>
      </c>
      <c r="C374">
        <v>50000</v>
      </c>
      <c r="D374">
        <v>150000</v>
      </c>
    </row>
    <row r="375" spans="1:4" x14ac:dyDescent="0.25">
      <c r="A375" t="s">
        <v>965</v>
      </c>
      <c r="B375">
        <v>175000</v>
      </c>
      <c r="C375">
        <v>50000</v>
      </c>
      <c r="D375">
        <v>125000</v>
      </c>
    </row>
    <row r="376" spans="1:4" x14ac:dyDescent="0.25">
      <c r="A376" t="s">
        <v>966</v>
      </c>
      <c r="B376">
        <v>175000</v>
      </c>
      <c r="C376">
        <v>50000</v>
      </c>
      <c r="D376">
        <v>150000</v>
      </c>
    </row>
    <row r="377" spans="1:4" x14ac:dyDescent="0.25">
      <c r="A377" t="s">
        <v>967</v>
      </c>
      <c r="B377">
        <v>200000</v>
      </c>
      <c r="C377">
        <v>50000</v>
      </c>
      <c r="D377">
        <v>175000</v>
      </c>
    </row>
    <row r="378" spans="1:4" x14ac:dyDescent="0.25">
      <c r="A378" t="s">
        <v>968</v>
      </c>
      <c r="B378">
        <v>225000</v>
      </c>
      <c r="C378">
        <v>90000</v>
      </c>
      <c r="D378">
        <v>175000</v>
      </c>
    </row>
    <row r="379" spans="1:4" x14ac:dyDescent="0.25">
      <c r="A379" t="s">
        <v>969</v>
      </c>
      <c r="B379">
        <v>250000</v>
      </c>
      <c r="C379">
        <v>100000</v>
      </c>
      <c r="D379">
        <v>175000</v>
      </c>
    </row>
    <row r="380" spans="1:4" x14ac:dyDescent="0.25">
      <c r="A380" t="s">
        <v>970</v>
      </c>
      <c r="B380">
        <v>175000</v>
      </c>
      <c r="C380">
        <v>50000</v>
      </c>
      <c r="D380">
        <v>100000</v>
      </c>
    </row>
    <row r="381" spans="1:4" x14ac:dyDescent="0.25">
      <c r="A381" t="s">
        <v>971</v>
      </c>
      <c r="B381">
        <v>175000</v>
      </c>
      <c r="C381">
        <v>50000</v>
      </c>
      <c r="D381">
        <v>150000</v>
      </c>
    </row>
    <row r="382" spans="1:4" x14ac:dyDescent="0.25">
      <c r="A382" t="s">
        <v>972</v>
      </c>
      <c r="B382">
        <v>200000</v>
      </c>
      <c r="C382">
        <v>50000</v>
      </c>
      <c r="D382">
        <v>150000</v>
      </c>
    </row>
    <row r="383" spans="1:4" x14ac:dyDescent="0.25">
      <c r="A383" t="s">
        <v>973</v>
      </c>
      <c r="B383">
        <v>225000</v>
      </c>
      <c r="C383">
        <v>60000</v>
      </c>
      <c r="D383">
        <v>150000</v>
      </c>
    </row>
    <row r="384" spans="1:4" x14ac:dyDescent="0.25">
      <c r="A384" t="s">
        <v>974</v>
      </c>
      <c r="B384">
        <v>275000</v>
      </c>
      <c r="C384">
        <v>100000</v>
      </c>
      <c r="D384">
        <v>175000</v>
      </c>
    </row>
    <row r="385" spans="1:4" x14ac:dyDescent="0.25">
      <c r="A385" t="s">
        <v>975</v>
      </c>
      <c r="B385">
        <v>175000</v>
      </c>
      <c r="C385">
        <v>50000</v>
      </c>
      <c r="D385">
        <v>150000</v>
      </c>
    </row>
    <row r="386" spans="1:4" x14ac:dyDescent="0.25">
      <c r="A386" t="s">
        <v>976</v>
      </c>
      <c r="B386">
        <v>200000</v>
      </c>
      <c r="C386">
        <v>50000</v>
      </c>
      <c r="D386">
        <v>150000</v>
      </c>
    </row>
    <row r="387" spans="1:4" x14ac:dyDescent="0.25">
      <c r="A387" t="s">
        <v>977</v>
      </c>
      <c r="B387">
        <v>200000</v>
      </c>
      <c r="C387">
        <v>50000</v>
      </c>
      <c r="D387">
        <v>150000</v>
      </c>
    </row>
    <row r="388" spans="1:4" x14ac:dyDescent="0.25">
      <c r="A388" t="s">
        <v>978</v>
      </c>
      <c r="B388">
        <v>225000</v>
      </c>
      <c r="C388">
        <v>50000</v>
      </c>
      <c r="D388">
        <v>175000</v>
      </c>
    </row>
    <row r="389" spans="1:4" x14ac:dyDescent="0.25">
      <c r="A389" t="s">
        <v>979</v>
      </c>
      <c r="B389">
        <v>225000</v>
      </c>
      <c r="C389">
        <v>90000</v>
      </c>
      <c r="D389">
        <v>175000</v>
      </c>
    </row>
    <row r="390" spans="1:4" x14ac:dyDescent="0.25">
      <c r="A390" t="s">
        <v>980</v>
      </c>
      <c r="B390">
        <v>250000</v>
      </c>
      <c r="C390">
        <v>100000</v>
      </c>
      <c r="D390">
        <v>175000</v>
      </c>
    </row>
    <row r="391" spans="1:4" x14ac:dyDescent="0.25">
      <c r="A391" t="s">
        <v>981</v>
      </c>
      <c r="B391">
        <v>275000</v>
      </c>
      <c r="C391">
        <v>100000</v>
      </c>
      <c r="D391">
        <v>175000</v>
      </c>
    </row>
    <row r="392" spans="1:4" x14ac:dyDescent="0.25">
      <c r="A392" t="s">
        <v>982</v>
      </c>
      <c r="B392">
        <v>200000</v>
      </c>
      <c r="C392">
        <v>50000</v>
      </c>
      <c r="D392">
        <v>150000</v>
      </c>
    </row>
    <row r="393" spans="1:4" x14ac:dyDescent="0.25">
      <c r="A393" t="s">
        <v>983</v>
      </c>
      <c r="B393">
        <v>200000</v>
      </c>
      <c r="C393">
        <v>50000</v>
      </c>
      <c r="D393">
        <v>150000</v>
      </c>
    </row>
    <row r="394" spans="1:4" x14ac:dyDescent="0.25">
      <c r="A394" t="s">
        <v>984</v>
      </c>
      <c r="B394">
        <v>225000</v>
      </c>
      <c r="C394">
        <v>60000</v>
      </c>
      <c r="D394">
        <v>175000</v>
      </c>
    </row>
    <row r="395" spans="1:4" x14ac:dyDescent="0.25">
      <c r="A395" t="s">
        <v>985</v>
      </c>
      <c r="B395">
        <v>225000</v>
      </c>
      <c r="C395">
        <v>50000</v>
      </c>
      <c r="D395">
        <v>175000</v>
      </c>
    </row>
    <row r="396" spans="1:4" x14ac:dyDescent="0.25">
      <c r="A396" t="s">
        <v>986</v>
      </c>
      <c r="B396">
        <v>475000</v>
      </c>
      <c r="C396">
        <v>175000</v>
      </c>
      <c r="D396">
        <v>225000</v>
      </c>
    </row>
    <row r="397" spans="1:4" x14ac:dyDescent="0.25">
      <c r="A397" t="s">
        <v>987</v>
      </c>
      <c r="B397">
        <v>250000</v>
      </c>
      <c r="C397">
        <v>100000</v>
      </c>
      <c r="D397">
        <v>175000</v>
      </c>
    </row>
    <row r="398" spans="1:4" x14ac:dyDescent="0.25">
      <c r="A398" t="s">
        <v>988</v>
      </c>
      <c r="B398">
        <v>250000</v>
      </c>
      <c r="C398">
        <v>100000</v>
      </c>
      <c r="D398">
        <v>175000</v>
      </c>
    </row>
    <row r="399" spans="1:4" x14ac:dyDescent="0.25">
      <c r="A399" t="s">
        <v>989</v>
      </c>
      <c r="B399">
        <v>275000</v>
      </c>
      <c r="C399">
        <v>100000</v>
      </c>
      <c r="D399">
        <v>175000</v>
      </c>
    </row>
    <row r="400" spans="1:4" x14ac:dyDescent="0.25">
      <c r="A400" t="s">
        <v>990</v>
      </c>
      <c r="B400">
        <v>300000</v>
      </c>
      <c r="C400">
        <v>125000</v>
      </c>
      <c r="D400">
        <v>200000</v>
      </c>
    </row>
    <row r="401" spans="1:4" x14ac:dyDescent="0.25">
      <c r="A401" t="s">
        <v>991</v>
      </c>
      <c r="B401">
        <v>325000</v>
      </c>
      <c r="C401">
        <v>125000</v>
      </c>
      <c r="D401">
        <v>225000</v>
      </c>
    </row>
    <row r="402" spans="1:4" x14ac:dyDescent="0.25">
      <c r="A402" t="s">
        <v>992</v>
      </c>
      <c r="B402">
        <v>350000</v>
      </c>
      <c r="C402">
        <v>150000</v>
      </c>
      <c r="D402">
        <v>200000</v>
      </c>
    </row>
    <row r="403" spans="1:4" x14ac:dyDescent="0.25">
      <c r="A403" t="s">
        <v>993</v>
      </c>
      <c r="B403">
        <v>225000</v>
      </c>
      <c r="C403">
        <v>50000</v>
      </c>
      <c r="D403">
        <v>125000</v>
      </c>
    </row>
    <row r="404" spans="1:4" x14ac:dyDescent="0.25">
      <c r="A404" t="s">
        <v>994</v>
      </c>
      <c r="B404">
        <v>200000</v>
      </c>
      <c r="C404">
        <v>70000</v>
      </c>
      <c r="D404">
        <v>125000</v>
      </c>
    </row>
    <row r="405" spans="1:4" x14ac:dyDescent="0.25">
      <c r="A405" t="s">
        <v>995</v>
      </c>
      <c r="B405">
        <v>225000</v>
      </c>
      <c r="C405">
        <v>100000</v>
      </c>
      <c r="D405">
        <v>175000</v>
      </c>
    </row>
    <row r="406" spans="1:4" x14ac:dyDescent="0.25">
      <c r="A406" t="s">
        <v>996</v>
      </c>
      <c r="B406">
        <v>275000</v>
      </c>
      <c r="C406">
        <v>125000</v>
      </c>
      <c r="D406">
        <v>175000</v>
      </c>
    </row>
    <row r="407" spans="1:4" x14ac:dyDescent="0.25">
      <c r="A407" t="s">
        <v>997</v>
      </c>
      <c r="B407">
        <v>300000</v>
      </c>
      <c r="C407">
        <v>175000</v>
      </c>
      <c r="D407">
        <v>175000</v>
      </c>
    </row>
    <row r="408" spans="1:4" x14ac:dyDescent="0.25">
      <c r="A408" t="s">
        <v>998</v>
      </c>
      <c r="B408">
        <v>325000</v>
      </c>
      <c r="C408">
        <v>150000</v>
      </c>
      <c r="D408">
        <v>175000</v>
      </c>
    </row>
    <row r="409" spans="1:4" x14ac:dyDescent="0.25">
      <c r="A409" t="s">
        <v>999</v>
      </c>
      <c r="B409">
        <v>425000</v>
      </c>
      <c r="C409">
        <v>200000</v>
      </c>
      <c r="D409">
        <v>200000</v>
      </c>
    </row>
    <row r="410" spans="1:4" x14ac:dyDescent="0.25">
      <c r="A410" t="s">
        <v>1000</v>
      </c>
      <c r="B410">
        <v>200000</v>
      </c>
      <c r="C410">
        <v>80000</v>
      </c>
      <c r="D410">
        <v>125000</v>
      </c>
    </row>
    <row r="411" spans="1:4" x14ac:dyDescent="0.25">
      <c r="A411" t="s">
        <v>1001</v>
      </c>
      <c r="B411">
        <v>225000</v>
      </c>
      <c r="C411">
        <v>100000</v>
      </c>
      <c r="D411">
        <v>125000</v>
      </c>
    </row>
    <row r="412" spans="1:4" x14ac:dyDescent="0.25">
      <c r="A412" t="s">
        <v>1002</v>
      </c>
      <c r="B412">
        <v>100000</v>
      </c>
      <c r="C412">
        <v>50000</v>
      </c>
      <c r="D412">
        <v>60000</v>
      </c>
    </row>
    <row r="413" spans="1:4" x14ac:dyDescent="0.25">
      <c r="A413" t="s">
        <v>1003</v>
      </c>
      <c r="B413">
        <v>90000</v>
      </c>
      <c r="C413">
        <v>50000</v>
      </c>
      <c r="D413">
        <v>100000</v>
      </c>
    </row>
    <row r="414" spans="1:4" x14ac:dyDescent="0.25">
      <c r="A414" t="s">
        <v>1004</v>
      </c>
      <c r="B414">
        <v>90000</v>
      </c>
      <c r="C414">
        <v>50000</v>
      </c>
      <c r="D414">
        <v>90000</v>
      </c>
    </row>
    <row r="415" spans="1:4" x14ac:dyDescent="0.25">
      <c r="A415" t="s">
        <v>1005</v>
      </c>
      <c r="B415">
        <v>90000</v>
      </c>
      <c r="C415">
        <v>50000</v>
      </c>
      <c r="D415">
        <v>60000</v>
      </c>
    </row>
    <row r="416" spans="1:4" x14ac:dyDescent="0.25">
      <c r="A416" t="s">
        <v>1006</v>
      </c>
      <c r="B416">
        <v>100000</v>
      </c>
      <c r="C416">
        <v>90000</v>
      </c>
      <c r="D416">
        <v>90000</v>
      </c>
    </row>
    <row r="417" spans="1:4" x14ac:dyDescent="0.25">
      <c r="A417" t="s">
        <v>1007</v>
      </c>
      <c r="B417">
        <v>800000</v>
      </c>
      <c r="C417">
        <v>175000</v>
      </c>
      <c r="D417">
        <v>175000</v>
      </c>
    </row>
    <row r="418" spans="1:4" x14ac:dyDescent="0.25">
      <c r="A418" t="s">
        <v>1008</v>
      </c>
      <c r="B418">
        <v>1000000</v>
      </c>
      <c r="C418">
        <v>200000</v>
      </c>
      <c r="D418">
        <v>175000</v>
      </c>
    </row>
    <row r="419" spans="1:4" x14ac:dyDescent="0.25">
      <c r="A419" t="s">
        <v>1009</v>
      </c>
      <c r="B419">
        <v>450000</v>
      </c>
      <c r="C419">
        <v>100000</v>
      </c>
      <c r="D419">
        <v>100000</v>
      </c>
    </row>
    <row r="420" spans="1:4" x14ac:dyDescent="0.25">
      <c r="A420" t="s">
        <v>1010</v>
      </c>
      <c r="B420">
        <v>300000</v>
      </c>
      <c r="C420">
        <v>100000</v>
      </c>
      <c r="D420">
        <v>100000</v>
      </c>
    </row>
    <row r="421" spans="1:4" x14ac:dyDescent="0.25">
      <c r="A421" t="s">
        <v>1011</v>
      </c>
      <c r="B421">
        <v>250000</v>
      </c>
      <c r="C421">
        <v>70000</v>
      </c>
      <c r="D421">
        <v>100000</v>
      </c>
    </row>
    <row r="422" spans="1:4" x14ac:dyDescent="0.25">
      <c r="A422" t="s">
        <v>1012</v>
      </c>
      <c r="B422">
        <v>225000</v>
      </c>
      <c r="C422">
        <v>60000</v>
      </c>
      <c r="D422">
        <v>80000</v>
      </c>
    </row>
    <row r="423" spans="1:4" x14ac:dyDescent="0.25">
      <c r="A423" t="s">
        <v>1013</v>
      </c>
      <c r="B423">
        <v>250000</v>
      </c>
      <c r="C423">
        <v>50000</v>
      </c>
      <c r="D423">
        <v>80000</v>
      </c>
    </row>
    <row r="424" spans="1:4" x14ac:dyDescent="0.25">
      <c r="A424" t="s">
        <v>1014</v>
      </c>
      <c r="B424">
        <v>175000</v>
      </c>
      <c r="C424">
        <v>50000</v>
      </c>
      <c r="D424">
        <v>70000</v>
      </c>
    </row>
    <row r="425" spans="1:4" x14ac:dyDescent="0.25">
      <c r="A425" t="s">
        <v>1015</v>
      </c>
      <c r="B425">
        <v>375000</v>
      </c>
      <c r="C425">
        <v>150000</v>
      </c>
      <c r="D425">
        <v>150000</v>
      </c>
    </row>
    <row r="426" spans="1:4" x14ac:dyDescent="0.25">
      <c r="A426" t="s">
        <v>1016</v>
      </c>
      <c r="B426">
        <v>325000</v>
      </c>
      <c r="C426">
        <v>150000</v>
      </c>
      <c r="D426">
        <v>150000</v>
      </c>
    </row>
    <row r="427" spans="1:4" x14ac:dyDescent="0.25">
      <c r="A427" t="s">
        <v>1017</v>
      </c>
      <c r="B427">
        <v>225000</v>
      </c>
      <c r="C427">
        <v>125000</v>
      </c>
      <c r="D427">
        <v>125000</v>
      </c>
    </row>
    <row r="428" spans="1:4" x14ac:dyDescent="0.25">
      <c r="A428" t="s">
        <v>1018</v>
      </c>
      <c r="B428">
        <v>225000</v>
      </c>
      <c r="C428">
        <v>100000</v>
      </c>
      <c r="D428">
        <v>125000</v>
      </c>
    </row>
    <row r="429" spans="1:4" x14ac:dyDescent="0.25">
      <c r="A429" t="s">
        <v>1019</v>
      </c>
      <c r="B429">
        <v>175000</v>
      </c>
      <c r="C429">
        <v>80000</v>
      </c>
      <c r="D429">
        <v>100000</v>
      </c>
    </row>
    <row r="430" spans="1:4" x14ac:dyDescent="0.25">
      <c r="A430" t="s">
        <v>1020</v>
      </c>
      <c r="B430">
        <v>225000</v>
      </c>
      <c r="C430">
        <v>80000</v>
      </c>
      <c r="D430">
        <v>125000</v>
      </c>
    </row>
    <row r="431" spans="1:4" x14ac:dyDescent="0.25">
      <c r="A431" t="s">
        <v>1021</v>
      </c>
      <c r="B431">
        <v>350000</v>
      </c>
      <c r="C431">
        <v>70000</v>
      </c>
      <c r="D431">
        <v>300000</v>
      </c>
    </row>
    <row r="432" spans="1:4" x14ac:dyDescent="0.25">
      <c r="A432" t="s">
        <v>1022</v>
      </c>
      <c r="B432">
        <v>350000</v>
      </c>
      <c r="C432">
        <v>150000</v>
      </c>
      <c r="D432">
        <v>300000</v>
      </c>
    </row>
    <row r="433" spans="1:4" x14ac:dyDescent="0.25">
      <c r="A433" t="s">
        <v>1023</v>
      </c>
      <c r="B433">
        <v>275000</v>
      </c>
      <c r="C433">
        <v>100000</v>
      </c>
      <c r="D433">
        <v>175000</v>
      </c>
    </row>
    <row r="434" spans="1:4" x14ac:dyDescent="0.25">
      <c r="A434" t="s">
        <v>1024</v>
      </c>
      <c r="B434">
        <v>200000</v>
      </c>
      <c r="C434">
        <v>70000</v>
      </c>
      <c r="D434">
        <v>125000</v>
      </c>
    </row>
    <row r="435" spans="1:4" x14ac:dyDescent="0.25">
      <c r="A435" t="s">
        <v>1025</v>
      </c>
      <c r="B435">
        <v>350000</v>
      </c>
      <c r="C435">
        <v>150000</v>
      </c>
      <c r="D435">
        <v>300000</v>
      </c>
    </row>
    <row r="436" spans="1:4" x14ac:dyDescent="0.25">
      <c r="A436" t="s">
        <v>1026</v>
      </c>
      <c r="B436">
        <v>325000</v>
      </c>
      <c r="C436">
        <v>175000</v>
      </c>
      <c r="D436">
        <v>225000</v>
      </c>
    </row>
    <row r="437" spans="1:4" x14ac:dyDescent="0.25">
      <c r="A437" t="s">
        <v>1027</v>
      </c>
      <c r="B437">
        <v>125000</v>
      </c>
      <c r="C437">
        <v>50000</v>
      </c>
      <c r="D437">
        <v>100000</v>
      </c>
    </row>
    <row r="438" spans="1:4" x14ac:dyDescent="0.25">
      <c r="A438" t="s">
        <v>1028</v>
      </c>
      <c r="B438">
        <v>275000</v>
      </c>
      <c r="C438">
        <v>50000</v>
      </c>
      <c r="D438">
        <v>375000</v>
      </c>
    </row>
    <row r="439" spans="1:4" x14ac:dyDescent="0.25">
      <c r="A439" t="s">
        <v>1029</v>
      </c>
      <c r="B439">
        <v>400000</v>
      </c>
      <c r="C439">
        <v>50000</v>
      </c>
      <c r="D439">
        <v>475000</v>
      </c>
    </row>
    <row r="440" spans="1:4" x14ac:dyDescent="0.25">
      <c r="A440" t="s">
        <v>1030</v>
      </c>
      <c r="B440">
        <v>500000</v>
      </c>
      <c r="C440">
        <v>80000</v>
      </c>
      <c r="D440">
        <v>575000</v>
      </c>
    </row>
    <row r="441" spans="1:4" x14ac:dyDescent="0.25">
      <c r="A441" t="s">
        <v>1031</v>
      </c>
      <c r="B441">
        <v>600000</v>
      </c>
      <c r="C441">
        <v>175000</v>
      </c>
      <c r="D441">
        <v>750000</v>
      </c>
    </row>
    <row r="442" spans="1:4" x14ac:dyDescent="0.25">
      <c r="A442" t="s">
        <v>1032</v>
      </c>
      <c r="B442">
        <v>675000</v>
      </c>
      <c r="C442">
        <v>275000</v>
      </c>
      <c r="D442">
        <v>775000</v>
      </c>
    </row>
    <row r="443" spans="1:4" x14ac:dyDescent="0.25">
      <c r="A443" t="s">
        <v>1033</v>
      </c>
      <c r="B443">
        <v>175000</v>
      </c>
      <c r="C443">
        <v>50000</v>
      </c>
      <c r="D443">
        <v>150000</v>
      </c>
    </row>
    <row r="444" spans="1:4" x14ac:dyDescent="0.25">
      <c r="A444" t="s">
        <v>1034</v>
      </c>
      <c r="B444">
        <v>175000</v>
      </c>
      <c r="C444">
        <v>50000</v>
      </c>
      <c r="D444">
        <v>125000</v>
      </c>
    </row>
    <row r="445" spans="1:4" x14ac:dyDescent="0.25">
      <c r="A445" t="s">
        <v>1035</v>
      </c>
      <c r="B445">
        <v>225000</v>
      </c>
      <c r="C445">
        <v>90000</v>
      </c>
      <c r="D445">
        <v>125000</v>
      </c>
    </row>
    <row r="446" spans="1:4" x14ac:dyDescent="0.25">
      <c r="A446" t="s">
        <v>1036</v>
      </c>
      <c r="B446">
        <v>150000</v>
      </c>
      <c r="C446">
        <v>50000</v>
      </c>
      <c r="D446">
        <v>80000</v>
      </c>
    </row>
    <row r="447" spans="1:4" x14ac:dyDescent="0.25">
      <c r="A447" t="s">
        <v>1037</v>
      </c>
      <c r="B447">
        <v>150000</v>
      </c>
      <c r="C447">
        <v>50000</v>
      </c>
      <c r="D447">
        <v>100000</v>
      </c>
    </row>
    <row r="448" spans="1:4" x14ac:dyDescent="0.25">
      <c r="A448" t="s">
        <v>1038</v>
      </c>
      <c r="B448">
        <v>175000</v>
      </c>
      <c r="C448">
        <v>50000</v>
      </c>
      <c r="D448">
        <v>100000</v>
      </c>
    </row>
    <row r="449" spans="1:4" x14ac:dyDescent="0.25">
      <c r="A449" t="s">
        <v>1039</v>
      </c>
      <c r="B449">
        <v>175000</v>
      </c>
      <c r="C449">
        <v>60000</v>
      </c>
      <c r="D449">
        <v>60000</v>
      </c>
    </row>
    <row r="450" spans="1:4" x14ac:dyDescent="0.25">
      <c r="A450" t="s">
        <v>1040</v>
      </c>
      <c r="B450">
        <v>150000</v>
      </c>
      <c r="C450">
        <v>50000</v>
      </c>
      <c r="D450">
        <v>90000</v>
      </c>
    </row>
    <row r="451" spans="1:4" x14ac:dyDescent="0.25">
      <c r="A451" t="s">
        <v>1041</v>
      </c>
      <c r="B451">
        <v>175000</v>
      </c>
      <c r="C451">
        <v>60000</v>
      </c>
      <c r="D451">
        <v>100000</v>
      </c>
    </row>
    <row r="452" spans="1:4" x14ac:dyDescent="0.25">
      <c r="A452" t="s">
        <v>1042</v>
      </c>
      <c r="B452">
        <v>200000</v>
      </c>
      <c r="C452">
        <v>70000</v>
      </c>
      <c r="D452">
        <v>125000</v>
      </c>
    </row>
    <row r="453" spans="1:4" x14ac:dyDescent="0.25">
      <c r="A453" t="s">
        <v>1043</v>
      </c>
      <c r="B453">
        <v>175000</v>
      </c>
      <c r="C453">
        <v>50000</v>
      </c>
      <c r="D453">
        <v>90000</v>
      </c>
    </row>
    <row r="454" spans="1:4" x14ac:dyDescent="0.25">
      <c r="A454" t="s">
        <v>1044</v>
      </c>
      <c r="B454">
        <v>150000</v>
      </c>
      <c r="C454">
        <v>50000</v>
      </c>
      <c r="D454">
        <v>80000</v>
      </c>
    </row>
    <row r="455" spans="1:4" x14ac:dyDescent="0.25">
      <c r="A455" t="s">
        <v>1045</v>
      </c>
      <c r="B455">
        <v>200000</v>
      </c>
      <c r="C455">
        <v>80000</v>
      </c>
      <c r="D455">
        <v>100000</v>
      </c>
    </row>
    <row r="456" spans="1:4" x14ac:dyDescent="0.25">
      <c r="A456" t="s">
        <v>1046</v>
      </c>
      <c r="B456">
        <v>375000</v>
      </c>
      <c r="C456">
        <v>100000</v>
      </c>
      <c r="D456">
        <v>80000</v>
      </c>
    </row>
    <row r="457" spans="1:4" x14ac:dyDescent="0.25">
      <c r="A457" t="s">
        <v>1047</v>
      </c>
      <c r="B457">
        <v>325000</v>
      </c>
      <c r="C457">
        <v>80000</v>
      </c>
      <c r="D457">
        <v>100000</v>
      </c>
    </row>
    <row r="458" spans="1:4" x14ac:dyDescent="0.25">
      <c r="A458" t="s">
        <v>1048</v>
      </c>
      <c r="B458">
        <v>300000</v>
      </c>
      <c r="C458">
        <v>80000</v>
      </c>
      <c r="D458">
        <v>80000</v>
      </c>
    </row>
    <row r="459" spans="1:4" x14ac:dyDescent="0.25">
      <c r="A459" t="s">
        <v>1049</v>
      </c>
      <c r="B459">
        <v>300000</v>
      </c>
      <c r="C459">
        <v>80000</v>
      </c>
      <c r="D459">
        <v>80000</v>
      </c>
    </row>
    <row r="460" spans="1:4" x14ac:dyDescent="0.25">
      <c r="A460" t="s">
        <v>1050</v>
      </c>
      <c r="B460">
        <v>450000</v>
      </c>
      <c r="C460">
        <v>90000</v>
      </c>
      <c r="D460">
        <v>80000</v>
      </c>
    </row>
    <row r="461" spans="1:4" x14ac:dyDescent="0.25">
      <c r="A461" t="s">
        <v>1051</v>
      </c>
      <c r="B461">
        <v>475000</v>
      </c>
      <c r="C461">
        <v>90000</v>
      </c>
      <c r="D461">
        <v>90000</v>
      </c>
    </row>
    <row r="462" spans="1:4" x14ac:dyDescent="0.25">
      <c r="A462" t="s">
        <v>1052</v>
      </c>
      <c r="B462">
        <v>300000</v>
      </c>
      <c r="C462">
        <v>100000</v>
      </c>
      <c r="D462">
        <v>150000</v>
      </c>
    </row>
    <row r="463" spans="1:4" x14ac:dyDescent="0.25">
      <c r="A463" t="s">
        <v>1053</v>
      </c>
      <c r="B463">
        <v>325000</v>
      </c>
      <c r="C463">
        <v>125000</v>
      </c>
      <c r="D463">
        <v>175000</v>
      </c>
    </row>
    <row r="464" spans="1:4" x14ac:dyDescent="0.25">
      <c r="A464" t="s">
        <v>1054</v>
      </c>
      <c r="B464">
        <v>325000</v>
      </c>
      <c r="C464">
        <v>125000</v>
      </c>
      <c r="D464">
        <v>175000</v>
      </c>
    </row>
    <row r="465" spans="1:4" x14ac:dyDescent="0.25">
      <c r="A465" t="s">
        <v>1055</v>
      </c>
      <c r="B465">
        <v>275000</v>
      </c>
      <c r="C465">
        <v>125000</v>
      </c>
      <c r="D465">
        <v>150000</v>
      </c>
    </row>
    <row r="466" spans="1:4" x14ac:dyDescent="0.25">
      <c r="A466" t="s">
        <v>1056</v>
      </c>
      <c r="B466">
        <v>325000</v>
      </c>
      <c r="C466">
        <v>175000</v>
      </c>
      <c r="D466">
        <v>175000</v>
      </c>
    </row>
    <row r="467" spans="1:4" x14ac:dyDescent="0.25">
      <c r="A467" t="s">
        <v>1057</v>
      </c>
      <c r="B467">
        <v>275000</v>
      </c>
      <c r="C467">
        <v>100000</v>
      </c>
      <c r="D467">
        <v>150000</v>
      </c>
    </row>
    <row r="468" spans="1:4" x14ac:dyDescent="0.25">
      <c r="A468" t="s">
        <v>1058</v>
      </c>
      <c r="B468">
        <v>275000</v>
      </c>
      <c r="C468">
        <v>125000</v>
      </c>
      <c r="D468">
        <v>200000</v>
      </c>
    </row>
    <row r="469" spans="1:4" x14ac:dyDescent="0.25">
      <c r="A469" t="s">
        <v>1059</v>
      </c>
      <c r="B469">
        <v>450000</v>
      </c>
      <c r="C469">
        <v>175000</v>
      </c>
      <c r="D469">
        <v>250000</v>
      </c>
    </row>
    <row r="470" spans="1:4" x14ac:dyDescent="0.25">
      <c r="A470" t="s">
        <v>1060</v>
      </c>
      <c r="B470">
        <v>700000</v>
      </c>
      <c r="C470">
        <v>175000</v>
      </c>
      <c r="D470">
        <v>300000</v>
      </c>
    </row>
    <row r="471" spans="1:4" x14ac:dyDescent="0.25">
      <c r="A471" t="s">
        <v>1061</v>
      </c>
      <c r="B471">
        <v>475000</v>
      </c>
      <c r="C471">
        <v>225000</v>
      </c>
      <c r="D471">
        <v>350000</v>
      </c>
    </row>
    <row r="472" spans="1:4" x14ac:dyDescent="0.25">
      <c r="A472" t="s">
        <v>1062</v>
      </c>
      <c r="B472">
        <v>1200000</v>
      </c>
      <c r="C472">
        <v>450000</v>
      </c>
      <c r="D472">
        <v>725000</v>
      </c>
    </row>
    <row r="473" spans="1:4" x14ac:dyDescent="0.25">
      <c r="A473" t="s">
        <v>1063</v>
      </c>
      <c r="B473">
        <v>825000</v>
      </c>
      <c r="C473">
        <v>500000</v>
      </c>
      <c r="D473">
        <v>675000</v>
      </c>
    </row>
    <row r="474" spans="1:4" x14ac:dyDescent="0.25">
      <c r="A474" t="s">
        <v>1064</v>
      </c>
      <c r="B474">
        <v>600000</v>
      </c>
      <c r="C474">
        <v>150000</v>
      </c>
      <c r="D474">
        <v>225000</v>
      </c>
    </row>
    <row r="475" spans="1:4" x14ac:dyDescent="0.25">
      <c r="A475" t="s">
        <v>1065</v>
      </c>
      <c r="B475">
        <v>275000</v>
      </c>
      <c r="C475">
        <v>125000</v>
      </c>
      <c r="D475">
        <v>175000</v>
      </c>
    </row>
    <row r="476" spans="1:4" x14ac:dyDescent="0.25">
      <c r="A476" t="s">
        <v>1066</v>
      </c>
      <c r="B476">
        <v>225000</v>
      </c>
      <c r="C476">
        <v>100000</v>
      </c>
      <c r="D476">
        <v>150000</v>
      </c>
    </row>
    <row r="477" spans="1:4" x14ac:dyDescent="0.25">
      <c r="A477" t="s">
        <v>1750</v>
      </c>
      <c r="B477">
        <v>625000</v>
      </c>
      <c r="C477">
        <v>275000</v>
      </c>
      <c r="D477">
        <v>275000</v>
      </c>
    </row>
    <row r="478" spans="1:4" x14ac:dyDescent="0.25">
      <c r="A478" t="s">
        <v>1751</v>
      </c>
      <c r="B478">
        <v>650000</v>
      </c>
      <c r="C478">
        <v>250000</v>
      </c>
      <c r="D478">
        <v>400000</v>
      </c>
    </row>
    <row r="479" spans="1:4" x14ac:dyDescent="0.25">
      <c r="A479" t="s">
        <v>1752</v>
      </c>
      <c r="B479">
        <v>600000</v>
      </c>
      <c r="C479">
        <v>225000</v>
      </c>
      <c r="D479">
        <v>350000</v>
      </c>
    </row>
    <row r="480" spans="1:4" x14ac:dyDescent="0.25">
      <c r="A480" t="s">
        <v>1753</v>
      </c>
      <c r="B480">
        <v>525000</v>
      </c>
      <c r="C480">
        <v>175000</v>
      </c>
      <c r="D480">
        <v>300000</v>
      </c>
    </row>
    <row r="481" spans="1:4" x14ac:dyDescent="0.25">
      <c r="A481" t="s">
        <v>1067</v>
      </c>
      <c r="B481">
        <v>200000</v>
      </c>
      <c r="C481">
        <v>50000</v>
      </c>
      <c r="D481">
        <v>175000</v>
      </c>
    </row>
    <row r="482" spans="1:4" x14ac:dyDescent="0.25">
      <c r="A482" t="s">
        <v>1068</v>
      </c>
      <c r="B482">
        <v>200000</v>
      </c>
      <c r="C482">
        <v>50000</v>
      </c>
      <c r="D482">
        <v>150000</v>
      </c>
    </row>
    <row r="483" spans="1:4" x14ac:dyDescent="0.25">
      <c r="A483" t="s">
        <v>1069</v>
      </c>
      <c r="B483">
        <v>200000</v>
      </c>
      <c r="C483">
        <v>50000</v>
      </c>
      <c r="D483">
        <v>150000</v>
      </c>
    </row>
    <row r="484" spans="1:4" x14ac:dyDescent="0.25">
      <c r="A484" t="s">
        <v>1070</v>
      </c>
      <c r="B484">
        <v>200000</v>
      </c>
      <c r="C484">
        <v>50000</v>
      </c>
      <c r="D484">
        <v>150000</v>
      </c>
    </row>
    <row r="485" spans="1:4" x14ac:dyDescent="0.25">
      <c r="A485" t="s">
        <v>1071</v>
      </c>
      <c r="B485">
        <v>200000</v>
      </c>
      <c r="C485">
        <v>50000</v>
      </c>
      <c r="D485">
        <v>150000</v>
      </c>
    </row>
    <row r="486" spans="1:4" x14ac:dyDescent="0.25">
      <c r="A486" t="s">
        <v>1072</v>
      </c>
      <c r="B486">
        <v>200000</v>
      </c>
      <c r="C486">
        <v>50000</v>
      </c>
      <c r="D486">
        <v>150000</v>
      </c>
    </row>
    <row r="487" spans="1:4" x14ac:dyDescent="0.25">
      <c r="A487" t="s">
        <v>1073</v>
      </c>
      <c r="B487">
        <v>200000</v>
      </c>
      <c r="C487">
        <v>50000</v>
      </c>
      <c r="D487">
        <v>150000</v>
      </c>
    </row>
    <row r="488" spans="1:4" x14ac:dyDescent="0.25">
      <c r="A488" t="s">
        <v>1074</v>
      </c>
      <c r="B488">
        <v>150000</v>
      </c>
      <c r="C488">
        <v>50000</v>
      </c>
      <c r="D488">
        <v>125000</v>
      </c>
    </row>
    <row r="489" spans="1:4" x14ac:dyDescent="0.25">
      <c r="A489" t="s">
        <v>1075</v>
      </c>
      <c r="B489">
        <v>175000</v>
      </c>
      <c r="C489">
        <v>50000</v>
      </c>
      <c r="D489">
        <v>125000</v>
      </c>
    </row>
    <row r="490" spans="1:4" x14ac:dyDescent="0.25">
      <c r="A490" t="s">
        <v>1076</v>
      </c>
      <c r="B490">
        <v>200000</v>
      </c>
      <c r="C490">
        <v>80000</v>
      </c>
      <c r="D490">
        <v>150000</v>
      </c>
    </row>
    <row r="491" spans="1:4" x14ac:dyDescent="0.25">
      <c r="A491" t="s">
        <v>1077</v>
      </c>
      <c r="B491">
        <v>250000</v>
      </c>
      <c r="C491">
        <v>80000</v>
      </c>
      <c r="D491">
        <v>150000</v>
      </c>
    </row>
    <row r="492" spans="1:4" x14ac:dyDescent="0.25">
      <c r="A492" t="s">
        <v>1078</v>
      </c>
      <c r="B492">
        <v>275000</v>
      </c>
      <c r="C492">
        <v>80000</v>
      </c>
      <c r="D492">
        <v>150000</v>
      </c>
    </row>
    <row r="493" spans="1:4" x14ac:dyDescent="0.25">
      <c r="A493" t="s">
        <v>1079</v>
      </c>
      <c r="B493">
        <v>125000</v>
      </c>
      <c r="C493">
        <v>50000</v>
      </c>
      <c r="D493">
        <v>100000</v>
      </c>
    </row>
    <row r="494" spans="1:4" x14ac:dyDescent="0.25">
      <c r="A494" t="s">
        <v>1080</v>
      </c>
      <c r="B494">
        <v>375000</v>
      </c>
      <c r="C494">
        <v>175000</v>
      </c>
      <c r="D494">
        <v>350000</v>
      </c>
    </row>
    <row r="495" spans="1:4" x14ac:dyDescent="0.25">
      <c r="A495" t="s">
        <v>1081</v>
      </c>
      <c r="B495">
        <v>775000</v>
      </c>
      <c r="C495">
        <v>375000</v>
      </c>
      <c r="D495">
        <v>650000</v>
      </c>
    </row>
    <row r="496" spans="1:4" x14ac:dyDescent="0.25">
      <c r="A496" t="s">
        <v>1082</v>
      </c>
      <c r="B496">
        <v>700000</v>
      </c>
      <c r="C496">
        <v>350000</v>
      </c>
      <c r="D496">
        <v>600000</v>
      </c>
    </row>
    <row r="497" spans="1:4" x14ac:dyDescent="0.25">
      <c r="A497" t="s">
        <v>1083</v>
      </c>
      <c r="B497">
        <v>350000</v>
      </c>
      <c r="C497">
        <v>150000</v>
      </c>
      <c r="D497">
        <v>150000</v>
      </c>
    </row>
    <row r="498" spans="1:4" x14ac:dyDescent="0.25">
      <c r="A498" t="s">
        <v>1084</v>
      </c>
      <c r="B498">
        <v>325000</v>
      </c>
      <c r="C498">
        <v>100000</v>
      </c>
      <c r="D498">
        <v>125000</v>
      </c>
    </row>
    <row r="499" spans="1:4" x14ac:dyDescent="0.25">
      <c r="A499" t="s">
        <v>1085</v>
      </c>
      <c r="B499">
        <v>250000</v>
      </c>
      <c r="C499">
        <v>80000</v>
      </c>
      <c r="D499">
        <v>100000</v>
      </c>
    </row>
    <row r="500" spans="1:4" x14ac:dyDescent="0.25">
      <c r="A500" t="s">
        <v>1086</v>
      </c>
      <c r="B500">
        <v>300000</v>
      </c>
      <c r="C500">
        <v>175000</v>
      </c>
      <c r="D500">
        <v>175000</v>
      </c>
    </row>
    <row r="501" spans="1:4" x14ac:dyDescent="0.25">
      <c r="A501" t="s">
        <v>1087</v>
      </c>
      <c r="B501">
        <v>725000</v>
      </c>
      <c r="C501">
        <v>100000</v>
      </c>
      <c r="D501">
        <v>90000</v>
      </c>
    </row>
    <row r="502" spans="1:4" x14ac:dyDescent="0.25">
      <c r="A502" t="s">
        <v>1088</v>
      </c>
      <c r="B502">
        <v>2300000</v>
      </c>
      <c r="C502">
        <v>150000</v>
      </c>
      <c r="D502">
        <v>125000</v>
      </c>
    </row>
    <row r="503" spans="1:4" x14ac:dyDescent="0.25">
      <c r="A503" t="s">
        <v>1089</v>
      </c>
      <c r="B503">
        <v>275000</v>
      </c>
      <c r="C503">
        <v>100000</v>
      </c>
      <c r="D503">
        <v>125000</v>
      </c>
    </row>
    <row r="504" spans="1:4" x14ac:dyDescent="0.25">
      <c r="A504" t="s">
        <v>1090</v>
      </c>
      <c r="B504">
        <v>200000</v>
      </c>
      <c r="C504">
        <v>50000</v>
      </c>
      <c r="D504">
        <v>125000</v>
      </c>
    </row>
    <row r="505" spans="1:4" x14ac:dyDescent="0.25">
      <c r="A505" t="s">
        <v>1091</v>
      </c>
      <c r="B505">
        <v>250000</v>
      </c>
      <c r="C505">
        <v>50000</v>
      </c>
      <c r="D505">
        <v>175000</v>
      </c>
    </row>
    <row r="506" spans="1:4" x14ac:dyDescent="0.25">
      <c r="A506" t="s">
        <v>1092</v>
      </c>
      <c r="B506">
        <v>200000</v>
      </c>
      <c r="C506">
        <v>50000</v>
      </c>
      <c r="D506">
        <v>125000</v>
      </c>
    </row>
    <row r="507" spans="1:4" x14ac:dyDescent="0.25">
      <c r="A507" t="s">
        <v>1093</v>
      </c>
      <c r="B507">
        <v>225000</v>
      </c>
      <c r="C507">
        <v>50000</v>
      </c>
      <c r="D507">
        <v>200000</v>
      </c>
    </row>
    <row r="508" spans="1:4" x14ac:dyDescent="0.25">
      <c r="A508" t="s">
        <v>1094</v>
      </c>
      <c r="B508">
        <v>175000</v>
      </c>
      <c r="C508">
        <v>50000</v>
      </c>
      <c r="D508">
        <v>150000</v>
      </c>
    </row>
    <row r="509" spans="1:4" x14ac:dyDescent="0.25">
      <c r="A509" t="s">
        <v>1095</v>
      </c>
      <c r="B509">
        <v>175000</v>
      </c>
      <c r="C509">
        <v>50000</v>
      </c>
      <c r="D509">
        <v>150000</v>
      </c>
    </row>
    <row r="510" spans="1:4" x14ac:dyDescent="0.25">
      <c r="A510" t="s">
        <v>1096</v>
      </c>
      <c r="B510">
        <v>200000</v>
      </c>
      <c r="C510">
        <v>80000</v>
      </c>
      <c r="D510">
        <v>100000</v>
      </c>
    </row>
    <row r="511" spans="1:4" x14ac:dyDescent="0.25">
      <c r="A511" t="s">
        <v>1097</v>
      </c>
      <c r="B511">
        <v>200000</v>
      </c>
      <c r="C511">
        <v>80000</v>
      </c>
      <c r="D511">
        <v>125000</v>
      </c>
    </row>
    <row r="512" spans="1:4" x14ac:dyDescent="0.25">
      <c r="A512" t="s">
        <v>1098</v>
      </c>
      <c r="B512">
        <v>175000</v>
      </c>
      <c r="C512">
        <v>70000</v>
      </c>
      <c r="D512">
        <v>90000</v>
      </c>
    </row>
    <row r="513" spans="1:4" x14ac:dyDescent="0.25">
      <c r="A513" t="s">
        <v>1099</v>
      </c>
      <c r="B513">
        <v>200000</v>
      </c>
      <c r="C513">
        <v>80000</v>
      </c>
      <c r="D513">
        <v>125000</v>
      </c>
    </row>
    <row r="514" spans="1:4" x14ac:dyDescent="0.25">
      <c r="A514" t="s">
        <v>1100</v>
      </c>
      <c r="B514">
        <v>175000</v>
      </c>
      <c r="C514">
        <v>50000</v>
      </c>
      <c r="D514">
        <v>125000</v>
      </c>
    </row>
    <row r="515" spans="1:4" x14ac:dyDescent="0.25">
      <c r="A515" t="s">
        <v>1101</v>
      </c>
      <c r="B515">
        <v>175000</v>
      </c>
      <c r="C515">
        <v>70000</v>
      </c>
      <c r="D515">
        <v>100000</v>
      </c>
    </row>
    <row r="516" spans="1:4" x14ac:dyDescent="0.25">
      <c r="A516" t="s">
        <v>1102</v>
      </c>
      <c r="B516">
        <v>225000</v>
      </c>
      <c r="C516">
        <v>100000</v>
      </c>
      <c r="D516">
        <v>150000</v>
      </c>
    </row>
    <row r="517" spans="1:4" x14ac:dyDescent="0.25">
      <c r="A517" t="s">
        <v>1103</v>
      </c>
      <c r="B517">
        <v>175000</v>
      </c>
      <c r="C517">
        <v>80000</v>
      </c>
      <c r="D517">
        <v>100000</v>
      </c>
    </row>
    <row r="518" spans="1:4" x14ac:dyDescent="0.25">
      <c r="A518" t="s">
        <v>1104</v>
      </c>
      <c r="B518">
        <v>275000</v>
      </c>
      <c r="C518">
        <v>125000</v>
      </c>
      <c r="D518">
        <v>175000</v>
      </c>
    </row>
    <row r="519" spans="1:4" x14ac:dyDescent="0.25">
      <c r="A519" t="s">
        <v>1105</v>
      </c>
      <c r="B519">
        <v>175000</v>
      </c>
      <c r="C519">
        <v>80000</v>
      </c>
      <c r="D519">
        <v>150000</v>
      </c>
    </row>
    <row r="520" spans="1:4" x14ac:dyDescent="0.25">
      <c r="A520" t="s">
        <v>1106</v>
      </c>
      <c r="B520">
        <v>200000</v>
      </c>
      <c r="C520">
        <v>90000</v>
      </c>
      <c r="D520">
        <v>125000</v>
      </c>
    </row>
    <row r="521" spans="1:4" x14ac:dyDescent="0.25">
      <c r="A521" t="s">
        <v>1107</v>
      </c>
      <c r="B521">
        <v>250000</v>
      </c>
      <c r="C521">
        <v>125000</v>
      </c>
      <c r="D521">
        <v>175000</v>
      </c>
    </row>
    <row r="522" spans="1:4" x14ac:dyDescent="0.25">
      <c r="A522" t="s">
        <v>1108</v>
      </c>
      <c r="B522">
        <v>125000</v>
      </c>
      <c r="C522">
        <v>50000</v>
      </c>
      <c r="D522">
        <v>60000</v>
      </c>
    </row>
    <row r="523" spans="1:4" x14ac:dyDescent="0.25">
      <c r="A523" t="s">
        <v>1109</v>
      </c>
      <c r="B523">
        <v>200000</v>
      </c>
      <c r="C523">
        <v>60000</v>
      </c>
      <c r="D523">
        <v>125000</v>
      </c>
    </row>
    <row r="524" spans="1:4" x14ac:dyDescent="0.25">
      <c r="A524" t="s">
        <v>1110</v>
      </c>
      <c r="B524">
        <v>350000</v>
      </c>
      <c r="C524">
        <v>175000</v>
      </c>
      <c r="D524">
        <v>250000</v>
      </c>
    </row>
    <row r="525" spans="1:4" x14ac:dyDescent="0.25">
      <c r="A525" t="s">
        <v>1111</v>
      </c>
      <c r="B525">
        <v>200000</v>
      </c>
      <c r="C525">
        <v>70000</v>
      </c>
      <c r="D525">
        <v>80000</v>
      </c>
    </row>
    <row r="526" spans="1:4" x14ac:dyDescent="0.25">
      <c r="A526" t="s">
        <v>1112</v>
      </c>
      <c r="B526">
        <v>275000</v>
      </c>
      <c r="C526">
        <v>150000</v>
      </c>
      <c r="D526">
        <v>175000</v>
      </c>
    </row>
    <row r="527" spans="1:4" x14ac:dyDescent="0.25">
      <c r="A527" t="s">
        <v>1113</v>
      </c>
      <c r="B527">
        <v>225000</v>
      </c>
      <c r="C527">
        <v>100000</v>
      </c>
      <c r="D527">
        <v>125000</v>
      </c>
    </row>
    <row r="528" spans="1:4" x14ac:dyDescent="0.25">
      <c r="A528" t="s">
        <v>1114</v>
      </c>
      <c r="B528">
        <v>200000</v>
      </c>
      <c r="C528">
        <v>125000</v>
      </c>
      <c r="D528">
        <v>125000</v>
      </c>
    </row>
    <row r="529" spans="1:4" x14ac:dyDescent="0.25">
      <c r="A529" t="s">
        <v>1115</v>
      </c>
      <c r="B529">
        <v>200000</v>
      </c>
      <c r="C529">
        <v>60000</v>
      </c>
      <c r="D529">
        <v>100000</v>
      </c>
    </row>
    <row r="530" spans="1:4" x14ac:dyDescent="0.25">
      <c r="A530" t="s">
        <v>1116</v>
      </c>
      <c r="B530">
        <v>175000</v>
      </c>
      <c r="C530">
        <v>80000</v>
      </c>
      <c r="D530">
        <v>80000</v>
      </c>
    </row>
    <row r="531" spans="1:4" x14ac:dyDescent="0.25">
      <c r="A531" t="s">
        <v>1117</v>
      </c>
      <c r="B531">
        <v>175000</v>
      </c>
      <c r="C531">
        <v>50000</v>
      </c>
      <c r="D531">
        <v>125000</v>
      </c>
    </row>
    <row r="532" spans="1:4" x14ac:dyDescent="0.25">
      <c r="A532" t="s">
        <v>1118</v>
      </c>
      <c r="B532">
        <v>150000</v>
      </c>
      <c r="C532">
        <v>50000</v>
      </c>
      <c r="D532">
        <v>125000</v>
      </c>
    </row>
    <row r="533" spans="1:4" x14ac:dyDescent="0.25">
      <c r="A533" t="s">
        <v>1119</v>
      </c>
      <c r="B533">
        <v>150000</v>
      </c>
      <c r="C533">
        <v>50000</v>
      </c>
      <c r="D533">
        <v>100000</v>
      </c>
    </row>
    <row r="534" spans="1:4" x14ac:dyDescent="0.25">
      <c r="A534" t="s">
        <v>1120</v>
      </c>
      <c r="B534">
        <v>150000</v>
      </c>
      <c r="C534">
        <v>50000</v>
      </c>
      <c r="D534">
        <v>100000</v>
      </c>
    </row>
    <row r="535" spans="1:4" x14ac:dyDescent="0.25">
      <c r="A535" t="s">
        <v>1121</v>
      </c>
      <c r="B535">
        <v>200000</v>
      </c>
      <c r="C535">
        <v>90000</v>
      </c>
      <c r="D535">
        <v>125000</v>
      </c>
    </row>
    <row r="536" spans="1:4" x14ac:dyDescent="0.25">
      <c r="A536" t="s">
        <v>1122</v>
      </c>
      <c r="B536">
        <v>225000</v>
      </c>
      <c r="C536">
        <v>60000</v>
      </c>
      <c r="D536">
        <v>175000</v>
      </c>
    </row>
    <row r="537" spans="1:4" x14ac:dyDescent="0.25">
      <c r="A537" t="s">
        <v>1123</v>
      </c>
      <c r="B537">
        <v>100000</v>
      </c>
      <c r="C537">
        <v>50000</v>
      </c>
      <c r="D537">
        <v>50000</v>
      </c>
    </row>
    <row r="538" spans="1:4" x14ac:dyDescent="0.25">
      <c r="A538" t="s">
        <v>1124</v>
      </c>
      <c r="B538">
        <v>225000</v>
      </c>
      <c r="C538">
        <v>90000</v>
      </c>
      <c r="D538">
        <v>100000</v>
      </c>
    </row>
    <row r="539" spans="1:4" x14ac:dyDescent="0.25">
      <c r="A539" t="s">
        <v>1125</v>
      </c>
      <c r="B539">
        <v>325000</v>
      </c>
      <c r="C539">
        <v>150000</v>
      </c>
      <c r="D539">
        <v>175000</v>
      </c>
    </row>
    <row r="540" spans="1:4" x14ac:dyDescent="0.25">
      <c r="A540" t="s">
        <v>1126</v>
      </c>
      <c r="B540">
        <v>325000</v>
      </c>
      <c r="C540">
        <v>125000</v>
      </c>
      <c r="D540">
        <v>175000</v>
      </c>
    </row>
    <row r="541" spans="1:4" x14ac:dyDescent="0.25">
      <c r="A541" t="s">
        <v>1127</v>
      </c>
      <c r="B541">
        <v>225000</v>
      </c>
      <c r="C541">
        <v>100000</v>
      </c>
      <c r="D541">
        <v>150000</v>
      </c>
    </row>
    <row r="542" spans="1:4" x14ac:dyDescent="0.25">
      <c r="A542" t="s">
        <v>1128</v>
      </c>
      <c r="B542">
        <v>300000</v>
      </c>
      <c r="C542">
        <v>125000</v>
      </c>
      <c r="D542">
        <v>250000</v>
      </c>
    </row>
    <row r="543" spans="1:4" x14ac:dyDescent="0.25">
      <c r="A543" t="s">
        <v>1129</v>
      </c>
      <c r="B543">
        <v>175000</v>
      </c>
      <c r="C543">
        <v>50000</v>
      </c>
      <c r="D543">
        <v>125000</v>
      </c>
    </row>
    <row r="544" spans="1:4" x14ac:dyDescent="0.25">
      <c r="A544" t="s">
        <v>1130</v>
      </c>
      <c r="B544">
        <v>175000</v>
      </c>
      <c r="C544">
        <v>50000</v>
      </c>
      <c r="D544">
        <v>60000</v>
      </c>
    </row>
    <row r="545" spans="1:4" x14ac:dyDescent="0.25">
      <c r="A545" t="s">
        <v>1131</v>
      </c>
      <c r="B545">
        <v>125000</v>
      </c>
      <c r="C545">
        <v>50000</v>
      </c>
      <c r="D545">
        <v>60000</v>
      </c>
    </row>
    <row r="546" spans="1:4" x14ac:dyDescent="0.25">
      <c r="A546" t="s">
        <v>1132</v>
      </c>
      <c r="B546">
        <v>150000</v>
      </c>
      <c r="C546">
        <v>50000</v>
      </c>
      <c r="D546">
        <v>50000</v>
      </c>
    </row>
    <row r="547" spans="1:4" x14ac:dyDescent="0.25">
      <c r="A547" t="s">
        <v>1133</v>
      </c>
      <c r="B547">
        <v>100000</v>
      </c>
      <c r="C547">
        <v>50000</v>
      </c>
      <c r="D547">
        <v>50000</v>
      </c>
    </row>
    <row r="548" spans="1:4" x14ac:dyDescent="0.25">
      <c r="A548" t="s">
        <v>1134</v>
      </c>
      <c r="B548">
        <v>175000</v>
      </c>
      <c r="C548">
        <v>80000</v>
      </c>
      <c r="D548">
        <v>125000</v>
      </c>
    </row>
    <row r="549" spans="1:4" x14ac:dyDescent="0.25">
      <c r="A549" t="s">
        <v>1135</v>
      </c>
      <c r="B549">
        <v>175000</v>
      </c>
      <c r="C549">
        <v>50000</v>
      </c>
      <c r="D549">
        <v>125000</v>
      </c>
    </row>
    <row r="550" spans="1:4" x14ac:dyDescent="0.25">
      <c r="A550" t="s">
        <v>1136</v>
      </c>
      <c r="B550">
        <v>175000</v>
      </c>
      <c r="C550">
        <v>70000</v>
      </c>
      <c r="D550">
        <v>125000</v>
      </c>
    </row>
    <row r="551" spans="1:4" x14ac:dyDescent="0.25">
      <c r="A551" t="s">
        <v>1137</v>
      </c>
      <c r="B551">
        <v>175000</v>
      </c>
      <c r="C551">
        <v>80000</v>
      </c>
      <c r="D551">
        <v>100000</v>
      </c>
    </row>
    <row r="552" spans="1:4" x14ac:dyDescent="0.25">
      <c r="A552" t="s">
        <v>1138</v>
      </c>
      <c r="B552">
        <v>275000</v>
      </c>
      <c r="C552">
        <v>50000</v>
      </c>
      <c r="D552">
        <v>200000</v>
      </c>
    </row>
    <row r="553" spans="1:4" x14ac:dyDescent="0.25">
      <c r="A553" t="s">
        <v>1139</v>
      </c>
      <c r="B553">
        <v>225000</v>
      </c>
      <c r="C553">
        <v>90000</v>
      </c>
      <c r="D553">
        <v>175000</v>
      </c>
    </row>
    <row r="554" spans="1:4" x14ac:dyDescent="0.25">
      <c r="A554" t="s">
        <v>1140</v>
      </c>
      <c r="B554">
        <v>175000</v>
      </c>
      <c r="C554">
        <v>50000</v>
      </c>
      <c r="D554">
        <v>100000</v>
      </c>
    </row>
    <row r="555" spans="1:4" x14ac:dyDescent="0.25">
      <c r="A555" t="s">
        <v>1141</v>
      </c>
      <c r="B555">
        <v>225000</v>
      </c>
      <c r="C555">
        <v>80000</v>
      </c>
      <c r="D555">
        <v>150000</v>
      </c>
    </row>
    <row r="556" spans="1:4" x14ac:dyDescent="0.25">
      <c r="A556" t="s">
        <v>1142</v>
      </c>
      <c r="B556">
        <v>200000</v>
      </c>
      <c r="C556">
        <v>90000</v>
      </c>
      <c r="D556">
        <v>125000</v>
      </c>
    </row>
    <row r="557" spans="1:4" x14ac:dyDescent="0.25">
      <c r="A557" t="s">
        <v>1143</v>
      </c>
      <c r="B557">
        <v>125000</v>
      </c>
      <c r="C557">
        <v>50000</v>
      </c>
      <c r="D557">
        <v>60000</v>
      </c>
    </row>
    <row r="558" spans="1:4" x14ac:dyDescent="0.25">
      <c r="A558" t="s">
        <v>1144</v>
      </c>
      <c r="B558">
        <v>175000</v>
      </c>
      <c r="C558">
        <v>90000</v>
      </c>
      <c r="D558">
        <v>125000</v>
      </c>
    </row>
    <row r="559" spans="1:4" x14ac:dyDescent="0.25">
      <c r="A559" t="s">
        <v>1145</v>
      </c>
      <c r="B559">
        <v>200000</v>
      </c>
      <c r="C559">
        <v>90000</v>
      </c>
      <c r="D559">
        <v>100000</v>
      </c>
    </row>
    <row r="560" spans="1:4" x14ac:dyDescent="0.25">
      <c r="A560" t="s">
        <v>1146</v>
      </c>
      <c r="B560">
        <v>175000</v>
      </c>
      <c r="C560">
        <v>80000</v>
      </c>
      <c r="D560">
        <v>125000</v>
      </c>
    </row>
    <row r="561" spans="1:4" x14ac:dyDescent="0.25">
      <c r="A561" t="s">
        <v>1147</v>
      </c>
      <c r="B561">
        <v>200000</v>
      </c>
      <c r="C561">
        <v>90000</v>
      </c>
      <c r="D561">
        <v>125000</v>
      </c>
    </row>
    <row r="562" spans="1:4" x14ac:dyDescent="0.25">
      <c r="A562" t="s">
        <v>1148</v>
      </c>
      <c r="B562">
        <v>275000</v>
      </c>
      <c r="C562">
        <v>90000</v>
      </c>
      <c r="D562">
        <v>100000</v>
      </c>
    </row>
    <row r="563" spans="1:4" x14ac:dyDescent="0.25">
      <c r="A563" t="s">
        <v>1149</v>
      </c>
      <c r="B563">
        <v>175000</v>
      </c>
      <c r="C563">
        <v>50000</v>
      </c>
      <c r="D563">
        <v>125000</v>
      </c>
    </row>
    <row r="564" spans="1:4" x14ac:dyDescent="0.25">
      <c r="A564" t="s">
        <v>1150</v>
      </c>
      <c r="B564">
        <v>175000</v>
      </c>
      <c r="C564">
        <v>60000</v>
      </c>
      <c r="D564">
        <v>150000</v>
      </c>
    </row>
    <row r="565" spans="1:4" x14ac:dyDescent="0.25">
      <c r="A565" t="s">
        <v>1151</v>
      </c>
      <c r="B565">
        <v>175000</v>
      </c>
      <c r="C565">
        <v>50000</v>
      </c>
      <c r="D565">
        <v>100000</v>
      </c>
    </row>
    <row r="566" spans="1:4" x14ac:dyDescent="0.25">
      <c r="A566" t="s">
        <v>1152</v>
      </c>
      <c r="B566">
        <v>200000</v>
      </c>
      <c r="C566">
        <v>50000</v>
      </c>
      <c r="D566">
        <v>125000</v>
      </c>
    </row>
    <row r="567" spans="1:4" x14ac:dyDescent="0.25">
      <c r="A567" t="s">
        <v>1153</v>
      </c>
      <c r="B567">
        <v>200000</v>
      </c>
      <c r="C567">
        <v>50000</v>
      </c>
      <c r="D567">
        <v>100000</v>
      </c>
    </row>
    <row r="568" spans="1:4" x14ac:dyDescent="0.25">
      <c r="A568" t="s">
        <v>1154</v>
      </c>
      <c r="B568">
        <v>175000</v>
      </c>
      <c r="C568">
        <v>80000</v>
      </c>
      <c r="D568">
        <v>100000</v>
      </c>
    </row>
    <row r="569" spans="1:4" x14ac:dyDescent="0.25">
      <c r="A569" t="s">
        <v>1155</v>
      </c>
      <c r="B569">
        <v>350000</v>
      </c>
      <c r="C569">
        <v>150000</v>
      </c>
      <c r="D569">
        <v>200000</v>
      </c>
    </row>
    <row r="570" spans="1:4" x14ac:dyDescent="0.25">
      <c r="A570" t="s">
        <v>1156</v>
      </c>
      <c r="B570">
        <v>250000</v>
      </c>
      <c r="C570">
        <v>60000</v>
      </c>
      <c r="D570">
        <v>225000</v>
      </c>
    </row>
    <row r="571" spans="1:4" x14ac:dyDescent="0.25">
      <c r="A571" t="s">
        <v>1157</v>
      </c>
      <c r="B571">
        <v>250000</v>
      </c>
      <c r="C571">
        <v>125000</v>
      </c>
      <c r="D571">
        <v>175000</v>
      </c>
    </row>
    <row r="572" spans="1:4" x14ac:dyDescent="0.25">
      <c r="A572" t="s">
        <v>1158</v>
      </c>
      <c r="B572">
        <v>850000</v>
      </c>
      <c r="C572">
        <v>125000</v>
      </c>
      <c r="D572">
        <v>125000</v>
      </c>
    </row>
    <row r="573" spans="1:4" x14ac:dyDescent="0.25">
      <c r="A573" t="s">
        <v>1159</v>
      </c>
      <c r="B573">
        <v>400000</v>
      </c>
      <c r="C573">
        <v>125000</v>
      </c>
      <c r="D573">
        <v>150000</v>
      </c>
    </row>
    <row r="574" spans="1:4" x14ac:dyDescent="0.25">
      <c r="A574" t="s">
        <v>1160</v>
      </c>
      <c r="B574">
        <v>275000</v>
      </c>
      <c r="C574">
        <v>100000</v>
      </c>
      <c r="D574">
        <v>150000</v>
      </c>
    </row>
    <row r="575" spans="1:4" x14ac:dyDescent="0.25">
      <c r="A575" t="s">
        <v>1161</v>
      </c>
      <c r="B575">
        <v>400000</v>
      </c>
      <c r="C575">
        <v>175000</v>
      </c>
      <c r="D575">
        <v>225000</v>
      </c>
    </row>
    <row r="576" spans="1:4" x14ac:dyDescent="0.25">
      <c r="A576" t="s">
        <v>1162</v>
      </c>
      <c r="B576">
        <v>925000</v>
      </c>
      <c r="C576">
        <v>400000</v>
      </c>
      <c r="D576">
        <v>825000</v>
      </c>
    </row>
    <row r="577" spans="1:4" x14ac:dyDescent="0.25">
      <c r="A577" t="s">
        <v>1163</v>
      </c>
      <c r="B577">
        <v>700000</v>
      </c>
      <c r="C577">
        <v>275000</v>
      </c>
      <c r="D577">
        <v>450000</v>
      </c>
    </row>
    <row r="578" spans="1:4" x14ac:dyDescent="0.25">
      <c r="A578" t="s">
        <v>1164</v>
      </c>
      <c r="B578">
        <v>875000</v>
      </c>
      <c r="C578">
        <v>500000</v>
      </c>
      <c r="D578">
        <v>700000</v>
      </c>
    </row>
    <row r="579" spans="1:4" x14ac:dyDescent="0.25">
      <c r="A579" t="s">
        <v>1165</v>
      </c>
      <c r="B579">
        <v>775000</v>
      </c>
      <c r="C579">
        <v>425000</v>
      </c>
      <c r="D579">
        <v>425000</v>
      </c>
    </row>
    <row r="580" spans="1:4" x14ac:dyDescent="0.25">
      <c r="A580" t="s">
        <v>1166</v>
      </c>
      <c r="B580">
        <v>475000</v>
      </c>
      <c r="C580">
        <v>50000</v>
      </c>
      <c r="D580">
        <v>375000</v>
      </c>
    </row>
    <row r="581" spans="1:4" x14ac:dyDescent="0.25">
      <c r="A581" t="s">
        <v>1167</v>
      </c>
      <c r="B581">
        <v>350000</v>
      </c>
      <c r="C581">
        <v>90000</v>
      </c>
      <c r="D581">
        <v>275000</v>
      </c>
    </row>
  </sheetData>
  <pageMargins left="0.7" right="0.7" top="0.75" bottom="0.75" header="0.3" footer="0.3"/>
  <pageSetup paperSize="9" orientation="portrait" r:id="rId1"/>
  <headerFooter differentOddEven="1" differentFirst="1">
    <oddFooter>&amp;L &amp;"arial,Regular"&amp;10Internal Use</oddFooter>
    <evenFooter>&amp;L &amp;"arial,Regular"&amp;10Internal Use</evenFooter>
    <firstFooter>&amp;L &amp;"arial,Regular"&amp;10Internal Use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FA3BE-391B-4E0D-AFC0-58EC79DC5FAE}">
  <sheetPr codeName="Sheet5"/>
  <dimension ref="A1:VI73"/>
  <sheetViews>
    <sheetView workbookViewId="0">
      <selection activeCell="N574" sqref="N574"/>
    </sheetView>
  </sheetViews>
  <sheetFormatPr defaultRowHeight="15" x14ac:dyDescent="0.25"/>
  <sheetData>
    <row r="1" spans="1:581" x14ac:dyDescent="0.25">
      <c r="A1" t="s">
        <v>1169</v>
      </c>
      <c r="B1" t="s">
        <v>1168</v>
      </c>
      <c r="C1" t="s">
        <v>1170</v>
      </c>
      <c r="D1" t="s">
        <v>1171</v>
      </c>
      <c r="E1" t="s">
        <v>1172</v>
      </c>
      <c r="F1" t="s">
        <v>1173</v>
      </c>
      <c r="G1" t="s">
        <v>1174</v>
      </c>
      <c r="H1" t="s">
        <v>1175</v>
      </c>
      <c r="I1" t="s">
        <v>1176</v>
      </c>
      <c r="J1" t="s">
        <v>1177</v>
      </c>
      <c r="K1" t="s">
        <v>1178</v>
      </c>
      <c r="L1" t="s">
        <v>1179</v>
      </c>
      <c r="M1" t="s">
        <v>1180</v>
      </c>
      <c r="N1" t="s">
        <v>1181</v>
      </c>
      <c r="O1" t="s">
        <v>1182</v>
      </c>
      <c r="P1" t="s">
        <v>1183</v>
      </c>
      <c r="Q1" t="s">
        <v>1184</v>
      </c>
      <c r="R1" t="s">
        <v>1185</v>
      </c>
      <c r="S1" t="s">
        <v>1186</v>
      </c>
      <c r="T1" t="s">
        <v>1187</v>
      </c>
      <c r="U1" t="s">
        <v>1188</v>
      </c>
      <c r="V1" t="s">
        <v>1189</v>
      </c>
      <c r="W1" t="s">
        <v>1190</v>
      </c>
      <c r="X1" t="s">
        <v>1191</v>
      </c>
      <c r="Y1" t="s">
        <v>1192</v>
      </c>
      <c r="Z1" t="s">
        <v>1193</v>
      </c>
      <c r="AA1" t="s">
        <v>1194</v>
      </c>
      <c r="AB1" t="s">
        <v>1195</v>
      </c>
      <c r="AC1" t="s">
        <v>1196</v>
      </c>
      <c r="AD1" t="s">
        <v>1197</v>
      </c>
      <c r="AE1" t="s">
        <v>1198</v>
      </c>
      <c r="AF1" t="s">
        <v>1199</v>
      </c>
      <c r="AG1" t="s">
        <v>1200</v>
      </c>
      <c r="AH1" t="s">
        <v>1201</v>
      </c>
      <c r="AI1" t="s">
        <v>1202</v>
      </c>
      <c r="AJ1" t="s">
        <v>1203</v>
      </c>
      <c r="AK1" t="s">
        <v>1204</v>
      </c>
      <c r="AL1" t="s">
        <v>1205</v>
      </c>
      <c r="AM1" t="s">
        <v>1206</v>
      </c>
      <c r="AN1" t="s">
        <v>1207</v>
      </c>
      <c r="AO1" t="s">
        <v>1208</v>
      </c>
      <c r="AP1" t="s">
        <v>1209</v>
      </c>
      <c r="AQ1" t="s">
        <v>1210</v>
      </c>
      <c r="AR1" t="s">
        <v>1211</v>
      </c>
      <c r="AS1" t="s">
        <v>1212</v>
      </c>
      <c r="AT1" t="s">
        <v>1213</v>
      </c>
      <c r="AU1" t="s">
        <v>1214</v>
      </c>
      <c r="AV1" t="s">
        <v>1215</v>
      </c>
      <c r="AW1" t="s">
        <v>1216</v>
      </c>
      <c r="AX1" t="s">
        <v>1217</v>
      </c>
      <c r="AY1" t="s">
        <v>1218</v>
      </c>
      <c r="AZ1" t="s">
        <v>1219</v>
      </c>
      <c r="BA1" t="s">
        <v>1220</v>
      </c>
      <c r="BB1" t="s">
        <v>1221</v>
      </c>
      <c r="BC1" t="s">
        <v>1222</v>
      </c>
      <c r="BD1" t="s">
        <v>1223</v>
      </c>
      <c r="BE1" t="s">
        <v>1224</v>
      </c>
      <c r="BF1" t="s">
        <v>1225</v>
      </c>
      <c r="BG1" t="s">
        <v>1226</v>
      </c>
      <c r="BH1" t="s">
        <v>1227</v>
      </c>
      <c r="BI1" t="s">
        <v>1228</v>
      </c>
      <c r="BJ1" t="s">
        <v>1229</v>
      </c>
      <c r="BK1" t="s">
        <v>1230</v>
      </c>
      <c r="BL1" t="s">
        <v>1231</v>
      </c>
      <c r="BM1" t="s">
        <v>1232</v>
      </c>
      <c r="BN1" t="s">
        <v>1233</v>
      </c>
      <c r="BO1" t="s">
        <v>1234</v>
      </c>
      <c r="BP1" t="s">
        <v>1235</v>
      </c>
      <c r="BQ1" t="s">
        <v>1236</v>
      </c>
      <c r="BR1" t="s">
        <v>1237</v>
      </c>
      <c r="BS1" t="s">
        <v>1238</v>
      </c>
      <c r="BT1" t="s">
        <v>1239</v>
      </c>
      <c r="BU1" t="s">
        <v>1240</v>
      </c>
      <c r="BV1" t="s">
        <v>1241</v>
      </c>
      <c r="BW1" t="s">
        <v>1242</v>
      </c>
      <c r="BX1" t="s">
        <v>1243</v>
      </c>
      <c r="BY1" t="s">
        <v>1244</v>
      </c>
      <c r="BZ1" t="s">
        <v>1245</v>
      </c>
      <c r="CA1" t="s">
        <v>1246</v>
      </c>
      <c r="CB1" t="s">
        <v>1247</v>
      </c>
      <c r="CC1" t="s">
        <v>1248</v>
      </c>
      <c r="CD1" t="s">
        <v>1249</v>
      </c>
      <c r="CE1" t="s">
        <v>1250</v>
      </c>
      <c r="CF1" t="s">
        <v>1251</v>
      </c>
      <c r="CG1" t="s">
        <v>1252</v>
      </c>
      <c r="CH1" t="s">
        <v>1253</v>
      </c>
      <c r="CI1" t="s">
        <v>1254</v>
      </c>
      <c r="CJ1" t="s">
        <v>1255</v>
      </c>
      <c r="CK1" t="s">
        <v>1256</v>
      </c>
      <c r="CL1" t="s">
        <v>1257</v>
      </c>
      <c r="CM1" t="s">
        <v>1258</v>
      </c>
      <c r="CN1" t="s">
        <v>1259</v>
      </c>
      <c r="CO1" t="s">
        <v>1260</v>
      </c>
      <c r="CP1" t="s">
        <v>1261</v>
      </c>
      <c r="CQ1" t="s">
        <v>1262</v>
      </c>
      <c r="CR1" t="s">
        <v>1263</v>
      </c>
      <c r="CS1" t="s">
        <v>1264</v>
      </c>
      <c r="CT1" t="s">
        <v>1265</v>
      </c>
      <c r="CU1" t="s">
        <v>1266</v>
      </c>
      <c r="CV1" t="s">
        <v>1267</v>
      </c>
      <c r="CW1" t="s">
        <v>1268</v>
      </c>
      <c r="CX1" t="s">
        <v>1269</v>
      </c>
      <c r="CY1" t="s">
        <v>1270</v>
      </c>
      <c r="CZ1" t="s">
        <v>1271</v>
      </c>
      <c r="DA1" t="s">
        <v>1272</v>
      </c>
      <c r="DB1" t="s">
        <v>1273</v>
      </c>
      <c r="DC1" t="s">
        <v>1274</v>
      </c>
      <c r="DD1" t="s">
        <v>1275</v>
      </c>
      <c r="DE1" t="s">
        <v>1276</v>
      </c>
      <c r="DF1" t="s">
        <v>1277</v>
      </c>
      <c r="DG1" t="s">
        <v>1278</v>
      </c>
      <c r="DH1" t="s">
        <v>1279</v>
      </c>
      <c r="DI1" t="s">
        <v>1280</v>
      </c>
      <c r="DJ1" t="s">
        <v>1281</v>
      </c>
      <c r="DK1" t="s">
        <v>1282</v>
      </c>
      <c r="DL1" t="s">
        <v>1283</v>
      </c>
      <c r="DM1" t="s">
        <v>1284</v>
      </c>
      <c r="DN1" t="s">
        <v>1285</v>
      </c>
      <c r="DO1" t="s">
        <v>1286</v>
      </c>
      <c r="DP1" t="s">
        <v>1287</v>
      </c>
      <c r="DQ1" t="s">
        <v>1288</v>
      </c>
      <c r="DR1" t="s">
        <v>1289</v>
      </c>
      <c r="DS1" t="s">
        <v>1290</v>
      </c>
      <c r="DT1" t="s">
        <v>1291</v>
      </c>
      <c r="DU1" t="s">
        <v>1292</v>
      </c>
      <c r="DV1" t="s">
        <v>1293</v>
      </c>
      <c r="DW1" t="s">
        <v>1294</v>
      </c>
      <c r="DX1" t="s">
        <v>1295</v>
      </c>
      <c r="DY1" t="s">
        <v>1296</v>
      </c>
      <c r="DZ1" t="s">
        <v>1297</v>
      </c>
      <c r="EA1" t="s">
        <v>1298</v>
      </c>
      <c r="EB1" t="s">
        <v>1299</v>
      </c>
      <c r="EC1" t="s">
        <v>1300</v>
      </c>
      <c r="ED1" t="s">
        <v>1301</v>
      </c>
      <c r="EE1" t="s">
        <v>1302</v>
      </c>
      <c r="EF1" t="s">
        <v>1303</v>
      </c>
      <c r="EG1" t="s">
        <v>1304</v>
      </c>
      <c r="EH1" t="s">
        <v>1305</v>
      </c>
      <c r="EI1" t="s">
        <v>1306</v>
      </c>
      <c r="EJ1" t="s">
        <v>1307</v>
      </c>
      <c r="EK1" t="s">
        <v>1308</v>
      </c>
      <c r="EL1" t="s">
        <v>1309</v>
      </c>
      <c r="EM1" t="s">
        <v>1310</v>
      </c>
      <c r="EN1" t="s">
        <v>1311</v>
      </c>
      <c r="EO1" t="s">
        <v>1312</v>
      </c>
      <c r="EP1" t="s">
        <v>1313</v>
      </c>
      <c r="EQ1" t="s">
        <v>1314</v>
      </c>
      <c r="ER1" t="s">
        <v>1315</v>
      </c>
      <c r="ES1" t="s">
        <v>1316</v>
      </c>
      <c r="ET1" t="s">
        <v>1317</v>
      </c>
      <c r="EU1" t="s">
        <v>1318</v>
      </c>
      <c r="EV1" t="s">
        <v>1319</v>
      </c>
      <c r="EW1" t="s">
        <v>1320</v>
      </c>
      <c r="EX1" t="s">
        <v>1321</v>
      </c>
      <c r="EY1" t="s">
        <v>1322</v>
      </c>
      <c r="EZ1" t="s">
        <v>1323</v>
      </c>
      <c r="FA1" t="s">
        <v>1324</v>
      </c>
      <c r="FB1" t="s">
        <v>1325</v>
      </c>
      <c r="FC1" t="s">
        <v>1326</v>
      </c>
      <c r="FD1" t="s">
        <v>1327</v>
      </c>
      <c r="FE1" t="s">
        <v>1328</v>
      </c>
      <c r="FF1" t="s">
        <v>1329</v>
      </c>
      <c r="FG1" t="s">
        <v>1330</v>
      </c>
      <c r="FH1" t="s">
        <v>1331</v>
      </c>
      <c r="FI1" t="s">
        <v>1332</v>
      </c>
      <c r="FJ1" t="s">
        <v>1333</v>
      </c>
      <c r="FK1" t="s">
        <v>1334</v>
      </c>
      <c r="FL1" t="s">
        <v>1335</v>
      </c>
      <c r="FM1" t="s">
        <v>1336</v>
      </c>
      <c r="FN1" t="s">
        <v>1337</v>
      </c>
      <c r="FO1" t="s">
        <v>1338</v>
      </c>
      <c r="FP1" t="s">
        <v>1339</v>
      </c>
      <c r="FQ1" t="s">
        <v>1340</v>
      </c>
      <c r="FR1" t="s">
        <v>1341</v>
      </c>
      <c r="FS1" t="s">
        <v>1342</v>
      </c>
      <c r="FT1" t="s">
        <v>1343</v>
      </c>
      <c r="FU1" t="s">
        <v>1344</v>
      </c>
      <c r="FV1" t="s">
        <v>1345</v>
      </c>
      <c r="FW1" t="s">
        <v>1346</v>
      </c>
      <c r="FX1" t="s">
        <v>1347</v>
      </c>
      <c r="FY1" t="s">
        <v>1348</v>
      </c>
      <c r="FZ1" t="s">
        <v>1349</v>
      </c>
      <c r="GA1" t="s">
        <v>1350</v>
      </c>
      <c r="GB1" t="s">
        <v>1351</v>
      </c>
      <c r="GC1" t="s">
        <v>1352</v>
      </c>
      <c r="GD1" t="s">
        <v>1353</v>
      </c>
      <c r="GE1" t="s">
        <v>1354</v>
      </c>
      <c r="GF1" t="s">
        <v>1355</v>
      </c>
      <c r="GG1" t="s">
        <v>1356</v>
      </c>
      <c r="GH1" t="s">
        <v>1357</v>
      </c>
      <c r="GI1" t="s">
        <v>1358</v>
      </c>
      <c r="GJ1" t="s">
        <v>1359</v>
      </c>
      <c r="GK1" t="s">
        <v>1360</v>
      </c>
      <c r="GL1" t="s">
        <v>1361</v>
      </c>
      <c r="GM1" t="s">
        <v>1362</v>
      </c>
      <c r="GN1" t="s">
        <v>1363</v>
      </c>
      <c r="GO1" t="s">
        <v>1364</v>
      </c>
      <c r="GP1" t="s">
        <v>1365</v>
      </c>
      <c r="GQ1" t="s">
        <v>1366</v>
      </c>
      <c r="GR1" t="s">
        <v>1367</v>
      </c>
      <c r="GS1" t="s">
        <v>1368</v>
      </c>
      <c r="GT1" t="s">
        <v>1369</v>
      </c>
      <c r="GU1" t="s">
        <v>1370</v>
      </c>
      <c r="GV1" t="s">
        <v>1371</v>
      </c>
      <c r="GW1" t="s">
        <v>1372</v>
      </c>
      <c r="GX1" t="s">
        <v>1373</v>
      </c>
      <c r="GY1" t="s">
        <v>1374</v>
      </c>
      <c r="GZ1" t="s">
        <v>1375</v>
      </c>
      <c r="HA1" t="s">
        <v>1376</v>
      </c>
      <c r="HB1" t="s">
        <v>1377</v>
      </c>
      <c r="HC1" t="s">
        <v>1378</v>
      </c>
      <c r="HD1" t="s">
        <v>1379</v>
      </c>
      <c r="HE1" t="s">
        <v>1380</v>
      </c>
      <c r="HF1" t="s">
        <v>1381</v>
      </c>
      <c r="HG1" t="s">
        <v>1382</v>
      </c>
      <c r="HH1" t="s">
        <v>1383</v>
      </c>
      <c r="HI1" t="s">
        <v>1384</v>
      </c>
      <c r="HJ1" t="s">
        <v>1385</v>
      </c>
      <c r="HK1" t="s">
        <v>1386</v>
      </c>
      <c r="HL1" t="s">
        <v>1387</v>
      </c>
      <c r="HM1" t="s">
        <v>1388</v>
      </c>
      <c r="HN1" t="s">
        <v>1389</v>
      </c>
      <c r="HO1" t="s">
        <v>1390</v>
      </c>
      <c r="HP1" t="s">
        <v>1391</v>
      </c>
      <c r="HQ1" t="s">
        <v>1392</v>
      </c>
      <c r="HR1" t="s">
        <v>1393</v>
      </c>
      <c r="HS1" t="s">
        <v>1394</v>
      </c>
      <c r="HT1" t="s">
        <v>1395</v>
      </c>
      <c r="HU1" t="s">
        <v>1396</v>
      </c>
      <c r="HV1" t="s">
        <v>1397</v>
      </c>
      <c r="HW1" t="s">
        <v>1398</v>
      </c>
      <c r="HX1" t="s">
        <v>1399</v>
      </c>
      <c r="HY1" t="s">
        <v>1400</v>
      </c>
      <c r="HZ1" t="s">
        <v>1401</v>
      </c>
      <c r="IA1" t="s">
        <v>1402</v>
      </c>
      <c r="IB1" t="s">
        <v>1403</v>
      </c>
      <c r="IC1" t="s">
        <v>1404</v>
      </c>
      <c r="ID1" t="s">
        <v>1405</v>
      </c>
      <c r="IE1" t="s">
        <v>1406</v>
      </c>
      <c r="IF1" t="s">
        <v>1407</v>
      </c>
      <c r="IG1" t="s">
        <v>1408</v>
      </c>
      <c r="IH1" t="s">
        <v>1409</v>
      </c>
      <c r="II1" t="s">
        <v>1410</v>
      </c>
      <c r="IJ1" t="s">
        <v>1411</v>
      </c>
      <c r="IK1" t="s">
        <v>1412</v>
      </c>
      <c r="IL1" t="s">
        <v>1413</v>
      </c>
      <c r="IM1" t="s">
        <v>1414</v>
      </c>
      <c r="IN1" t="s">
        <v>1415</v>
      </c>
      <c r="IO1" t="s">
        <v>1416</v>
      </c>
      <c r="IP1" t="s">
        <v>1417</v>
      </c>
      <c r="IQ1" t="s">
        <v>1418</v>
      </c>
      <c r="IR1" t="s">
        <v>1419</v>
      </c>
      <c r="IS1" t="s">
        <v>1420</v>
      </c>
      <c r="IT1" t="s">
        <v>1421</v>
      </c>
      <c r="IU1" t="s">
        <v>1422</v>
      </c>
      <c r="IV1" t="s">
        <v>1423</v>
      </c>
      <c r="IW1" t="s">
        <v>1424</v>
      </c>
      <c r="IX1" t="s">
        <v>1425</v>
      </c>
      <c r="IY1" t="s">
        <v>1426</v>
      </c>
      <c r="IZ1" t="s">
        <v>1427</v>
      </c>
      <c r="JA1" t="s">
        <v>1428</v>
      </c>
      <c r="JB1" t="s">
        <v>1429</v>
      </c>
      <c r="JC1" t="s">
        <v>1430</v>
      </c>
      <c r="JD1" t="s">
        <v>1431</v>
      </c>
      <c r="JE1" t="s">
        <v>1432</v>
      </c>
      <c r="JF1" t="s">
        <v>1433</v>
      </c>
      <c r="JG1" t="s">
        <v>1434</v>
      </c>
      <c r="JH1" t="s">
        <v>1435</v>
      </c>
      <c r="JI1" t="s">
        <v>1436</v>
      </c>
      <c r="JJ1" t="s">
        <v>1437</v>
      </c>
      <c r="JK1" t="s">
        <v>1438</v>
      </c>
      <c r="JL1" t="s">
        <v>1439</v>
      </c>
      <c r="JM1" t="s">
        <v>1440</v>
      </c>
      <c r="JN1" t="s">
        <v>1441</v>
      </c>
      <c r="JO1" t="s">
        <v>1442</v>
      </c>
      <c r="JP1" t="s">
        <v>1443</v>
      </c>
      <c r="JQ1" t="s">
        <v>1444</v>
      </c>
      <c r="JR1" t="s">
        <v>1445</v>
      </c>
      <c r="JS1" t="s">
        <v>1446</v>
      </c>
      <c r="JT1" t="s">
        <v>1447</v>
      </c>
      <c r="JU1" t="s">
        <v>1448</v>
      </c>
      <c r="JV1" t="s">
        <v>1449</v>
      </c>
      <c r="JW1" t="s">
        <v>1450</v>
      </c>
      <c r="JX1" t="s">
        <v>1451</v>
      </c>
      <c r="JY1" t="s">
        <v>1452</v>
      </c>
      <c r="JZ1" t="s">
        <v>1453</v>
      </c>
      <c r="KA1" t="s">
        <v>1454</v>
      </c>
      <c r="KB1" t="s">
        <v>1455</v>
      </c>
      <c r="KC1" t="s">
        <v>1456</v>
      </c>
      <c r="KD1" t="s">
        <v>1457</v>
      </c>
      <c r="KE1" t="s">
        <v>1458</v>
      </c>
      <c r="KF1" t="s">
        <v>1459</v>
      </c>
      <c r="KG1" t="s">
        <v>1460</v>
      </c>
      <c r="KH1" t="s">
        <v>1461</v>
      </c>
      <c r="KI1" t="s">
        <v>1462</v>
      </c>
      <c r="KJ1" t="s">
        <v>1463</v>
      </c>
      <c r="KK1" t="s">
        <v>1464</v>
      </c>
      <c r="KL1" t="s">
        <v>1465</v>
      </c>
      <c r="KM1" t="s">
        <v>1466</v>
      </c>
      <c r="KN1" t="s">
        <v>1467</v>
      </c>
      <c r="KO1" t="s">
        <v>1468</v>
      </c>
      <c r="KP1" t="s">
        <v>1469</v>
      </c>
      <c r="KQ1" t="s">
        <v>1470</v>
      </c>
      <c r="KR1" t="s">
        <v>1471</v>
      </c>
      <c r="KS1" t="s">
        <v>1472</v>
      </c>
      <c r="KT1" t="s">
        <v>1473</v>
      </c>
      <c r="KU1" t="s">
        <v>1474</v>
      </c>
      <c r="KV1" t="s">
        <v>1475</v>
      </c>
      <c r="KW1" t="s">
        <v>1476</v>
      </c>
      <c r="KX1" t="s">
        <v>1477</v>
      </c>
      <c r="KY1" t="s">
        <v>1478</v>
      </c>
      <c r="KZ1" t="s">
        <v>1479</v>
      </c>
      <c r="LA1" t="s">
        <v>1480</v>
      </c>
      <c r="LB1" t="s">
        <v>1481</v>
      </c>
      <c r="LC1" t="s">
        <v>1482</v>
      </c>
      <c r="LD1" t="s">
        <v>1483</v>
      </c>
      <c r="LE1" t="s">
        <v>1484</v>
      </c>
      <c r="LF1" t="s">
        <v>1485</v>
      </c>
      <c r="LG1" t="s">
        <v>1486</v>
      </c>
      <c r="LH1" t="s">
        <v>1487</v>
      </c>
      <c r="LI1" t="s">
        <v>1488</v>
      </c>
      <c r="LJ1" t="s">
        <v>1489</v>
      </c>
      <c r="LK1" t="s">
        <v>1490</v>
      </c>
      <c r="LL1" t="s">
        <v>1491</v>
      </c>
      <c r="LM1" t="s">
        <v>1492</v>
      </c>
      <c r="LN1" t="s">
        <v>1493</v>
      </c>
      <c r="LO1" t="s">
        <v>1494</v>
      </c>
      <c r="LP1" t="s">
        <v>1495</v>
      </c>
      <c r="LQ1" t="s">
        <v>1496</v>
      </c>
      <c r="LR1" t="s">
        <v>1497</v>
      </c>
      <c r="LS1" t="s">
        <v>1498</v>
      </c>
      <c r="LT1" t="s">
        <v>1499</v>
      </c>
      <c r="LU1" t="s">
        <v>1500</v>
      </c>
      <c r="LV1" t="s">
        <v>1501</v>
      </c>
      <c r="LW1" t="s">
        <v>1502</v>
      </c>
      <c r="LX1" t="s">
        <v>1503</v>
      </c>
      <c r="LY1" t="s">
        <v>1504</v>
      </c>
      <c r="LZ1" t="s">
        <v>1505</v>
      </c>
      <c r="MA1" t="s">
        <v>1506</v>
      </c>
      <c r="MB1" t="s">
        <v>1507</v>
      </c>
      <c r="MC1" t="s">
        <v>1508</v>
      </c>
      <c r="MD1" t="s">
        <v>1509</v>
      </c>
      <c r="ME1" t="s">
        <v>1510</v>
      </c>
      <c r="MF1" t="s">
        <v>1511</v>
      </c>
      <c r="MG1" t="s">
        <v>1512</v>
      </c>
      <c r="MH1" t="s">
        <v>1513</v>
      </c>
      <c r="MI1" t="s">
        <v>1514</v>
      </c>
      <c r="MJ1" t="s">
        <v>1515</v>
      </c>
      <c r="MK1" t="s">
        <v>1516</v>
      </c>
      <c r="ML1" t="s">
        <v>1517</v>
      </c>
      <c r="MM1" t="s">
        <v>1518</v>
      </c>
      <c r="MN1" t="s">
        <v>1519</v>
      </c>
      <c r="MO1" t="s">
        <v>1520</v>
      </c>
      <c r="MP1" t="s">
        <v>1521</v>
      </c>
      <c r="MQ1" t="s">
        <v>1522</v>
      </c>
      <c r="MR1" t="s">
        <v>1523</v>
      </c>
      <c r="MS1" t="s">
        <v>1524</v>
      </c>
      <c r="MT1" t="s">
        <v>1525</v>
      </c>
      <c r="MU1" t="s">
        <v>1526</v>
      </c>
      <c r="MV1" t="s">
        <v>1527</v>
      </c>
      <c r="MW1" t="s">
        <v>1528</v>
      </c>
      <c r="MX1" t="s">
        <v>1529</v>
      </c>
      <c r="MY1" t="s">
        <v>1530</v>
      </c>
      <c r="MZ1" t="s">
        <v>1531</v>
      </c>
      <c r="NA1" t="s">
        <v>1532</v>
      </c>
      <c r="NB1" t="s">
        <v>1533</v>
      </c>
      <c r="NC1" t="s">
        <v>1534</v>
      </c>
      <c r="ND1" t="s">
        <v>1535</v>
      </c>
      <c r="NE1" t="s">
        <v>1536</v>
      </c>
      <c r="NF1" t="s">
        <v>1537</v>
      </c>
      <c r="NG1" t="s">
        <v>1538</v>
      </c>
      <c r="NH1" t="s">
        <v>1539</v>
      </c>
      <c r="NI1" t="s">
        <v>1540</v>
      </c>
      <c r="NJ1" t="s">
        <v>1541</v>
      </c>
      <c r="NK1" t="s">
        <v>1542</v>
      </c>
      <c r="NL1" t="s">
        <v>1543</v>
      </c>
      <c r="NM1" t="s">
        <v>1544</v>
      </c>
      <c r="NN1" t="s">
        <v>1545</v>
      </c>
      <c r="NO1" t="s">
        <v>1546</v>
      </c>
      <c r="NP1" t="s">
        <v>1547</v>
      </c>
      <c r="NQ1" t="s">
        <v>1548</v>
      </c>
      <c r="NR1" t="s">
        <v>1549</v>
      </c>
      <c r="NS1" t="s">
        <v>1550</v>
      </c>
      <c r="NT1" t="s">
        <v>1551</v>
      </c>
      <c r="NU1" t="s">
        <v>1552</v>
      </c>
      <c r="NV1" t="s">
        <v>1553</v>
      </c>
      <c r="NW1" t="s">
        <v>1554</v>
      </c>
      <c r="NX1" t="s">
        <v>1555</v>
      </c>
      <c r="NY1" t="s">
        <v>1556</v>
      </c>
      <c r="NZ1" t="s">
        <v>1557</v>
      </c>
      <c r="OA1" t="s">
        <v>1558</v>
      </c>
      <c r="OB1" t="s">
        <v>1559</v>
      </c>
      <c r="OC1" t="s">
        <v>1560</v>
      </c>
      <c r="OD1" t="s">
        <v>1561</v>
      </c>
      <c r="OE1" t="s">
        <v>1562</v>
      </c>
      <c r="OF1" t="s">
        <v>1563</v>
      </c>
      <c r="OG1" t="s">
        <v>1564</v>
      </c>
      <c r="OH1" t="s">
        <v>1565</v>
      </c>
      <c r="OI1" t="s">
        <v>1566</v>
      </c>
      <c r="OJ1" t="s">
        <v>1567</v>
      </c>
      <c r="OK1" t="s">
        <v>1568</v>
      </c>
      <c r="OL1" t="s">
        <v>1569</v>
      </c>
      <c r="OM1" t="s">
        <v>1570</v>
      </c>
      <c r="ON1" t="s">
        <v>1571</v>
      </c>
      <c r="OO1" t="s">
        <v>1572</v>
      </c>
      <c r="OP1" t="s">
        <v>1573</v>
      </c>
      <c r="OQ1" t="s">
        <v>1574</v>
      </c>
      <c r="OR1" t="s">
        <v>1575</v>
      </c>
      <c r="OS1" t="s">
        <v>1576</v>
      </c>
      <c r="OT1" t="s">
        <v>1577</v>
      </c>
      <c r="OU1" t="s">
        <v>1578</v>
      </c>
      <c r="OV1" t="s">
        <v>1579</v>
      </c>
      <c r="OW1" t="s">
        <v>1580</v>
      </c>
      <c r="OX1" t="s">
        <v>1581</v>
      </c>
      <c r="OY1" t="s">
        <v>1582</v>
      </c>
      <c r="OZ1" t="s">
        <v>1583</v>
      </c>
      <c r="PA1" t="s">
        <v>1584</v>
      </c>
      <c r="PB1" t="s">
        <v>1585</v>
      </c>
      <c r="PC1" t="s">
        <v>1586</v>
      </c>
      <c r="PD1" t="s">
        <v>1587</v>
      </c>
      <c r="PE1" t="s">
        <v>1588</v>
      </c>
      <c r="PF1" t="s">
        <v>1589</v>
      </c>
      <c r="PG1" t="s">
        <v>1590</v>
      </c>
      <c r="PH1" t="s">
        <v>1591</v>
      </c>
      <c r="PI1" t="s">
        <v>1592</v>
      </c>
      <c r="PJ1" t="s">
        <v>1593</v>
      </c>
      <c r="PK1" t="s">
        <v>1594</v>
      </c>
      <c r="PL1" t="s">
        <v>1595</v>
      </c>
      <c r="PM1" t="s">
        <v>1596</v>
      </c>
      <c r="PN1" t="s">
        <v>1597</v>
      </c>
      <c r="PO1" t="s">
        <v>1598</v>
      </c>
      <c r="PP1" t="s">
        <v>1599</v>
      </c>
      <c r="PQ1" t="s">
        <v>1600</v>
      </c>
      <c r="PR1" t="s">
        <v>1601</v>
      </c>
      <c r="PS1" t="s">
        <v>1602</v>
      </c>
      <c r="PT1" t="s">
        <v>1603</v>
      </c>
      <c r="PU1" t="s">
        <v>1604</v>
      </c>
      <c r="PV1" t="s">
        <v>1605</v>
      </c>
      <c r="PW1" t="s">
        <v>1606</v>
      </c>
      <c r="PX1" t="s">
        <v>1607</v>
      </c>
      <c r="PY1" t="s">
        <v>1608</v>
      </c>
      <c r="PZ1" t="s">
        <v>1609</v>
      </c>
      <c r="QA1" t="s">
        <v>1610</v>
      </c>
      <c r="QB1" t="s">
        <v>1611</v>
      </c>
      <c r="QC1" t="s">
        <v>1612</v>
      </c>
      <c r="QD1" t="s">
        <v>1613</v>
      </c>
      <c r="QE1" t="s">
        <v>1614</v>
      </c>
      <c r="QF1" t="s">
        <v>1615</v>
      </c>
      <c r="QG1" t="s">
        <v>1616</v>
      </c>
      <c r="QH1" t="s">
        <v>1617</v>
      </c>
      <c r="QI1" t="s">
        <v>1618</v>
      </c>
      <c r="QJ1" t="s">
        <v>1619</v>
      </c>
      <c r="QK1" t="s">
        <v>1620</v>
      </c>
      <c r="QL1" t="s">
        <v>1621</v>
      </c>
      <c r="QM1" t="s">
        <v>1622</v>
      </c>
      <c r="QN1" t="s">
        <v>1623</v>
      </c>
      <c r="QO1" t="s">
        <v>1624</v>
      </c>
      <c r="QP1" t="s">
        <v>1625</v>
      </c>
      <c r="QQ1" t="s">
        <v>1626</v>
      </c>
      <c r="QR1" t="s">
        <v>1627</v>
      </c>
      <c r="QS1" t="s">
        <v>1628</v>
      </c>
      <c r="QT1" t="s">
        <v>1629</v>
      </c>
      <c r="QU1" t="s">
        <v>1630</v>
      </c>
      <c r="QV1" t="s">
        <v>1631</v>
      </c>
      <c r="QW1" t="s">
        <v>1632</v>
      </c>
      <c r="QX1" t="s">
        <v>1633</v>
      </c>
      <c r="QY1" t="s">
        <v>1634</v>
      </c>
      <c r="QZ1" t="s">
        <v>1635</v>
      </c>
      <c r="RA1" t="s">
        <v>1636</v>
      </c>
      <c r="RB1" t="s">
        <v>1637</v>
      </c>
      <c r="RC1" t="s">
        <v>1638</v>
      </c>
      <c r="RD1" t="s">
        <v>1639</v>
      </c>
      <c r="RE1" t="s">
        <v>1640</v>
      </c>
      <c r="RF1" t="s">
        <v>1641</v>
      </c>
      <c r="RG1" t="s">
        <v>1642</v>
      </c>
      <c r="RH1" t="s">
        <v>1643</v>
      </c>
      <c r="RI1" t="s">
        <v>1644</v>
      </c>
      <c r="RJ1" t="s">
        <v>1645</v>
      </c>
      <c r="RK1" t="s">
        <v>1646</v>
      </c>
      <c r="RL1" t="s">
        <v>1647</v>
      </c>
      <c r="RM1" t="s">
        <v>1648</v>
      </c>
      <c r="RN1" t="s">
        <v>1649</v>
      </c>
      <c r="RO1" t="s">
        <v>1650</v>
      </c>
      <c r="RP1" t="s">
        <v>1651</v>
      </c>
      <c r="RQ1" t="s">
        <v>1652</v>
      </c>
      <c r="RR1" t="s">
        <v>1653</v>
      </c>
      <c r="RS1" t="s">
        <v>1654</v>
      </c>
      <c r="RT1" t="s">
        <v>1655</v>
      </c>
      <c r="RU1" t="s">
        <v>1656</v>
      </c>
      <c r="RV1" t="s">
        <v>1657</v>
      </c>
      <c r="RW1" t="s">
        <v>1658</v>
      </c>
      <c r="RX1" t="s">
        <v>1659</v>
      </c>
      <c r="RY1" t="s">
        <v>1660</v>
      </c>
      <c r="RZ1" t="s">
        <v>1661</v>
      </c>
      <c r="SA1" t="s">
        <v>1662</v>
      </c>
      <c r="SB1" t="s">
        <v>1663</v>
      </c>
      <c r="SC1" t="s">
        <v>1664</v>
      </c>
      <c r="SD1" t="s">
        <v>1665</v>
      </c>
      <c r="SE1" t="s">
        <v>1666</v>
      </c>
      <c r="SF1" t="s">
        <v>1667</v>
      </c>
      <c r="SG1" t="s">
        <v>1668</v>
      </c>
      <c r="SH1" t="s">
        <v>1669</v>
      </c>
      <c r="SI1" t="s">
        <v>1670</v>
      </c>
      <c r="SJ1" t="s">
        <v>1671</v>
      </c>
      <c r="SK1" t="s">
        <v>1672</v>
      </c>
      <c r="SL1" t="s">
        <v>1673</v>
      </c>
      <c r="SM1" t="s">
        <v>1674</v>
      </c>
      <c r="SN1" t="s">
        <v>1675</v>
      </c>
      <c r="SO1" t="s">
        <v>1676</v>
      </c>
      <c r="SP1" t="s">
        <v>1677</v>
      </c>
      <c r="SQ1" t="s">
        <v>1678</v>
      </c>
      <c r="SR1" t="s">
        <v>1679</v>
      </c>
      <c r="SS1" t="s">
        <v>1680</v>
      </c>
      <c r="ST1" t="s">
        <v>1681</v>
      </c>
      <c r="SU1" t="s">
        <v>1682</v>
      </c>
      <c r="SV1" t="s">
        <v>1683</v>
      </c>
      <c r="SW1" t="s">
        <v>1684</v>
      </c>
      <c r="SX1" t="s">
        <v>1685</v>
      </c>
      <c r="SY1" t="s">
        <v>1686</v>
      </c>
      <c r="SZ1" t="s">
        <v>1687</v>
      </c>
      <c r="TA1" t="s">
        <v>1688</v>
      </c>
      <c r="TB1" t="s">
        <v>1689</v>
      </c>
      <c r="TC1" t="s">
        <v>1690</v>
      </c>
      <c r="TD1" t="s">
        <v>1691</v>
      </c>
      <c r="TE1" t="s">
        <v>1692</v>
      </c>
      <c r="TF1" t="s">
        <v>1693</v>
      </c>
      <c r="TG1" t="s">
        <v>1694</v>
      </c>
      <c r="TH1" t="s">
        <v>1695</v>
      </c>
      <c r="TI1" t="s">
        <v>1696</v>
      </c>
      <c r="TJ1" t="s">
        <v>1697</v>
      </c>
      <c r="TK1" t="s">
        <v>1698</v>
      </c>
      <c r="TL1" t="s">
        <v>1699</v>
      </c>
      <c r="TM1" t="s">
        <v>1700</v>
      </c>
      <c r="TN1" t="s">
        <v>1701</v>
      </c>
      <c r="TO1" t="s">
        <v>1702</v>
      </c>
      <c r="TP1" t="s">
        <v>1703</v>
      </c>
      <c r="TQ1" t="s">
        <v>1704</v>
      </c>
      <c r="TR1" t="s">
        <v>1705</v>
      </c>
      <c r="TS1" t="s">
        <v>1706</v>
      </c>
      <c r="TT1" t="s">
        <v>1707</v>
      </c>
      <c r="TU1" t="s">
        <v>1708</v>
      </c>
      <c r="TV1" t="s">
        <v>1709</v>
      </c>
      <c r="TW1" t="s">
        <v>1710</v>
      </c>
      <c r="TX1" t="s">
        <v>1711</v>
      </c>
      <c r="TY1" t="s">
        <v>1712</v>
      </c>
      <c r="TZ1" t="s">
        <v>1713</v>
      </c>
      <c r="UA1" t="s">
        <v>1714</v>
      </c>
      <c r="UB1" t="s">
        <v>1715</v>
      </c>
      <c r="UC1" t="s">
        <v>1716</v>
      </c>
      <c r="UD1" t="s">
        <v>1717</v>
      </c>
      <c r="UE1" t="s">
        <v>1718</v>
      </c>
      <c r="UF1" t="s">
        <v>1719</v>
      </c>
      <c r="UG1" t="s">
        <v>1720</v>
      </c>
      <c r="UH1" t="s">
        <v>1721</v>
      </c>
      <c r="UI1" t="s">
        <v>1722</v>
      </c>
      <c r="UJ1" t="s">
        <v>1723</v>
      </c>
      <c r="UK1" t="s">
        <v>1724</v>
      </c>
      <c r="UL1" t="s">
        <v>1725</v>
      </c>
      <c r="UM1" t="s">
        <v>1726</v>
      </c>
      <c r="UN1" t="s">
        <v>1727</v>
      </c>
      <c r="UO1" t="s">
        <v>1728</v>
      </c>
      <c r="UP1" t="s">
        <v>1729</v>
      </c>
      <c r="UQ1" t="s">
        <v>1730</v>
      </c>
      <c r="UR1" t="s">
        <v>1731</v>
      </c>
      <c r="US1" t="s">
        <v>1732</v>
      </c>
      <c r="UT1" t="s">
        <v>1733</v>
      </c>
      <c r="UU1" t="s">
        <v>1734</v>
      </c>
      <c r="UV1" t="s">
        <v>1735</v>
      </c>
      <c r="UW1" t="s">
        <v>1736</v>
      </c>
      <c r="UX1" t="s">
        <v>1737</v>
      </c>
      <c r="UY1" t="s">
        <v>1738</v>
      </c>
      <c r="UZ1" t="s">
        <v>1739</v>
      </c>
      <c r="VA1" t="s">
        <v>1740</v>
      </c>
      <c r="VB1" t="s">
        <v>1741</v>
      </c>
      <c r="VC1" t="s">
        <v>1742</v>
      </c>
      <c r="VD1" t="s">
        <v>1743</v>
      </c>
      <c r="VE1" t="s">
        <v>1744</v>
      </c>
      <c r="VF1" t="s">
        <v>1745</v>
      </c>
      <c r="VG1" t="s">
        <v>1746</v>
      </c>
      <c r="VH1" t="s">
        <v>1747</v>
      </c>
      <c r="VI1" t="s">
        <v>1748</v>
      </c>
    </row>
    <row r="2" spans="1:581" x14ac:dyDescent="0.25">
      <c r="A2">
        <v>50000</v>
      </c>
      <c r="B2">
        <v>1.495E-2</v>
      </c>
      <c r="C2">
        <v>1.453E-2</v>
      </c>
      <c r="D2">
        <v>1.4319999999999999E-2</v>
      </c>
      <c r="E2">
        <v>1.3899999999999999E-2</v>
      </c>
      <c r="F2">
        <v>1.3849999999999999E-2</v>
      </c>
      <c r="H2">
        <v>1.418E-2</v>
      </c>
      <c r="I2">
        <v>1.4120000000000001E-2</v>
      </c>
      <c r="J2">
        <v>1.401E-2</v>
      </c>
      <c r="K2">
        <v>1.4919999999999999E-2</v>
      </c>
      <c r="L2">
        <v>1.4659999999999999E-2</v>
      </c>
      <c r="M2">
        <v>1.444E-2</v>
      </c>
      <c r="N2">
        <v>1.431E-2</v>
      </c>
      <c r="O2">
        <v>2.4E-2</v>
      </c>
      <c r="P2">
        <v>2.223E-2</v>
      </c>
      <c r="Q2">
        <v>2.0129999999999999E-2</v>
      </c>
      <c r="R2">
        <v>1.7469999999999999E-2</v>
      </c>
      <c r="S2">
        <v>1.5630000000000002E-2</v>
      </c>
      <c r="T2">
        <v>1.4370000000000001E-2</v>
      </c>
      <c r="U2">
        <v>1.4200000000000001E-2</v>
      </c>
      <c r="V2">
        <v>1.4919999999999999E-2</v>
      </c>
      <c r="W2">
        <v>1.375E-2</v>
      </c>
      <c r="X2">
        <v>1.404E-2</v>
      </c>
      <c r="Y2">
        <v>1.3390000000000001E-2</v>
      </c>
      <c r="Z2">
        <v>1.3509999999999999E-2</v>
      </c>
      <c r="AA2">
        <v>3.2039999999999999E-2</v>
      </c>
      <c r="AD2">
        <v>2.3959999999999999E-2</v>
      </c>
      <c r="AH2">
        <v>3.2120000000000003E-2</v>
      </c>
      <c r="AI2">
        <v>3.737E-2</v>
      </c>
      <c r="AJ2">
        <v>3.5000000000000003E-2</v>
      </c>
      <c r="AM2">
        <v>3.3329999999999999E-2</v>
      </c>
      <c r="AN2">
        <v>3.7179999999999998E-2</v>
      </c>
      <c r="AP2">
        <v>3.9379999999999998E-2</v>
      </c>
      <c r="AQ2">
        <v>4.0280000000000003E-2</v>
      </c>
      <c r="AS2">
        <v>4.333E-2</v>
      </c>
      <c r="AT2">
        <v>2.8209999999999999E-2</v>
      </c>
      <c r="AU2">
        <v>3.288E-2</v>
      </c>
      <c r="AV2">
        <v>3.7109999999999997E-2</v>
      </c>
      <c r="AW2">
        <v>4.2439999999999999E-2</v>
      </c>
      <c r="AX2">
        <v>4.2709999999999998E-2</v>
      </c>
      <c r="AY2">
        <v>3.5020000000000003E-2</v>
      </c>
      <c r="AZ2">
        <v>3.533E-2</v>
      </c>
      <c r="BA2">
        <v>3.4569999999999997E-2</v>
      </c>
      <c r="BH2">
        <v>4.1259999999999998E-2</v>
      </c>
      <c r="BP2">
        <v>3.7629999999999997E-2</v>
      </c>
      <c r="BQ2">
        <v>2.4840000000000001E-2</v>
      </c>
      <c r="BR2">
        <v>1.9050000000000001E-2</v>
      </c>
      <c r="BT2">
        <v>4.9029999999999997E-2</v>
      </c>
      <c r="BU2">
        <v>4.4299999999999999E-2</v>
      </c>
      <c r="BV2">
        <v>4.9549999999999997E-2</v>
      </c>
      <c r="BW2">
        <v>4.2180000000000002E-2</v>
      </c>
      <c r="BX2">
        <v>3.662E-2</v>
      </c>
      <c r="BY2">
        <v>4.6920000000000003E-2</v>
      </c>
      <c r="BZ2">
        <v>3.356E-2</v>
      </c>
      <c r="CA2">
        <v>4.3090000000000003E-2</v>
      </c>
      <c r="CB2">
        <v>2.4240000000000001E-2</v>
      </c>
      <c r="CC2">
        <v>2.862E-2</v>
      </c>
      <c r="CD2">
        <v>2.6689999999999998E-2</v>
      </c>
      <c r="CE2">
        <v>2.7279999999999999E-2</v>
      </c>
      <c r="CF2">
        <v>2.5350000000000001E-2</v>
      </c>
      <c r="CG2">
        <v>2.3480000000000001E-2</v>
      </c>
      <c r="CH2">
        <v>2.172E-2</v>
      </c>
      <c r="CI2">
        <v>2.019E-2</v>
      </c>
      <c r="CJ2">
        <v>1.8790000000000001E-2</v>
      </c>
      <c r="CK2">
        <v>2.29E-2</v>
      </c>
      <c r="CL2">
        <v>2.9069999999999999E-2</v>
      </c>
      <c r="CM2">
        <v>3.1280000000000002E-2</v>
      </c>
      <c r="CN2">
        <v>3.3829999999999999E-2</v>
      </c>
      <c r="CO2">
        <v>3.0429999999999999E-2</v>
      </c>
      <c r="CP2">
        <v>3.4299999999999997E-2</v>
      </c>
      <c r="CQ2">
        <v>2.682E-2</v>
      </c>
      <c r="CR2">
        <v>2.8139999999999998E-2</v>
      </c>
      <c r="CS2">
        <v>3.1559999999999998E-2</v>
      </c>
      <c r="CT2">
        <v>3.603E-2</v>
      </c>
      <c r="CU2">
        <v>2.325E-2</v>
      </c>
      <c r="CV2">
        <v>2.2460000000000001E-2</v>
      </c>
      <c r="CY2">
        <v>3.015E-2</v>
      </c>
      <c r="CZ2">
        <v>2.1440000000000001E-2</v>
      </c>
      <c r="DA2">
        <v>2.1499999999999998E-2</v>
      </c>
      <c r="DB2">
        <v>1.985E-2</v>
      </c>
      <c r="DC2">
        <v>1.8890000000000001E-2</v>
      </c>
      <c r="DD2">
        <v>1.8350000000000002E-2</v>
      </c>
      <c r="DE2">
        <v>1.7829999999999999E-2</v>
      </c>
      <c r="DG2">
        <v>2.4369999999999999E-2</v>
      </c>
      <c r="DH2">
        <v>2.7189999999999999E-2</v>
      </c>
      <c r="DI2">
        <v>2.7220000000000001E-2</v>
      </c>
      <c r="DJ2">
        <v>2.758E-2</v>
      </c>
      <c r="DK2">
        <v>2.8469999999999999E-2</v>
      </c>
      <c r="DL2">
        <v>2.955E-2</v>
      </c>
      <c r="DM2">
        <v>2.46E-2</v>
      </c>
      <c r="DR2">
        <v>2.8250000000000001E-2</v>
      </c>
      <c r="DS2">
        <v>2.8420000000000001E-2</v>
      </c>
      <c r="DT2">
        <v>2.9530000000000001E-2</v>
      </c>
      <c r="DU2">
        <v>3.0599999999999999E-2</v>
      </c>
      <c r="DW2">
        <v>3.2460000000000003E-2</v>
      </c>
      <c r="DX2">
        <v>3.3520000000000001E-2</v>
      </c>
      <c r="DZ2">
        <v>3.8109999999999998E-2</v>
      </c>
      <c r="EA2">
        <v>2.8500000000000001E-2</v>
      </c>
      <c r="EB2">
        <v>2.853E-2</v>
      </c>
      <c r="EC2">
        <v>2.6179999999999998E-2</v>
      </c>
      <c r="EJ2">
        <v>2.7400000000000001E-2</v>
      </c>
      <c r="EK2">
        <v>2.9590000000000002E-2</v>
      </c>
      <c r="EL2">
        <v>3.2809999999999999E-2</v>
      </c>
      <c r="ER2">
        <v>3.85E-2</v>
      </c>
      <c r="ES2">
        <v>3.6949999999999997E-2</v>
      </c>
      <c r="ET2">
        <v>3.6769999999999997E-2</v>
      </c>
      <c r="EY2">
        <v>1.8499999999999999E-2</v>
      </c>
      <c r="FA2">
        <v>3.8129999999999997E-2</v>
      </c>
      <c r="FC2">
        <v>3.499E-2</v>
      </c>
      <c r="FE2">
        <v>4.4819999999999999E-2</v>
      </c>
      <c r="FF2">
        <v>2.316E-2</v>
      </c>
      <c r="FH2">
        <v>2.6800000000000001E-2</v>
      </c>
      <c r="FK2">
        <v>3.2329999999999998E-2</v>
      </c>
      <c r="FL2">
        <v>2.6630000000000001E-2</v>
      </c>
      <c r="FN2">
        <v>4.4420000000000001E-2</v>
      </c>
      <c r="FO2">
        <v>3.8670000000000003E-2</v>
      </c>
      <c r="FP2">
        <v>3.1989999999999998E-2</v>
      </c>
      <c r="FQ2">
        <v>5.0590000000000003E-2</v>
      </c>
      <c r="FR2">
        <v>4.931E-2</v>
      </c>
      <c r="FS2">
        <v>5.1290000000000002E-2</v>
      </c>
      <c r="FT2">
        <v>5.28E-2</v>
      </c>
      <c r="FU2">
        <v>5.4120000000000001E-2</v>
      </c>
      <c r="FV2">
        <v>5.2549999999999999E-2</v>
      </c>
      <c r="FW2">
        <v>4.4769999999999997E-2</v>
      </c>
      <c r="FX2">
        <v>5.0189999999999999E-2</v>
      </c>
      <c r="FY2">
        <v>4.3920000000000001E-2</v>
      </c>
      <c r="FZ2">
        <v>5.629E-2</v>
      </c>
      <c r="GA2">
        <v>5.5109999999999999E-2</v>
      </c>
      <c r="GD2">
        <v>5.28E-2</v>
      </c>
      <c r="GF2">
        <v>4.3439999999999999E-2</v>
      </c>
      <c r="GG2">
        <v>4.5019999999999998E-2</v>
      </c>
      <c r="GH2">
        <v>4.7160000000000001E-2</v>
      </c>
      <c r="GI2">
        <v>4.0919999999999998E-2</v>
      </c>
      <c r="GJ2">
        <v>4.4740000000000002E-2</v>
      </c>
      <c r="GM2">
        <v>4.1000000000000002E-2</v>
      </c>
      <c r="GO2">
        <v>4.5100000000000001E-2</v>
      </c>
      <c r="GP2">
        <v>3.8309999999999997E-2</v>
      </c>
      <c r="GR2">
        <v>4.8030000000000003E-2</v>
      </c>
      <c r="GS2">
        <v>3.6909999999999998E-2</v>
      </c>
      <c r="GT2">
        <v>4.7789999999999999E-2</v>
      </c>
      <c r="GZ2">
        <v>6.1839999999999999E-2</v>
      </c>
      <c r="HC2">
        <v>2.7890000000000002E-2</v>
      </c>
      <c r="HE2">
        <v>2.7480000000000001E-2</v>
      </c>
      <c r="HJ2">
        <v>2.1319999999999999E-2</v>
      </c>
      <c r="HL2">
        <v>4.5289999999999997E-2</v>
      </c>
      <c r="HM2">
        <v>4.752E-2</v>
      </c>
      <c r="HN2">
        <v>4.1759999999999999E-2</v>
      </c>
      <c r="HO2">
        <v>3.9329999999999997E-2</v>
      </c>
      <c r="HQ2">
        <v>3.7159999999999999E-2</v>
      </c>
      <c r="HR2">
        <v>4.8169999999999998E-2</v>
      </c>
      <c r="HU2">
        <v>2.792E-2</v>
      </c>
      <c r="HV2">
        <v>4.054E-2</v>
      </c>
      <c r="HW2">
        <v>2.954E-2</v>
      </c>
      <c r="HX2">
        <v>4.1590000000000002E-2</v>
      </c>
      <c r="HY2">
        <v>3.9820000000000001E-2</v>
      </c>
      <c r="HZ2">
        <v>2.0559999999999998E-2</v>
      </c>
      <c r="ID2">
        <v>2.605E-2</v>
      </c>
      <c r="IE2">
        <v>2.12E-2</v>
      </c>
      <c r="IF2">
        <v>2.9389999999999999E-2</v>
      </c>
      <c r="IG2">
        <v>4.4339999999999997E-2</v>
      </c>
      <c r="IH2">
        <v>5.8029999999999998E-2</v>
      </c>
      <c r="II2">
        <v>1.9990000000000001E-2</v>
      </c>
      <c r="IJ2">
        <v>2.64E-2</v>
      </c>
      <c r="IK2">
        <v>3.4720000000000001E-2</v>
      </c>
      <c r="IL2">
        <v>4.3040000000000002E-2</v>
      </c>
      <c r="IM2">
        <v>5.3740000000000003E-2</v>
      </c>
      <c r="IS2">
        <v>1.554E-2</v>
      </c>
      <c r="IT2">
        <v>2.1489999999999999E-2</v>
      </c>
      <c r="IU2">
        <v>2.2200000000000001E-2</v>
      </c>
      <c r="IV2">
        <v>1.7489999999999999E-2</v>
      </c>
      <c r="IW2">
        <v>2.6370000000000001E-2</v>
      </c>
      <c r="IX2">
        <v>1.481E-2</v>
      </c>
      <c r="IY2">
        <v>1.6369999999999999E-2</v>
      </c>
      <c r="IZ2">
        <v>1.474E-2</v>
      </c>
      <c r="JA2">
        <v>1.7440000000000001E-2</v>
      </c>
      <c r="JB2">
        <v>1.9230000000000001E-2</v>
      </c>
      <c r="JC2">
        <v>2.1080000000000002E-2</v>
      </c>
      <c r="JD2">
        <v>2.4199999999999999E-2</v>
      </c>
      <c r="JE2">
        <v>1.704E-2</v>
      </c>
      <c r="JF2">
        <v>2.1950000000000001E-2</v>
      </c>
      <c r="JI2">
        <v>5.8909999999999997E-2</v>
      </c>
      <c r="JJ2">
        <v>6.2260000000000003E-2</v>
      </c>
      <c r="JM2">
        <v>4.027E-2</v>
      </c>
      <c r="JO2">
        <v>7.1609999999999993E-2</v>
      </c>
      <c r="JP2">
        <v>4.3490000000000001E-2</v>
      </c>
      <c r="JR2">
        <v>2.4500000000000001E-2</v>
      </c>
      <c r="JT2">
        <v>3.3829999999999999E-2</v>
      </c>
      <c r="JU2">
        <v>3.5209999999999998E-2</v>
      </c>
      <c r="JV2">
        <v>4.2860000000000002E-2</v>
      </c>
      <c r="JW2">
        <v>4.3889999999999998E-2</v>
      </c>
      <c r="JY2">
        <v>3.8080000000000003E-2</v>
      </c>
      <c r="JZ2">
        <v>5.1290000000000002E-2</v>
      </c>
      <c r="KD2">
        <v>4.0039999999999999E-2</v>
      </c>
      <c r="KF2">
        <v>3.6389999999999999E-2</v>
      </c>
      <c r="KH2">
        <v>4.8099999999999997E-2</v>
      </c>
      <c r="KN2">
        <v>1.4619999999999999E-2</v>
      </c>
      <c r="KO2">
        <v>2.0580000000000001E-2</v>
      </c>
      <c r="KU2">
        <v>2.545E-2</v>
      </c>
      <c r="KV2">
        <v>2.0400000000000001E-2</v>
      </c>
      <c r="KW2">
        <v>1.9220000000000001E-2</v>
      </c>
      <c r="KY2">
        <v>1.644E-2</v>
      </c>
      <c r="KZ2">
        <v>2.1569999999999999E-2</v>
      </c>
      <c r="LA2">
        <v>3.916E-2</v>
      </c>
      <c r="LB2">
        <v>3.8769999999999999E-2</v>
      </c>
      <c r="LC2">
        <v>3.8929999999999999E-2</v>
      </c>
      <c r="LD2">
        <v>3.8929999999999999E-2</v>
      </c>
      <c r="LG2">
        <v>4.9500000000000002E-2</v>
      </c>
      <c r="LL2">
        <v>4.8590000000000001E-2</v>
      </c>
      <c r="LN2">
        <v>3.2779999999999997E-2</v>
      </c>
      <c r="LT2">
        <v>3.3450000000000001E-2</v>
      </c>
      <c r="LU2">
        <v>6.3670000000000004E-2</v>
      </c>
      <c r="LV2">
        <v>4.8469999999999999E-2</v>
      </c>
      <c r="LW2">
        <v>1.8030000000000001E-2</v>
      </c>
      <c r="LX2">
        <v>2.1760000000000002E-2</v>
      </c>
      <c r="MB2">
        <v>1.576E-2</v>
      </c>
      <c r="MH2">
        <v>3.9440000000000003E-2</v>
      </c>
      <c r="MI2">
        <v>3.8010000000000002E-2</v>
      </c>
      <c r="MJ2">
        <v>4.0300000000000002E-2</v>
      </c>
      <c r="MK2">
        <v>4.6600000000000003E-2</v>
      </c>
      <c r="ML2">
        <v>5.919E-2</v>
      </c>
      <c r="MM2">
        <v>3.4860000000000002E-2</v>
      </c>
      <c r="MN2">
        <v>1.8859999999999998E-2</v>
      </c>
      <c r="MO2">
        <v>2.5739999999999999E-2</v>
      </c>
      <c r="MQ2">
        <v>1.9689999999999999E-2</v>
      </c>
      <c r="MS2">
        <v>3.9460000000000002E-2</v>
      </c>
      <c r="MU2">
        <v>2.537E-2</v>
      </c>
      <c r="MV2">
        <v>3.6060000000000002E-2</v>
      </c>
      <c r="NA2">
        <v>3.3250000000000002E-2</v>
      </c>
      <c r="NB2">
        <v>3.7990000000000003E-2</v>
      </c>
      <c r="NC2">
        <v>2.486E-2</v>
      </c>
      <c r="NE2">
        <v>5.7299999999999997E-2</v>
      </c>
      <c r="NF2">
        <v>4.7579999999999997E-2</v>
      </c>
      <c r="NG2">
        <v>1.9380000000000001E-2</v>
      </c>
      <c r="NH2">
        <v>1.46E-2</v>
      </c>
      <c r="NI2">
        <v>1.583E-2</v>
      </c>
      <c r="NJ2">
        <v>1.908E-2</v>
      </c>
      <c r="NK2">
        <v>1.6250000000000001E-2</v>
      </c>
      <c r="NL2">
        <v>1.754E-2</v>
      </c>
      <c r="NM2">
        <v>1.9720000000000001E-2</v>
      </c>
      <c r="NN2">
        <v>2.1420000000000002E-2</v>
      </c>
      <c r="NO2">
        <v>2.3699999999999999E-2</v>
      </c>
      <c r="NP2">
        <v>1.694E-2</v>
      </c>
      <c r="NQ2">
        <v>1.7659999999999999E-2</v>
      </c>
      <c r="NR2">
        <v>1.8270000000000002E-2</v>
      </c>
      <c r="NS2">
        <v>2.07E-2</v>
      </c>
      <c r="NT2">
        <v>2.4199999999999999E-2</v>
      </c>
      <c r="NU2">
        <v>1.7819999999999999E-2</v>
      </c>
      <c r="NV2">
        <v>1.916E-2</v>
      </c>
      <c r="NW2">
        <v>1.9130000000000001E-2</v>
      </c>
      <c r="NX2">
        <v>1.993E-2</v>
      </c>
      <c r="NZ2">
        <v>2.3429999999999999E-2</v>
      </c>
      <c r="OA2">
        <v>2.5219999999999999E-2</v>
      </c>
      <c r="OB2">
        <v>1.89E-2</v>
      </c>
      <c r="OC2">
        <v>2.0310000000000002E-2</v>
      </c>
      <c r="OE2">
        <v>2.026E-2</v>
      </c>
      <c r="OG2">
        <v>2.325E-2</v>
      </c>
      <c r="OH2">
        <v>2.486E-2</v>
      </c>
      <c r="OI2">
        <v>2.657E-2</v>
      </c>
      <c r="OJ2">
        <v>2.8389999999999999E-2</v>
      </c>
      <c r="OK2">
        <v>3.2140000000000002E-2</v>
      </c>
      <c r="OL2">
        <v>3.8269999999999998E-2</v>
      </c>
      <c r="OM2">
        <v>2.0160000000000001E-2</v>
      </c>
      <c r="ON2">
        <v>2.1649999999999999E-2</v>
      </c>
      <c r="OO2">
        <v>2.4840000000000001E-2</v>
      </c>
      <c r="OP2">
        <v>2.818E-2</v>
      </c>
      <c r="OQ2">
        <v>2.9960000000000001E-2</v>
      </c>
      <c r="OR2">
        <v>3.1800000000000002E-2</v>
      </c>
      <c r="OS2">
        <v>4.2270000000000002E-2</v>
      </c>
      <c r="OT2">
        <v>2.162E-2</v>
      </c>
      <c r="OU2">
        <v>2.3179999999999999E-2</v>
      </c>
      <c r="OV2">
        <v>1.417E-2</v>
      </c>
      <c r="OW2">
        <v>1.366E-2</v>
      </c>
      <c r="OX2">
        <v>1.341E-2</v>
      </c>
      <c r="OY2">
        <v>1.3509999999999999E-2</v>
      </c>
      <c r="PC2">
        <v>4.1869999999999997E-2</v>
      </c>
      <c r="PD2">
        <v>3.286E-2</v>
      </c>
      <c r="PE2">
        <v>2.4209999999999999E-2</v>
      </c>
      <c r="PF2">
        <v>2.1530000000000001E-2</v>
      </c>
      <c r="PG2">
        <v>1.915E-2</v>
      </c>
      <c r="PH2">
        <v>1.8679999999999999E-2</v>
      </c>
      <c r="PL2">
        <v>2.7029999999999998E-2</v>
      </c>
      <c r="PM2">
        <v>2.2290000000000001E-2</v>
      </c>
      <c r="PN2">
        <v>2.8170000000000001E-2</v>
      </c>
      <c r="PQ2">
        <v>2.9309999999999999E-2</v>
      </c>
      <c r="PR2">
        <v>2.1329999999999998E-2</v>
      </c>
      <c r="PS2">
        <v>2.8580000000000001E-2</v>
      </c>
      <c r="PT2">
        <v>2.8490000000000001E-2</v>
      </c>
      <c r="PU2">
        <v>1.686E-2</v>
      </c>
      <c r="PV2">
        <v>1.831E-2</v>
      </c>
      <c r="PW2">
        <v>2.0299999999999999E-2</v>
      </c>
      <c r="PX2">
        <v>2.2710000000000001E-2</v>
      </c>
      <c r="PY2">
        <v>2.5700000000000001E-2</v>
      </c>
      <c r="PZ2">
        <v>2.9360000000000001E-2</v>
      </c>
      <c r="QA2">
        <v>1.7010000000000001E-2</v>
      </c>
      <c r="QB2">
        <v>1.9390000000000001E-2</v>
      </c>
      <c r="QC2">
        <v>2.8309999999999998E-2</v>
      </c>
      <c r="QD2">
        <v>1.9349999999999999E-2</v>
      </c>
      <c r="QE2">
        <v>1.8440000000000002E-2</v>
      </c>
      <c r="QF2">
        <v>1.9640000000000001E-2</v>
      </c>
      <c r="QG2">
        <v>2.1559999999999999E-2</v>
      </c>
      <c r="QH2">
        <v>1.8769999999999998E-2</v>
      </c>
      <c r="QI2">
        <v>2.2509999999999999E-2</v>
      </c>
      <c r="QJ2">
        <v>2.264E-2</v>
      </c>
      <c r="QK2">
        <v>1.9210000000000001E-2</v>
      </c>
      <c r="QL2">
        <v>1.7569999999999999E-2</v>
      </c>
      <c r="QM2">
        <v>2.8039999999999999E-2</v>
      </c>
      <c r="QN2">
        <v>3.322E-2</v>
      </c>
      <c r="QO2">
        <v>2.8389999999999999E-2</v>
      </c>
      <c r="QP2">
        <v>3.0280000000000001E-2</v>
      </c>
      <c r="QQ2">
        <v>3.2809999999999999E-2</v>
      </c>
      <c r="QS2">
        <v>3.5630000000000002E-2</v>
      </c>
      <c r="QT2">
        <v>2.9569999999999999E-2</v>
      </c>
      <c r="QU2">
        <v>3.1320000000000001E-2</v>
      </c>
      <c r="QV2">
        <v>3.3090000000000001E-2</v>
      </c>
      <c r="QW2">
        <v>3.875E-2</v>
      </c>
      <c r="QX2">
        <v>3.9609999999999999E-2</v>
      </c>
      <c r="QY2">
        <v>3.5060000000000001E-2</v>
      </c>
      <c r="QZ2">
        <v>3.4950000000000002E-2</v>
      </c>
      <c r="RA2">
        <v>4.0509999999999997E-2</v>
      </c>
      <c r="RC2">
        <v>3.848E-2</v>
      </c>
      <c r="RD2">
        <v>3.449E-2</v>
      </c>
      <c r="RE2">
        <v>4.4209999999999999E-2</v>
      </c>
      <c r="RF2">
        <v>3.4720000000000001E-2</v>
      </c>
      <c r="RG2">
        <v>2.606E-2</v>
      </c>
      <c r="RJ2">
        <v>5.305E-2</v>
      </c>
      <c r="RM2">
        <v>1.84E-2</v>
      </c>
      <c r="RN2">
        <v>1.847E-2</v>
      </c>
      <c r="RO2">
        <v>1.8460000000000001E-2</v>
      </c>
      <c r="RP2">
        <v>1.763E-2</v>
      </c>
      <c r="RQ2">
        <v>1.9900000000000001E-2</v>
      </c>
      <c r="RR2">
        <v>1.8329999999999999E-2</v>
      </c>
      <c r="RS2">
        <v>1.908E-2</v>
      </c>
      <c r="RT2">
        <v>1.562E-2</v>
      </c>
      <c r="RU2">
        <v>1.7999999999999999E-2</v>
      </c>
      <c r="RV2">
        <v>2.1569999999999999E-2</v>
      </c>
      <c r="RW2">
        <v>2.9229999999999999E-2</v>
      </c>
      <c r="RY2">
        <v>1.456E-2</v>
      </c>
      <c r="RZ2">
        <v>2.7269999999999999E-2</v>
      </c>
      <c r="SA2">
        <v>4.5429999999999998E-2</v>
      </c>
      <c r="SB2">
        <v>4.8070000000000002E-2</v>
      </c>
      <c r="SD2">
        <v>3.9649999999999998E-2</v>
      </c>
      <c r="SE2">
        <v>3.0599999999999999E-2</v>
      </c>
      <c r="SG2">
        <v>4.9329999999999999E-2</v>
      </c>
      <c r="SI2">
        <v>3.6940000000000001E-2</v>
      </c>
      <c r="SJ2">
        <v>1.9429999999999999E-2</v>
      </c>
      <c r="SK2">
        <v>1.8579999999999999E-2</v>
      </c>
      <c r="SL2">
        <v>1.7069999999999998E-2</v>
      </c>
      <c r="SM2">
        <v>1.7909999999999999E-2</v>
      </c>
      <c r="SN2">
        <v>1.7229999999999999E-2</v>
      </c>
      <c r="SO2">
        <v>1.7129999999999999E-2</v>
      </c>
      <c r="SP2">
        <v>2.9000000000000001E-2</v>
      </c>
      <c r="SQ2">
        <v>2.29E-2</v>
      </c>
      <c r="SR2">
        <v>2.5020000000000001E-2</v>
      </c>
      <c r="SS2">
        <v>2.1600000000000001E-2</v>
      </c>
      <c r="ST2">
        <v>2.0320000000000001E-2</v>
      </c>
      <c r="SU2">
        <v>2.4129999999999999E-2</v>
      </c>
      <c r="SV2">
        <v>2.5100000000000001E-2</v>
      </c>
      <c r="SW2">
        <v>2.589E-2</v>
      </c>
      <c r="SY2">
        <v>2.2339999999999999E-2</v>
      </c>
      <c r="SZ2">
        <v>2.7779999999999999E-2</v>
      </c>
      <c r="TA2">
        <v>2.69E-2</v>
      </c>
      <c r="TB2">
        <v>2.0719999999999999E-2</v>
      </c>
      <c r="TC2">
        <v>2.069E-2</v>
      </c>
      <c r="TD2">
        <v>2.802E-2</v>
      </c>
      <c r="TE2">
        <v>2.8549999999999999E-2</v>
      </c>
      <c r="TF2">
        <v>3.5779999999999999E-2</v>
      </c>
      <c r="TG2">
        <v>3.2530000000000003E-2</v>
      </c>
      <c r="TI2">
        <v>2.307E-2</v>
      </c>
      <c r="TK2">
        <v>1.8950000000000002E-2</v>
      </c>
      <c r="TL2">
        <v>1.6979999999999999E-2</v>
      </c>
      <c r="TM2">
        <v>1.54E-2</v>
      </c>
      <c r="TN2">
        <v>1.8249999999999999E-2</v>
      </c>
      <c r="TO2">
        <v>2.896E-2</v>
      </c>
      <c r="TP2">
        <v>2.1319999999999999E-2</v>
      </c>
      <c r="TQ2">
        <v>1.434E-2</v>
      </c>
      <c r="TR2">
        <v>3.022E-2</v>
      </c>
      <c r="TS2">
        <v>4.2680000000000003E-2</v>
      </c>
      <c r="TT2">
        <v>4.2950000000000002E-2</v>
      </c>
      <c r="TU2">
        <v>2.7210000000000002E-2</v>
      </c>
      <c r="TV2">
        <v>2.4930000000000001E-2</v>
      </c>
      <c r="TW2">
        <v>1.9290000000000002E-2</v>
      </c>
      <c r="TX2">
        <v>1.6549999999999999E-2</v>
      </c>
      <c r="TY2">
        <v>1.487E-2</v>
      </c>
      <c r="TZ2">
        <v>1.566E-2</v>
      </c>
      <c r="UA2">
        <v>1.4319999999999999E-2</v>
      </c>
      <c r="UB2">
        <v>2.307E-2</v>
      </c>
      <c r="UC2">
        <v>2.0379999999999999E-2</v>
      </c>
      <c r="UD2">
        <v>2.0979999999999999E-2</v>
      </c>
      <c r="UE2">
        <v>2.2270000000000002E-2</v>
      </c>
      <c r="UF2">
        <v>1.975E-2</v>
      </c>
      <c r="UG2">
        <v>2.189E-2</v>
      </c>
      <c r="UH2">
        <v>2.0119999999999999E-2</v>
      </c>
      <c r="UI2">
        <v>2.198E-2</v>
      </c>
      <c r="UJ2">
        <v>2.6440000000000002E-2</v>
      </c>
      <c r="UK2">
        <v>1.6230000000000001E-2</v>
      </c>
      <c r="UL2">
        <v>2.6179999999999998E-2</v>
      </c>
      <c r="UM2">
        <v>2.998E-2</v>
      </c>
      <c r="UN2">
        <v>2.1559999999999999E-2</v>
      </c>
      <c r="UO2">
        <v>2.2859999999999998E-2</v>
      </c>
      <c r="UP2">
        <v>3.635E-2</v>
      </c>
      <c r="UQ2">
        <v>1.9869999999999999E-2</v>
      </c>
      <c r="UR2">
        <v>2.06E-2</v>
      </c>
      <c r="US2">
        <v>1.9949999999999999E-2</v>
      </c>
      <c r="UT2">
        <v>1.7829999999999999E-2</v>
      </c>
      <c r="UU2">
        <v>1.8020000000000001E-2</v>
      </c>
      <c r="UV2">
        <v>2.1870000000000001E-2</v>
      </c>
      <c r="UW2">
        <v>4.4790000000000003E-2</v>
      </c>
      <c r="UX2">
        <v>2.1080000000000002E-2</v>
      </c>
      <c r="UY2">
        <v>2.5850000000000001E-2</v>
      </c>
      <c r="VA2">
        <v>4.0050000000000002E-2</v>
      </c>
      <c r="VC2">
        <v>4.3299999999999998E-2</v>
      </c>
      <c r="VD2">
        <v>3.4979999999999997E-2</v>
      </c>
      <c r="VE2">
        <v>3.5119999999999998E-2</v>
      </c>
      <c r="VF2">
        <v>3.9100000000000003E-2</v>
      </c>
      <c r="VG2">
        <v>0.10627</v>
      </c>
      <c r="VH2">
        <v>2.0379999999999999E-2</v>
      </c>
      <c r="VI2">
        <v>2.315E-2</v>
      </c>
    </row>
    <row r="3" spans="1:581" x14ac:dyDescent="0.25">
      <c r="A3">
        <v>60000</v>
      </c>
      <c r="B3">
        <v>1.3769999999999999E-2</v>
      </c>
      <c r="C3">
        <v>1.3339999999999999E-2</v>
      </c>
      <c r="D3">
        <v>1.312E-2</v>
      </c>
      <c r="E3">
        <v>1.2699999999999999E-2</v>
      </c>
      <c r="F3">
        <v>1.2659999999999999E-2</v>
      </c>
      <c r="H3">
        <v>1.299E-2</v>
      </c>
      <c r="I3">
        <v>1.2930000000000001E-2</v>
      </c>
      <c r="J3">
        <v>1.282E-2</v>
      </c>
      <c r="K3">
        <v>1.374E-2</v>
      </c>
      <c r="L3">
        <v>1.3469999999999999E-2</v>
      </c>
      <c r="M3">
        <v>1.325E-2</v>
      </c>
      <c r="N3">
        <v>1.312E-2</v>
      </c>
      <c r="O3">
        <v>2.0660000000000001E-2</v>
      </c>
      <c r="P3">
        <v>1.9619999999999999E-2</v>
      </c>
      <c r="Q3">
        <v>1.857E-2</v>
      </c>
      <c r="R3">
        <v>1.635E-2</v>
      </c>
      <c r="S3">
        <v>1.453E-2</v>
      </c>
      <c r="T3">
        <v>1.32E-2</v>
      </c>
      <c r="U3">
        <v>1.302E-2</v>
      </c>
      <c r="V3">
        <v>1.3809999999999999E-2</v>
      </c>
      <c r="W3">
        <v>1.2540000000000001E-2</v>
      </c>
      <c r="X3">
        <v>1.2840000000000001E-2</v>
      </c>
      <c r="Y3">
        <v>1.221E-2</v>
      </c>
      <c r="Z3">
        <v>1.2319999999999999E-2</v>
      </c>
      <c r="AA3">
        <v>3.107E-2</v>
      </c>
      <c r="AD3">
        <v>2.3699999999999999E-2</v>
      </c>
      <c r="AE3">
        <v>4.3659999999999997E-2</v>
      </c>
      <c r="AI3">
        <v>3.6490000000000002E-2</v>
      </c>
      <c r="AJ3">
        <v>3.4049999999999997E-2</v>
      </c>
      <c r="AM3">
        <v>3.2320000000000002E-2</v>
      </c>
      <c r="AN3">
        <v>3.6179999999999997E-2</v>
      </c>
      <c r="AP3">
        <v>3.8690000000000002E-2</v>
      </c>
      <c r="AQ3">
        <v>3.9419999999999997E-2</v>
      </c>
      <c r="AR3">
        <v>4.2009999999999999E-2</v>
      </c>
      <c r="AS3">
        <v>4.2540000000000001E-2</v>
      </c>
      <c r="AT3">
        <v>2.7230000000000001E-2</v>
      </c>
      <c r="AU3">
        <v>3.1879999999999999E-2</v>
      </c>
      <c r="AV3">
        <v>3.6200000000000003E-2</v>
      </c>
      <c r="AW3">
        <v>4.1579999999999999E-2</v>
      </c>
      <c r="AX3">
        <v>4.1880000000000001E-2</v>
      </c>
      <c r="AY3">
        <v>3.4000000000000002E-2</v>
      </c>
      <c r="AZ3">
        <v>3.431E-2</v>
      </c>
      <c r="BA3">
        <v>3.3520000000000001E-2</v>
      </c>
      <c r="BB3">
        <v>3.8600000000000002E-2</v>
      </c>
      <c r="BD3">
        <v>5.355E-2</v>
      </c>
      <c r="BH3">
        <v>4.0390000000000002E-2</v>
      </c>
      <c r="BN3">
        <v>2.6550000000000001E-2</v>
      </c>
      <c r="BP3">
        <v>2.9479999999999999E-2</v>
      </c>
      <c r="BQ3">
        <v>2.0899999999999998E-2</v>
      </c>
      <c r="BR3">
        <v>1.7909999999999999E-2</v>
      </c>
      <c r="BT3">
        <v>4.8739999999999999E-2</v>
      </c>
      <c r="BU3">
        <v>3.5740000000000001E-2</v>
      </c>
      <c r="BV3">
        <v>3.7400000000000003E-2</v>
      </c>
      <c r="BW3">
        <v>3.4200000000000001E-2</v>
      </c>
      <c r="BX3">
        <v>3.1179999999999999E-2</v>
      </c>
      <c r="BY3">
        <v>3.8019999999999998E-2</v>
      </c>
      <c r="BZ3">
        <v>2.904E-2</v>
      </c>
      <c r="CA3">
        <v>3.3610000000000001E-2</v>
      </c>
      <c r="CB3">
        <v>2.0959999999999999E-2</v>
      </c>
      <c r="CC3">
        <v>2.4680000000000001E-2</v>
      </c>
      <c r="CD3">
        <v>2.5860000000000001E-2</v>
      </c>
      <c r="CE3">
        <v>2.4989999999999998E-2</v>
      </c>
      <c r="CF3">
        <v>2.3470000000000001E-2</v>
      </c>
      <c r="CG3">
        <v>2.1940000000000001E-2</v>
      </c>
      <c r="CH3">
        <v>2.051E-2</v>
      </c>
      <c r="CI3">
        <v>1.9210000000000001E-2</v>
      </c>
      <c r="CJ3">
        <v>1.806E-2</v>
      </c>
      <c r="CK3">
        <v>2.086E-2</v>
      </c>
      <c r="CL3">
        <v>2.673E-2</v>
      </c>
      <c r="CM3">
        <v>2.8850000000000001E-2</v>
      </c>
      <c r="CN3">
        <v>3.1519999999999999E-2</v>
      </c>
      <c r="CO3">
        <v>2.8070000000000001E-2</v>
      </c>
      <c r="CP3">
        <v>3.0939999999999999E-2</v>
      </c>
      <c r="CQ3">
        <v>2.248E-2</v>
      </c>
      <c r="CR3">
        <v>2.3740000000000001E-2</v>
      </c>
      <c r="CS3">
        <v>2.7560000000000001E-2</v>
      </c>
      <c r="CT3">
        <v>3.1789999999999999E-2</v>
      </c>
      <c r="CU3">
        <v>2.3099999999999999E-2</v>
      </c>
      <c r="CV3">
        <v>2.1489999999999999E-2</v>
      </c>
      <c r="CW3">
        <v>2.93E-2</v>
      </c>
      <c r="CX3">
        <v>3.3759999999999998E-2</v>
      </c>
      <c r="CY3">
        <v>2.9080000000000002E-2</v>
      </c>
      <c r="CZ3">
        <v>1.9109999999999999E-2</v>
      </c>
      <c r="DA3">
        <v>2.0500000000000001E-2</v>
      </c>
      <c r="DB3">
        <v>1.8790000000000001E-2</v>
      </c>
      <c r="DC3">
        <v>1.7770000000000001E-2</v>
      </c>
      <c r="DD3">
        <v>1.7229999999999999E-2</v>
      </c>
      <c r="DE3">
        <v>1.6670000000000001E-2</v>
      </c>
      <c r="DF3">
        <v>5.083E-2</v>
      </c>
      <c r="DG3">
        <v>2.341E-2</v>
      </c>
      <c r="DH3">
        <v>2.495E-2</v>
      </c>
      <c r="DI3">
        <v>2.4729999999999999E-2</v>
      </c>
      <c r="DJ3">
        <v>2.479E-2</v>
      </c>
      <c r="DK3">
        <v>2.5080000000000002E-2</v>
      </c>
      <c r="DL3">
        <v>2.5579999999999999E-2</v>
      </c>
      <c r="DM3">
        <v>2.2370000000000001E-2</v>
      </c>
      <c r="DN3">
        <v>2.2450000000000001E-2</v>
      </c>
      <c r="DR3">
        <v>2.545E-2</v>
      </c>
      <c r="DS3">
        <v>2.5399999999999999E-2</v>
      </c>
      <c r="DT3">
        <v>2.5839999999999998E-2</v>
      </c>
      <c r="DU3">
        <v>2.6509999999999999E-2</v>
      </c>
      <c r="DV3">
        <v>2.76E-2</v>
      </c>
      <c r="DW3">
        <v>2.8649999999999998E-2</v>
      </c>
      <c r="DX3">
        <v>2.8930000000000001E-2</v>
      </c>
      <c r="DZ3">
        <v>3.1399999999999997E-2</v>
      </c>
      <c r="EA3">
        <v>2.572E-2</v>
      </c>
      <c r="EB3">
        <v>2.4989999999999998E-2</v>
      </c>
      <c r="EC3">
        <v>2.538E-2</v>
      </c>
      <c r="EJ3">
        <v>2.4979999999999999E-2</v>
      </c>
      <c r="EK3">
        <v>2.7220000000000001E-2</v>
      </c>
      <c r="EL3">
        <v>3.065E-2</v>
      </c>
      <c r="EM3">
        <v>4.104E-2</v>
      </c>
      <c r="EN3">
        <v>4.4679999999999997E-2</v>
      </c>
      <c r="EO3">
        <v>4.2430000000000002E-2</v>
      </c>
      <c r="EP3">
        <v>4.7010000000000003E-2</v>
      </c>
      <c r="ER3">
        <v>3.5360000000000003E-2</v>
      </c>
      <c r="ES3">
        <v>3.3500000000000002E-2</v>
      </c>
      <c r="ET3">
        <v>3.3410000000000002E-2</v>
      </c>
      <c r="EW3">
        <v>5.8400000000000001E-2</v>
      </c>
      <c r="EY3">
        <v>1.7670000000000002E-2</v>
      </c>
      <c r="EZ3">
        <v>1.7950000000000001E-2</v>
      </c>
      <c r="FA3">
        <v>3.7170000000000002E-2</v>
      </c>
      <c r="FB3">
        <v>4.8000000000000001E-2</v>
      </c>
      <c r="FC3">
        <v>3.4020000000000002E-2</v>
      </c>
      <c r="FE3">
        <v>4.1020000000000001E-2</v>
      </c>
      <c r="FF3">
        <v>2.2179999999999998E-2</v>
      </c>
      <c r="FG3">
        <v>1.7770000000000001E-2</v>
      </c>
      <c r="FH3">
        <v>2.4109999999999999E-2</v>
      </c>
      <c r="FI3">
        <v>1.9E-2</v>
      </c>
      <c r="FJ3">
        <v>2.358E-2</v>
      </c>
      <c r="FK3">
        <v>2.7279999999999999E-2</v>
      </c>
      <c r="FL3">
        <v>2.6159999999999999E-2</v>
      </c>
      <c r="FN3">
        <v>4.419E-2</v>
      </c>
      <c r="FO3">
        <v>3.7580000000000002E-2</v>
      </c>
      <c r="FP3">
        <v>3.1189999999999999E-2</v>
      </c>
      <c r="FQ3">
        <v>4.9910000000000003E-2</v>
      </c>
      <c r="FR3">
        <v>4.8570000000000002E-2</v>
      </c>
      <c r="FS3">
        <v>4.7440000000000003E-2</v>
      </c>
      <c r="FT3">
        <v>4.897E-2</v>
      </c>
      <c r="FU3">
        <v>5.0380000000000001E-2</v>
      </c>
      <c r="FV3">
        <v>4.9779999999999998E-2</v>
      </c>
      <c r="FW3">
        <v>3.7269999999999998E-2</v>
      </c>
      <c r="FX3">
        <v>4.0230000000000002E-2</v>
      </c>
      <c r="FY3">
        <v>3.7260000000000001E-2</v>
      </c>
      <c r="FZ3">
        <v>5.1639999999999998E-2</v>
      </c>
      <c r="GA3">
        <v>4.8500000000000001E-2</v>
      </c>
      <c r="GB3">
        <v>5.0049999999999997E-2</v>
      </c>
      <c r="GD3">
        <v>4.9099999999999998E-2</v>
      </c>
      <c r="GE3">
        <v>4.7870000000000003E-2</v>
      </c>
      <c r="GF3">
        <v>4.0620000000000003E-2</v>
      </c>
      <c r="GG3">
        <v>4.206E-2</v>
      </c>
      <c r="GH3">
        <v>4.41E-2</v>
      </c>
      <c r="GI3">
        <v>3.2000000000000001E-2</v>
      </c>
      <c r="GL3">
        <v>4.5019999999999998E-2</v>
      </c>
      <c r="GO3">
        <v>4.4519999999999997E-2</v>
      </c>
      <c r="GP3">
        <v>3.7400000000000003E-2</v>
      </c>
      <c r="GR3">
        <v>4.9660000000000003E-2</v>
      </c>
      <c r="GS3">
        <v>3.5929999999999997E-2</v>
      </c>
      <c r="GT3">
        <v>4.7390000000000002E-2</v>
      </c>
      <c r="GU3">
        <v>2.564E-2</v>
      </c>
      <c r="GV3">
        <v>4.5069999999999999E-2</v>
      </c>
      <c r="GW3">
        <v>3.7490000000000002E-2</v>
      </c>
      <c r="GX3">
        <v>3.0499999999999999E-2</v>
      </c>
      <c r="GY3">
        <v>6.1179999999999998E-2</v>
      </c>
      <c r="GZ3">
        <v>5.8009999999999999E-2</v>
      </c>
      <c r="HB3">
        <v>2.8160000000000001E-2</v>
      </c>
      <c r="HC3">
        <v>2.4510000000000001E-2</v>
      </c>
      <c r="HE3">
        <v>2.4510000000000001E-2</v>
      </c>
      <c r="HF3">
        <v>2.4580000000000001E-2</v>
      </c>
      <c r="HI3">
        <v>2.7519999999999999E-2</v>
      </c>
      <c r="HJ3">
        <v>2.0320000000000001E-2</v>
      </c>
      <c r="HK3">
        <v>4.3209999999999998E-2</v>
      </c>
      <c r="HL3">
        <v>4.8989999999999999E-2</v>
      </c>
      <c r="HM3">
        <v>4.6969999999999998E-2</v>
      </c>
      <c r="HN3">
        <v>4.2540000000000001E-2</v>
      </c>
      <c r="HO3">
        <v>3.832E-2</v>
      </c>
      <c r="HP3">
        <v>2.5579999999999999E-2</v>
      </c>
      <c r="HQ3">
        <v>3.6139999999999999E-2</v>
      </c>
      <c r="HR3">
        <v>4.7460000000000002E-2</v>
      </c>
      <c r="HT3">
        <v>3.2349999999999997E-2</v>
      </c>
      <c r="HU3">
        <v>2.8340000000000001E-2</v>
      </c>
      <c r="HV3">
        <v>4.1959999999999997E-2</v>
      </c>
      <c r="HW3">
        <v>3.1060000000000001E-2</v>
      </c>
      <c r="HX3">
        <v>4.0779999999999997E-2</v>
      </c>
      <c r="HY3">
        <v>3.8809999999999997E-2</v>
      </c>
      <c r="HZ3">
        <v>1.9470000000000001E-2</v>
      </c>
      <c r="IB3">
        <v>5.892E-2</v>
      </c>
      <c r="IC3">
        <v>3.3950000000000001E-2</v>
      </c>
      <c r="ID3">
        <v>2.53E-2</v>
      </c>
      <c r="IE3">
        <v>2.086E-2</v>
      </c>
      <c r="IF3">
        <v>2.8549999999999999E-2</v>
      </c>
      <c r="IG3">
        <v>4.1790000000000001E-2</v>
      </c>
      <c r="IH3">
        <v>5.5669999999999997E-2</v>
      </c>
      <c r="II3">
        <v>1.891E-2</v>
      </c>
      <c r="IJ3">
        <v>2.734E-2</v>
      </c>
      <c r="IK3">
        <v>3.2390000000000002E-2</v>
      </c>
      <c r="IL3">
        <v>3.9820000000000001E-2</v>
      </c>
      <c r="IM3">
        <v>4.8559999999999999E-2</v>
      </c>
      <c r="IN3">
        <v>5.6669999999999998E-2</v>
      </c>
      <c r="IO3">
        <v>6.8610000000000004E-2</v>
      </c>
      <c r="IS3">
        <v>1.435E-2</v>
      </c>
      <c r="IT3">
        <v>2.036E-2</v>
      </c>
      <c r="IU3">
        <v>2.1139999999999999E-2</v>
      </c>
      <c r="IV3">
        <v>1.6410000000000001E-2</v>
      </c>
      <c r="IW3">
        <v>2.554E-2</v>
      </c>
      <c r="IX3">
        <v>1.362E-2</v>
      </c>
      <c r="IY3">
        <v>1.5180000000000001E-2</v>
      </c>
      <c r="IZ3">
        <v>1.3559999999999999E-2</v>
      </c>
      <c r="JA3">
        <v>1.6400000000000001E-2</v>
      </c>
      <c r="JB3">
        <v>1.7409999999999998E-2</v>
      </c>
      <c r="JC3">
        <v>1.8610000000000002E-2</v>
      </c>
      <c r="JD3">
        <v>2.1350000000000001E-2</v>
      </c>
      <c r="JE3">
        <v>1.554E-2</v>
      </c>
      <c r="JF3">
        <v>1.9560000000000001E-2</v>
      </c>
      <c r="JG3">
        <v>2.3959999999999999E-2</v>
      </c>
      <c r="JI3">
        <v>5.237E-2</v>
      </c>
      <c r="JJ3">
        <v>5.6710000000000003E-2</v>
      </c>
      <c r="JM3">
        <v>3.8649999999999997E-2</v>
      </c>
      <c r="JO3">
        <v>6.7769999999999997E-2</v>
      </c>
      <c r="JP3">
        <v>4.2759999999999999E-2</v>
      </c>
      <c r="JQ3">
        <v>2.392E-2</v>
      </c>
      <c r="JR3">
        <v>2.5489999999999999E-2</v>
      </c>
      <c r="JS3">
        <v>2.3859999999999999E-2</v>
      </c>
      <c r="JT3">
        <v>3.193E-2</v>
      </c>
      <c r="JU3">
        <v>3.286E-2</v>
      </c>
      <c r="JV3">
        <v>4.1889999999999997E-2</v>
      </c>
      <c r="JW3">
        <v>3.9870000000000003E-2</v>
      </c>
      <c r="JY3">
        <v>3.2710000000000003E-2</v>
      </c>
      <c r="JZ3">
        <v>4.7350000000000003E-2</v>
      </c>
      <c r="KA3">
        <v>4.8660000000000002E-2</v>
      </c>
      <c r="KB3">
        <v>2.724E-2</v>
      </c>
      <c r="KC3">
        <v>3.0159999999999999E-2</v>
      </c>
      <c r="KD3">
        <v>3.7859999999999998E-2</v>
      </c>
      <c r="KE3">
        <v>4.7050000000000002E-2</v>
      </c>
      <c r="KF3">
        <v>2.9319999999999999E-2</v>
      </c>
      <c r="KG3">
        <v>3.2120000000000003E-2</v>
      </c>
      <c r="KK3">
        <v>5.1819999999999998E-2</v>
      </c>
      <c r="KN3">
        <v>1.387E-2</v>
      </c>
      <c r="KO3">
        <v>1.8700000000000001E-2</v>
      </c>
      <c r="KS3">
        <v>4.7359999999999999E-2</v>
      </c>
      <c r="KU3">
        <v>2.5399999999999999E-2</v>
      </c>
      <c r="KV3">
        <v>1.9359999999999999E-2</v>
      </c>
      <c r="KW3">
        <v>1.804E-2</v>
      </c>
      <c r="KY3">
        <v>1.519E-2</v>
      </c>
      <c r="KZ3">
        <v>2.0469999999999999E-2</v>
      </c>
      <c r="LA3">
        <v>3.6900000000000002E-2</v>
      </c>
      <c r="LB3">
        <v>3.6339999999999997E-2</v>
      </c>
      <c r="LC3">
        <v>3.6119999999999999E-2</v>
      </c>
      <c r="LD3">
        <v>3.6119999999999999E-2</v>
      </c>
      <c r="LG3">
        <v>4.9000000000000002E-2</v>
      </c>
      <c r="LH3">
        <v>5.8319999999999997E-2</v>
      </c>
      <c r="LJ3">
        <v>3.3919999999999999E-2</v>
      </c>
      <c r="LL3">
        <v>4.4310000000000002E-2</v>
      </c>
      <c r="LM3">
        <v>3.0870000000000002E-2</v>
      </c>
      <c r="LN3">
        <v>3.1699999999999999E-2</v>
      </c>
      <c r="LP3">
        <v>3.508E-2</v>
      </c>
      <c r="LT3">
        <v>3.5990000000000001E-2</v>
      </c>
      <c r="LU3">
        <v>6.0159999999999998E-2</v>
      </c>
      <c r="LV3">
        <v>4.7730000000000002E-2</v>
      </c>
      <c r="LW3">
        <v>1.6799999999999999E-2</v>
      </c>
      <c r="LX3">
        <v>2.0629999999999999E-2</v>
      </c>
      <c r="LZ3">
        <v>6.5210000000000004E-2</v>
      </c>
      <c r="MA3">
        <v>5.8209999999999998E-2</v>
      </c>
      <c r="MB3">
        <v>1.453E-2</v>
      </c>
      <c r="MC3">
        <v>3.7479999999999999E-2</v>
      </c>
      <c r="MD3">
        <v>4.2759999999999999E-2</v>
      </c>
      <c r="MH3">
        <v>3.85E-2</v>
      </c>
      <c r="MI3">
        <v>3.6979999999999999E-2</v>
      </c>
      <c r="MJ3">
        <v>3.9300000000000002E-2</v>
      </c>
      <c r="MK3">
        <v>4.5859999999999998E-2</v>
      </c>
      <c r="ML3">
        <v>5.8610000000000002E-2</v>
      </c>
      <c r="MM3">
        <v>3.388E-2</v>
      </c>
      <c r="MN3">
        <v>1.7989999999999999E-2</v>
      </c>
      <c r="MO3">
        <v>2.4459999999999999E-2</v>
      </c>
      <c r="MP3">
        <v>4.0620000000000003E-2</v>
      </c>
      <c r="MQ3">
        <v>1.8610000000000002E-2</v>
      </c>
      <c r="MR3">
        <v>2.9479999999999999E-2</v>
      </c>
      <c r="MS3">
        <v>3.8510000000000003E-2</v>
      </c>
      <c r="MU3">
        <v>2.427E-2</v>
      </c>
      <c r="MV3">
        <v>3.4939999999999999E-2</v>
      </c>
      <c r="MW3">
        <v>4.0509999999999997E-2</v>
      </c>
      <c r="MX3">
        <v>4.36E-2</v>
      </c>
      <c r="MY3">
        <v>5.0410000000000003E-2</v>
      </c>
      <c r="NA3">
        <v>2.929E-2</v>
      </c>
      <c r="NB3">
        <v>3.5479999999999998E-2</v>
      </c>
      <c r="NC3">
        <v>2.2419999999999999E-2</v>
      </c>
      <c r="NE3">
        <v>5.0459999999999998E-2</v>
      </c>
      <c r="NF3">
        <v>4.326E-2</v>
      </c>
      <c r="NG3">
        <v>1.839E-2</v>
      </c>
      <c r="NH3">
        <v>1.341E-2</v>
      </c>
      <c r="NI3">
        <v>1.469E-2</v>
      </c>
      <c r="NJ3">
        <v>1.796E-2</v>
      </c>
      <c r="NK3">
        <v>1.5129999999999999E-2</v>
      </c>
      <c r="NL3">
        <v>1.6420000000000001E-2</v>
      </c>
      <c r="NM3">
        <v>1.8630000000000001E-2</v>
      </c>
      <c r="NN3">
        <v>2.0320000000000001E-2</v>
      </c>
      <c r="NO3">
        <v>2.3980000000000001E-2</v>
      </c>
      <c r="NP3">
        <v>1.585E-2</v>
      </c>
      <c r="NQ3">
        <v>1.6570000000000001E-2</v>
      </c>
      <c r="NR3">
        <v>1.7180000000000001E-2</v>
      </c>
      <c r="NS3">
        <v>1.9650000000000001E-2</v>
      </c>
      <c r="NT3">
        <v>2.4590000000000001E-2</v>
      </c>
      <c r="NU3">
        <v>1.6740000000000001E-2</v>
      </c>
      <c r="NV3">
        <v>1.8100000000000002E-2</v>
      </c>
      <c r="NW3">
        <v>1.806E-2</v>
      </c>
      <c r="NX3">
        <v>1.8849999999999999E-2</v>
      </c>
      <c r="NY3">
        <v>2.085E-2</v>
      </c>
      <c r="NZ3">
        <v>2.2880000000000001E-2</v>
      </c>
      <c r="OA3">
        <v>2.5870000000000001E-2</v>
      </c>
      <c r="OB3">
        <v>1.7850000000000001E-2</v>
      </c>
      <c r="OC3">
        <v>1.9290000000000002E-2</v>
      </c>
      <c r="OD3">
        <v>1.9210000000000001E-2</v>
      </c>
      <c r="OE3">
        <v>1.9210000000000001E-2</v>
      </c>
      <c r="OG3">
        <v>2.2259999999999999E-2</v>
      </c>
      <c r="OH3">
        <v>2.486E-2</v>
      </c>
      <c r="OI3">
        <v>2.768E-2</v>
      </c>
      <c r="OJ3">
        <v>3.0200000000000001E-2</v>
      </c>
      <c r="OK3">
        <v>3.4320000000000003E-2</v>
      </c>
      <c r="OL3">
        <v>3.8719999999999997E-2</v>
      </c>
      <c r="OM3">
        <v>1.9140000000000001E-2</v>
      </c>
      <c r="ON3">
        <v>2.0650000000000002E-2</v>
      </c>
      <c r="OO3">
        <v>2.3890000000000002E-2</v>
      </c>
      <c r="OP3">
        <v>2.928E-2</v>
      </c>
      <c r="OQ3">
        <v>3.1859999999999999E-2</v>
      </c>
      <c r="OR3">
        <v>3.4790000000000001E-2</v>
      </c>
      <c r="OS3">
        <v>4.4139999999999999E-2</v>
      </c>
      <c r="OT3">
        <v>2.0619999999999999E-2</v>
      </c>
      <c r="OU3">
        <v>2.2210000000000001E-2</v>
      </c>
      <c r="OV3">
        <v>1.298E-2</v>
      </c>
      <c r="OW3">
        <v>1.247E-2</v>
      </c>
      <c r="OX3">
        <v>1.2239999999999999E-2</v>
      </c>
      <c r="OY3">
        <v>1.2319999999999999E-2</v>
      </c>
      <c r="PB3">
        <v>4.4499999999999998E-2</v>
      </c>
      <c r="PC3">
        <v>3.422E-2</v>
      </c>
      <c r="PD3">
        <v>2.8830000000000001E-2</v>
      </c>
      <c r="PE3">
        <v>2.2020000000000001E-2</v>
      </c>
      <c r="PF3">
        <v>1.9570000000000001E-2</v>
      </c>
      <c r="PG3">
        <v>1.7559999999999999E-2</v>
      </c>
      <c r="PH3">
        <v>1.6990000000000002E-2</v>
      </c>
      <c r="PI3">
        <v>5.6070000000000002E-2</v>
      </c>
      <c r="PJ3">
        <v>4.8649999999999999E-2</v>
      </c>
      <c r="PK3">
        <v>3.6040000000000003E-2</v>
      </c>
      <c r="PL3">
        <v>2.7439999999999999E-2</v>
      </c>
      <c r="PM3">
        <v>2.2329999999999999E-2</v>
      </c>
      <c r="PN3">
        <v>2.699E-2</v>
      </c>
      <c r="PO3">
        <v>2.0469999999999999E-2</v>
      </c>
      <c r="PP3">
        <v>2.2689999999999998E-2</v>
      </c>
      <c r="PQ3">
        <v>2.946E-2</v>
      </c>
      <c r="PR3">
        <v>2.1149999999999999E-2</v>
      </c>
      <c r="PS3">
        <v>2.7640000000000001E-2</v>
      </c>
      <c r="PT3">
        <v>2.8889999999999999E-2</v>
      </c>
      <c r="PU3">
        <v>1.585E-2</v>
      </c>
      <c r="PV3">
        <v>1.7139999999999999E-2</v>
      </c>
      <c r="PW3">
        <v>1.9140000000000001E-2</v>
      </c>
      <c r="PX3">
        <v>2.1569999999999999E-2</v>
      </c>
      <c r="PY3">
        <v>2.46E-2</v>
      </c>
      <c r="PZ3">
        <v>2.8320000000000001E-2</v>
      </c>
      <c r="QA3">
        <v>1.5879999999999998E-2</v>
      </c>
      <c r="QB3">
        <v>1.8350000000000002E-2</v>
      </c>
      <c r="QC3">
        <v>2.7629999999999998E-2</v>
      </c>
      <c r="QD3">
        <v>1.9019999999999999E-2</v>
      </c>
      <c r="QE3">
        <v>1.7850000000000001E-2</v>
      </c>
      <c r="QF3">
        <v>1.9060000000000001E-2</v>
      </c>
      <c r="QG3">
        <v>1.959E-2</v>
      </c>
      <c r="QH3">
        <v>1.8100000000000002E-2</v>
      </c>
      <c r="QI3">
        <v>2.0709999999999999E-2</v>
      </c>
      <c r="QJ3">
        <v>2.1590000000000002E-2</v>
      </c>
      <c r="QK3">
        <v>1.891E-2</v>
      </c>
      <c r="QL3">
        <v>1.6570000000000001E-2</v>
      </c>
      <c r="QM3">
        <v>2.5579999999999999E-2</v>
      </c>
      <c r="QN3">
        <v>2.9080000000000002E-2</v>
      </c>
      <c r="QO3">
        <v>2.4219999999999998E-2</v>
      </c>
      <c r="QP3">
        <v>2.5520000000000001E-2</v>
      </c>
      <c r="QQ3">
        <v>2.7029999999999998E-2</v>
      </c>
      <c r="QR3">
        <v>2.9000000000000001E-2</v>
      </c>
      <c r="QS3">
        <v>2.929E-2</v>
      </c>
      <c r="QT3">
        <v>2.631E-2</v>
      </c>
      <c r="QU3">
        <v>2.7810000000000001E-2</v>
      </c>
      <c r="QV3">
        <v>2.9260000000000001E-2</v>
      </c>
      <c r="QW3">
        <v>3.6040000000000003E-2</v>
      </c>
      <c r="QX3">
        <v>3.8390000000000001E-2</v>
      </c>
      <c r="QY3">
        <v>3.2910000000000002E-2</v>
      </c>
      <c r="QZ3">
        <v>3.7499999999999999E-2</v>
      </c>
      <c r="RA3">
        <v>4.0529999999999997E-2</v>
      </c>
      <c r="RB3">
        <v>4.3999999999999997E-2</v>
      </c>
      <c r="RC3">
        <v>3.8089999999999999E-2</v>
      </c>
      <c r="RD3">
        <v>3.3500000000000002E-2</v>
      </c>
      <c r="RE3">
        <v>3.8300000000000001E-2</v>
      </c>
      <c r="RF3">
        <v>3.1119999999999998E-2</v>
      </c>
      <c r="RG3">
        <v>2.6929999999999999E-2</v>
      </c>
      <c r="RH3">
        <v>2.7359999999999999E-2</v>
      </c>
      <c r="RJ3">
        <v>5.2400000000000002E-2</v>
      </c>
      <c r="RM3">
        <v>1.7270000000000001E-2</v>
      </c>
      <c r="RN3">
        <v>1.736E-2</v>
      </c>
      <c r="RO3">
        <v>1.736E-2</v>
      </c>
      <c r="RP3">
        <v>1.6500000000000001E-2</v>
      </c>
      <c r="RQ3">
        <v>1.8790000000000001E-2</v>
      </c>
      <c r="RR3">
        <v>1.721E-2</v>
      </c>
      <c r="RS3">
        <v>1.797E-2</v>
      </c>
      <c r="RT3">
        <v>1.4460000000000001E-2</v>
      </c>
      <c r="RU3">
        <v>1.6879999999999999E-2</v>
      </c>
      <c r="RV3">
        <v>2.0799999999999999E-2</v>
      </c>
      <c r="RW3">
        <v>2.8320000000000001E-2</v>
      </c>
      <c r="RX3">
        <v>2.0490000000000001E-2</v>
      </c>
      <c r="RY3">
        <v>1.337E-2</v>
      </c>
      <c r="RZ3">
        <v>2.6259999999999999E-2</v>
      </c>
      <c r="SA3">
        <v>4.4580000000000002E-2</v>
      </c>
      <c r="SB3">
        <v>4.7280000000000003E-2</v>
      </c>
      <c r="SC3">
        <v>4.4229999999999998E-2</v>
      </c>
      <c r="SD3">
        <v>3.3369999999999997E-2</v>
      </c>
      <c r="SE3">
        <v>2.6599999999999999E-2</v>
      </c>
      <c r="SG3">
        <v>3.5959999999999999E-2</v>
      </c>
      <c r="SI3">
        <v>3.1370000000000002E-2</v>
      </c>
      <c r="SJ3">
        <v>1.839E-2</v>
      </c>
      <c r="SK3">
        <v>1.7479999999999999E-2</v>
      </c>
      <c r="SL3">
        <v>1.5939999999999999E-2</v>
      </c>
      <c r="SM3">
        <v>1.677E-2</v>
      </c>
      <c r="SN3">
        <v>1.6109999999999999E-2</v>
      </c>
      <c r="SO3">
        <v>1.6E-2</v>
      </c>
      <c r="SP3">
        <v>2.6499999999999999E-2</v>
      </c>
      <c r="SQ3">
        <v>2.2890000000000001E-2</v>
      </c>
      <c r="SR3">
        <v>2.2450000000000001E-2</v>
      </c>
      <c r="SS3">
        <v>2.1479999999999999E-2</v>
      </c>
      <c r="ST3">
        <v>1.9570000000000001E-2</v>
      </c>
      <c r="SU3">
        <v>2.2839999999999999E-2</v>
      </c>
      <c r="SV3">
        <v>2.5659999999999999E-2</v>
      </c>
      <c r="SW3">
        <v>2.4649999999999998E-2</v>
      </c>
      <c r="SX3">
        <v>3.099E-2</v>
      </c>
      <c r="SY3">
        <v>2.1999999999999999E-2</v>
      </c>
      <c r="SZ3">
        <v>2.7019999999999999E-2</v>
      </c>
      <c r="TA3">
        <v>2.6960000000000001E-2</v>
      </c>
      <c r="TB3">
        <v>1.8270000000000002E-2</v>
      </c>
      <c r="TC3">
        <v>1.968E-2</v>
      </c>
      <c r="TD3">
        <v>2.7019999999999999E-2</v>
      </c>
      <c r="TE3">
        <v>2.4129999999999999E-2</v>
      </c>
      <c r="TF3">
        <v>3.3980000000000003E-2</v>
      </c>
      <c r="TG3">
        <v>3.0530000000000002E-2</v>
      </c>
      <c r="TI3">
        <v>2.06E-2</v>
      </c>
      <c r="TK3">
        <v>1.7899999999999999E-2</v>
      </c>
      <c r="TL3">
        <v>1.5890000000000001E-2</v>
      </c>
      <c r="TM3">
        <v>1.427E-2</v>
      </c>
      <c r="TN3">
        <v>1.7440000000000001E-2</v>
      </c>
      <c r="TO3">
        <v>2.76E-2</v>
      </c>
      <c r="TP3">
        <v>2.0299999999999999E-2</v>
      </c>
      <c r="TQ3">
        <v>1.311E-2</v>
      </c>
      <c r="TR3">
        <v>2.801E-2</v>
      </c>
      <c r="TS3">
        <v>3.8789999999999998E-2</v>
      </c>
      <c r="TT3">
        <v>3.984E-2</v>
      </c>
      <c r="TU3">
        <v>2.6960000000000001E-2</v>
      </c>
      <c r="TV3">
        <v>2.4119999999999999E-2</v>
      </c>
      <c r="TW3">
        <v>1.8259999999999998E-2</v>
      </c>
      <c r="TX3">
        <v>1.5339999999999999E-2</v>
      </c>
      <c r="TY3">
        <v>1.3639999999999999E-2</v>
      </c>
      <c r="TZ3">
        <v>1.443E-2</v>
      </c>
      <c r="UA3">
        <v>1.3100000000000001E-2</v>
      </c>
      <c r="UB3">
        <v>2.3179999999999999E-2</v>
      </c>
      <c r="UC3">
        <v>1.9560000000000001E-2</v>
      </c>
      <c r="UD3">
        <v>2.0369999999999999E-2</v>
      </c>
      <c r="UE3">
        <v>2.1989999999999999E-2</v>
      </c>
      <c r="UF3">
        <v>1.864E-2</v>
      </c>
      <c r="UG3">
        <v>2.086E-2</v>
      </c>
      <c r="UH3">
        <v>1.9730000000000001E-2</v>
      </c>
      <c r="UI3">
        <v>2.2040000000000001E-2</v>
      </c>
      <c r="UJ3">
        <v>2.5569999999999999E-2</v>
      </c>
      <c r="UK3">
        <v>1.5129999999999999E-2</v>
      </c>
      <c r="UL3">
        <v>2.528E-2</v>
      </c>
      <c r="UM3">
        <v>2.7570000000000001E-2</v>
      </c>
      <c r="UN3">
        <v>2.0979999999999999E-2</v>
      </c>
      <c r="UO3">
        <v>2.2069999999999999E-2</v>
      </c>
      <c r="UP3">
        <v>3.039E-2</v>
      </c>
      <c r="UQ3">
        <v>1.8839999999999999E-2</v>
      </c>
      <c r="UR3">
        <v>1.9560000000000001E-2</v>
      </c>
      <c r="US3">
        <v>1.8970000000000001E-2</v>
      </c>
      <c r="UT3">
        <v>1.6709999999999999E-2</v>
      </c>
      <c r="UU3">
        <v>1.6820000000000002E-2</v>
      </c>
      <c r="UV3">
        <v>2.1760000000000002E-2</v>
      </c>
      <c r="UW3">
        <v>4.0680000000000001E-2</v>
      </c>
      <c r="UX3">
        <v>1.9949999999999999E-2</v>
      </c>
      <c r="UY3">
        <v>2.4889999999999999E-2</v>
      </c>
      <c r="VA3">
        <v>3.805E-2</v>
      </c>
      <c r="VB3">
        <v>2.9780000000000001E-2</v>
      </c>
      <c r="VC3">
        <v>4.0730000000000002E-2</v>
      </c>
      <c r="VD3">
        <v>3.4020000000000002E-2</v>
      </c>
      <c r="VE3">
        <v>3.415E-2</v>
      </c>
      <c r="VF3">
        <v>3.8359999999999998E-2</v>
      </c>
      <c r="VG3">
        <v>0.10417</v>
      </c>
      <c r="VH3">
        <v>1.9220000000000001E-2</v>
      </c>
      <c r="VI3">
        <v>2.2069999999999999E-2</v>
      </c>
    </row>
    <row r="4" spans="1:581" x14ac:dyDescent="0.25">
      <c r="A4">
        <v>70000</v>
      </c>
      <c r="B4">
        <v>1.286E-2</v>
      </c>
      <c r="C4">
        <v>1.242E-2</v>
      </c>
      <c r="D4">
        <v>1.2189999999999999E-2</v>
      </c>
      <c r="E4">
        <v>1.1780000000000001E-2</v>
      </c>
      <c r="F4">
        <v>1.174E-2</v>
      </c>
      <c r="G4">
        <v>1.282E-2</v>
      </c>
      <c r="H4">
        <v>1.2070000000000001E-2</v>
      </c>
      <c r="I4">
        <v>1.201E-2</v>
      </c>
      <c r="J4">
        <v>1.1900000000000001E-2</v>
      </c>
      <c r="K4">
        <v>1.2829999999999999E-2</v>
      </c>
      <c r="L4">
        <v>1.256E-2</v>
      </c>
      <c r="M4">
        <v>1.234E-2</v>
      </c>
      <c r="N4">
        <v>1.221E-2</v>
      </c>
      <c r="O4">
        <v>1.7860000000000001E-2</v>
      </c>
      <c r="P4">
        <v>1.7149999999999999E-2</v>
      </c>
      <c r="Q4">
        <v>1.661E-2</v>
      </c>
      <c r="R4">
        <v>1.5509999999999999E-2</v>
      </c>
      <c r="S4">
        <v>1.371E-2</v>
      </c>
      <c r="T4">
        <v>1.23E-2</v>
      </c>
      <c r="U4">
        <v>1.214E-2</v>
      </c>
      <c r="V4">
        <v>1.298E-2</v>
      </c>
      <c r="W4">
        <v>1.1610000000000001E-2</v>
      </c>
      <c r="X4">
        <v>1.192E-2</v>
      </c>
      <c r="Y4">
        <v>1.129E-2</v>
      </c>
      <c r="Z4">
        <v>1.141E-2</v>
      </c>
      <c r="AD4">
        <v>2.3550000000000001E-2</v>
      </c>
      <c r="AF4">
        <v>4.616E-2</v>
      </c>
      <c r="AH4">
        <v>3.4459999999999998E-2</v>
      </c>
      <c r="AJ4">
        <v>3.3360000000000001E-2</v>
      </c>
      <c r="AM4">
        <v>3.1570000000000001E-2</v>
      </c>
      <c r="AN4">
        <v>3.5439999999999999E-2</v>
      </c>
      <c r="AQ4">
        <v>3.8800000000000001E-2</v>
      </c>
      <c r="AS4">
        <v>4.3659999999999997E-2</v>
      </c>
      <c r="AT4">
        <v>2.6499999999999999E-2</v>
      </c>
      <c r="AU4">
        <v>3.1140000000000001E-2</v>
      </c>
      <c r="AV4">
        <v>3.5529999999999999E-2</v>
      </c>
      <c r="AW4">
        <v>4.2270000000000002E-2</v>
      </c>
      <c r="AY4">
        <v>3.3239999999999999E-2</v>
      </c>
      <c r="AZ4">
        <v>3.3550000000000003E-2</v>
      </c>
      <c r="BA4">
        <v>3.2730000000000002E-2</v>
      </c>
      <c r="BB4">
        <v>3.3239999999999999E-2</v>
      </c>
      <c r="BD4">
        <v>5.4530000000000002E-2</v>
      </c>
      <c r="BH4">
        <v>4.011E-2</v>
      </c>
      <c r="BK4">
        <v>6.046E-2</v>
      </c>
      <c r="BN4">
        <v>2.495E-2</v>
      </c>
      <c r="BP4">
        <v>2.4580000000000001E-2</v>
      </c>
      <c r="BQ4">
        <v>1.7469999999999999E-2</v>
      </c>
      <c r="BR4">
        <v>1.703E-2</v>
      </c>
      <c r="BT4">
        <v>5.1920000000000001E-2</v>
      </c>
      <c r="BU4">
        <v>3.005E-2</v>
      </c>
      <c r="BV4">
        <v>3.2000000000000001E-2</v>
      </c>
      <c r="BW4">
        <v>2.9559999999999999E-2</v>
      </c>
      <c r="BX4">
        <v>2.734E-2</v>
      </c>
      <c r="BY4">
        <v>3.2239999999999998E-2</v>
      </c>
      <c r="BZ4">
        <v>2.6929999999999999E-2</v>
      </c>
      <c r="CA4">
        <v>3.1269999999999999E-2</v>
      </c>
      <c r="CB4">
        <v>1.848E-2</v>
      </c>
      <c r="CC4">
        <v>2.1930000000000002E-2</v>
      </c>
      <c r="CD4">
        <v>2.4E-2</v>
      </c>
      <c r="CE4">
        <v>2.1950000000000001E-2</v>
      </c>
      <c r="CF4">
        <v>2.0809999999999999E-2</v>
      </c>
      <c r="CG4">
        <v>1.951E-2</v>
      </c>
      <c r="CH4">
        <v>1.8319999999999999E-2</v>
      </c>
      <c r="CI4">
        <v>1.7250000000000001E-2</v>
      </c>
      <c r="CJ4">
        <v>1.6330000000000001E-2</v>
      </c>
      <c r="CK4">
        <v>1.932E-2</v>
      </c>
      <c r="CL4">
        <v>2.3539999999999998E-2</v>
      </c>
      <c r="CM4">
        <v>2.5399999999999999E-2</v>
      </c>
      <c r="CO4">
        <v>2.4760000000000001E-2</v>
      </c>
      <c r="CP4">
        <v>2.8289999999999999E-2</v>
      </c>
      <c r="CQ4">
        <v>1.9189999999999999E-2</v>
      </c>
      <c r="CR4">
        <v>1.993E-2</v>
      </c>
      <c r="CS4">
        <v>2.3800000000000002E-2</v>
      </c>
      <c r="CT4">
        <v>2.7300000000000001E-2</v>
      </c>
      <c r="CU4">
        <v>2.249E-2</v>
      </c>
      <c r="CV4">
        <v>2.12E-2</v>
      </c>
      <c r="CW4">
        <v>2.7539999999999999E-2</v>
      </c>
      <c r="CX4">
        <v>3.27E-2</v>
      </c>
      <c r="CY4">
        <v>2.6419999999999999E-2</v>
      </c>
      <c r="CZ4">
        <v>1.6729999999999998E-2</v>
      </c>
      <c r="DA4">
        <v>2.0369999999999999E-2</v>
      </c>
      <c r="DB4">
        <v>1.8429999999999998E-2</v>
      </c>
      <c r="DC4">
        <v>1.7010000000000001E-2</v>
      </c>
      <c r="DD4">
        <v>1.6379999999999999E-2</v>
      </c>
      <c r="DE4">
        <v>1.5800000000000002E-2</v>
      </c>
      <c r="DF4">
        <v>5.0819999999999997E-2</v>
      </c>
      <c r="DG4">
        <v>2.2700000000000001E-2</v>
      </c>
      <c r="DH4">
        <v>2.3310000000000001E-2</v>
      </c>
      <c r="DI4">
        <v>2.2929999999999999E-2</v>
      </c>
      <c r="DJ4">
        <v>2.2800000000000001E-2</v>
      </c>
      <c r="DK4">
        <v>2.2769999999999999E-2</v>
      </c>
      <c r="DL4">
        <v>2.3029999999999998E-2</v>
      </c>
      <c r="DM4">
        <v>2.0709999999999999E-2</v>
      </c>
      <c r="DN4">
        <v>2.0619999999999999E-2</v>
      </c>
      <c r="DR4">
        <v>2.3429999999999999E-2</v>
      </c>
      <c r="DS4">
        <v>2.3189999999999999E-2</v>
      </c>
      <c r="DT4">
        <v>2.3470000000000001E-2</v>
      </c>
      <c r="DU4">
        <v>2.3740000000000001E-2</v>
      </c>
      <c r="DV4">
        <v>2.4369999999999999E-2</v>
      </c>
      <c r="DW4">
        <v>2.589E-2</v>
      </c>
      <c r="DX4">
        <v>2.615E-2</v>
      </c>
      <c r="DY4">
        <v>2.6460000000000001E-2</v>
      </c>
      <c r="DZ4">
        <v>2.7439999999999999E-2</v>
      </c>
      <c r="EA4">
        <v>2.2179999999999998E-2</v>
      </c>
      <c r="EB4">
        <v>2.1569999999999999E-2</v>
      </c>
      <c r="EC4">
        <v>2.3310000000000001E-2</v>
      </c>
      <c r="ED4">
        <v>3.9309999999999998E-2</v>
      </c>
      <c r="EG4">
        <v>3.7280000000000001E-2</v>
      </c>
      <c r="EJ4">
        <v>2.189E-2</v>
      </c>
      <c r="EK4">
        <v>2.4080000000000001E-2</v>
      </c>
      <c r="EL4">
        <v>2.768E-2</v>
      </c>
      <c r="EM4">
        <v>3.848E-2</v>
      </c>
      <c r="EN4">
        <v>4.1790000000000001E-2</v>
      </c>
      <c r="EO4">
        <v>4.3529999999999999E-2</v>
      </c>
      <c r="EP4">
        <v>4.3279999999999999E-2</v>
      </c>
      <c r="EQ4">
        <v>4.462E-2</v>
      </c>
      <c r="ER4">
        <v>3.4930000000000003E-2</v>
      </c>
      <c r="ES4">
        <v>3.3579999999999999E-2</v>
      </c>
      <c r="ET4">
        <v>3.2890000000000003E-2</v>
      </c>
      <c r="EV4">
        <v>7.3300000000000004E-2</v>
      </c>
      <c r="EY4">
        <v>1.6230000000000001E-2</v>
      </c>
      <c r="EZ4">
        <v>1.6449999999999999E-2</v>
      </c>
      <c r="FA4">
        <v>3.9750000000000001E-2</v>
      </c>
      <c r="FB4">
        <v>4.4659999999999998E-2</v>
      </c>
      <c r="FC4">
        <v>3.3309999999999999E-2</v>
      </c>
      <c r="FD4">
        <v>3.712E-2</v>
      </c>
      <c r="FE4">
        <v>4.4269999999999997E-2</v>
      </c>
      <c r="FF4">
        <v>2.1430000000000001E-2</v>
      </c>
      <c r="FG4">
        <v>1.6049999999999998E-2</v>
      </c>
      <c r="FH4">
        <v>2.2290000000000001E-2</v>
      </c>
      <c r="FI4">
        <v>1.677E-2</v>
      </c>
      <c r="FJ4">
        <v>2.0389999999999998E-2</v>
      </c>
      <c r="FK4">
        <v>2.41E-2</v>
      </c>
      <c r="FL4">
        <v>2.4070000000000001E-2</v>
      </c>
      <c r="FN4">
        <v>4.2279999999999998E-2</v>
      </c>
      <c r="FO4">
        <v>3.5720000000000002E-2</v>
      </c>
      <c r="FP4">
        <v>3.0550000000000001E-2</v>
      </c>
      <c r="FQ4">
        <v>4.8030000000000003E-2</v>
      </c>
      <c r="FR4">
        <v>4.8039999999999999E-2</v>
      </c>
      <c r="FS4">
        <v>4.1689999999999998E-2</v>
      </c>
      <c r="FT4">
        <v>4.3040000000000002E-2</v>
      </c>
      <c r="FU4">
        <v>4.514E-2</v>
      </c>
      <c r="FW4">
        <v>3.0550000000000001E-2</v>
      </c>
      <c r="FX4">
        <v>3.4029999999999998E-2</v>
      </c>
      <c r="FY4">
        <v>3.3059999999999999E-2</v>
      </c>
      <c r="FZ4">
        <v>4.6440000000000002E-2</v>
      </c>
      <c r="GA4">
        <v>4.1889999999999997E-2</v>
      </c>
      <c r="GB4">
        <v>4.6370000000000001E-2</v>
      </c>
      <c r="GC4">
        <v>4.6620000000000002E-2</v>
      </c>
      <c r="GD4">
        <v>4.4319999999999998E-2</v>
      </c>
      <c r="GE4">
        <v>3.9039999999999998E-2</v>
      </c>
      <c r="GF4">
        <v>3.6859999999999997E-2</v>
      </c>
      <c r="GG4">
        <v>3.8030000000000001E-2</v>
      </c>
      <c r="GH4">
        <v>3.9890000000000002E-2</v>
      </c>
      <c r="GI4">
        <v>2.6710000000000001E-2</v>
      </c>
      <c r="GK4">
        <v>3.1060000000000001E-2</v>
      </c>
      <c r="GM4">
        <v>2.9100000000000001E-2</v>
      </c>
      <c r="GO4">
        <v>4.2349999999999999E-2</v>
      </c>
      <c r="GP4">
        <v>3.9910000000000001E-2</v>
      </c>
      <c r="GQ4">
        <v>5.024E-2</v>
      </c>
      <c r="GR4">
        <v>5.2060000000000002E-2</v>
      </c>
      <c r="GS4">
        <v>3.8289999999999998E-2</v>
      </c>
      <c r="GT4">
        <v>4.4049999999999999E-2</v>
      </c>
      <c r="GU4">
        <v>2.5139999999999999E-2</v>
      </c>
      <c r="GW4">
        <v>3.4169999999999999E-2</v>
      </c>
      <c r="GX4">
        <v>2.665E-2</v>
      </c>
      <c r="GY4">
        <v>6.3200000000000006E-2</v>
      </c>
      <c r="GZ4">
        <v>5.5050000000000002E-2</v>
      </c>
      <c r="HA4">
        <v>4.1059999999999999E-2</v>
      </c>
      <c r="HB4">
        <v>2.7269999999999999E-2</v>
      </c>
      <c r="HC4">
        <v>2.2239999999999999E-2</v>
      </c>
      <c r="HE4">
        <v>2.223E-2</v>
      </c>
      <c r="HF4">
        <v>2.2100000000000002E-2</v>
      </c>
      <c r="HI4">
        <v>2.392E-2</v>
      </c>
      <c r="HJ4">
        <v>1.9570000000000001E-2</v>
      </c>
      <c r="HK4">
        <v>4.1540000000000001E-2</v>
      </c>
      <c r="HL4">
        <v>4.8169999999999998E-2</v>
      </c>
      <c r="HM4">
        <v>5.0479999999999997E-2</v>
      </c>
      <c r="HN4">
        <v>4.5710000000000001E-2</v>
      </c>
      <c r="HP4">
        <v>2.5950000000000001E-2</v>
      </c>
      <c r="HT4">
        <v>3.1600000000000003E-2</v>
      </c>
      <c r="HU4">
        <v>2.8029999999999999E-2</v>
      </c>
      <c r="HV4">
        <v>4.4089999999999997E-2</v>
      </c>
      <c r="HW4">
        <v>3.0249999999999999E-2</v>
      </c>
      <c r="HX4">
        <v>4.0210000000000003E-2</v>
      </c>
      <c r="HY4">
        <v>3.986E-2</v>
      </c>
      <c r="HZ4">
        <v>1.865E-2</v>
      </c>
      <c r="IA4">
        <v>3.6749999999999998E-2</v>
      </c>
      <c r="IB4">
        <v>4.3290000000000002E-2</v>
      </c>
      <c r="IC4">
        <v>2.6980000000000001E-2</v>
      </c>
      <c r="ID4">
        <v>2.4420000000000001E-2</v>
      </c>
      <c r="IE4">
        <v>2.077E-2</v>
      </c>
      <c r="IF4">
        <v>2.7949999999999999E-2</v>
      </c>
      <c r="IH4">
        <v>5.2299999999999999E-2</v>
      </c>
      <c r="II4">
        <v>1.8079999999999999E-2</v>
      </c>
      <c r="IJ4">
        <v>2.7230000000000001E-2</v>
      </c>
      <c r="IK4">
        <v>2.981E-2</v>
      </c>
      <c r="IL4">
        <v>3.4479999999999997E-2</v>
      </c>
      <c r="IM4">
        <v>4.0120000000000003E-2</v>
      </c>
      <c r="IR4">
        <v>0.19545000000000001</v>
      </c>
      <c r="IS4">
        <v>1.3429999999999999E-2</v>
      </c>
      <c r="IT4">
        <v>1.949E-2</v>
      </c>
      <c r="IU4">
        <v>2.034E-2</v>
      </c>
      <c r="IV4">
        <v>1.559E-2</v>
      </c>
      <c r="IW4">
        <v>2.4899999999999999E-2</v>
      </c>
      <c r="IX4">
        <v>1.2699999999999999E-2</v>
      </c>
      <c r="IY4">
        <v>1.426E-2</v>
      </c>
      <c r="IZ4">
        <v>1.265E-2</v>
      </c>
      <c r="JA4">
        <v>1.5640000000000001E-2</v>
      </c>
      <c r="JB4">
        <v>1.5429999999999999E-2</v>
      </c>
      <c r="JC4">
        <v>1.7000000000000001E-2</v>
      </c>
      <c r="JD4">
        <v>1.95E-2</v>
      </c>
      <c r="JE4">
        <v>1.388E-2</v>
      </c>
      <c r="JF4">
        <v>1.788E-2</v>
      </c>
      <c r="JG4">
        <v>2.1579999999999998E-2</v>
      </c>
      <c r="JI4">
        <v>5.144E-2</v>
      </c>
      <c r="JJ4">
        <v>5.57E-2</v>
      </c>
      <c r="JK4">
        <v>5.679E-2</v>
      </c>
      <c r="JM4">
        <v>3.712E-2</v>
      </c>
      <c r="JO4">
        <v>6.4449999999999993E-2</v>
      </c>
      <c r="JP4">
        <v>4.224E-2</v>
      </c>
      <c r="JQ4">
        <v>2.385E-2</v>
      </c>
      <c r="JR4">
        <v>2.478E-2</v>
      </c>
      <c r="JS4">
        <v>2.3720000000000001E-2</v>
      </c>
      <c r="JT4">
        <v>2.913E-2</v>
      </c>
      <c r="JU4">
        <v>2.9700000000000001E-2</v>
      </c>
      <c r="JV4">
        <v>4.0689999999999997E-2</v>
      </c>
      <c r="JW4">
        <v>3.7490000000000002E-2</v>
      </c>
      <c r="JY4">
        <v>2.8910000000000002E-2</v>
      </c>
      <c r="JZ4">
        <v>4.3479999999999998E-2</v>
      </c>
      <c r="KA4">
        <v>5.1049999999999998E-2</v>
      </c>
      <c r="KB4">
        <v>2.5559999999999999E-2</v>
      </c>
      <c r="KC4">
        <v>2.8330000000000001E-2</v>
      </c>
      <c r="KD4">
        <v>3.499E-2</v>
      </c>
      <c r="KE4">
        <v>4.3020000000000003E-2</v>
      </c>
      <c r="KF4">
        <v>2.5420000000000002E-2</v>
      </c>
      <c r="KG4">
        <v>2.5149999999999999E-2</v>
      </c>
      <c r="KI4">
        <v>5.092E-2</v>
      </c>
      <c r="KJ4">
        <v>5.6890000000000003E-2</v>
      </c>
      <c r="KM4">
        <v>5.2209999999999999E-2</v>
      </c>
      <c r="KN4">
        <v>1.3270000000000001E-2</v>
      </c>
      <c r="KO4">
        <v>1.721E-2</v>
      </c>
      <c r="KP4">
        <v>4.1700000000000001E-2</v>
      </c>
      <c r="KQ4">
        <v>4.7050000000000002E-2</v>
      </c>
      <c r="KS4">
        <v>4.9849999999999998E-2</v>
      </c>
      <c r="KT4">
        <v>5.1240000000000001E-2</v>
      </c>
      <c r="KV4">
        <v>1.882E-2</v>
      </c>
      <c r="KW4">
        <v>1.7149999999999999E-2</v>
      </c>
      <c r="KX4">
        <v>0.11942</v>
      </c>
      <c r="KY4">
        <v>1.423E-2</v>
      </c>
      <c r="KZ4">
        <v>1.967E-2</v>
      </c>
      <c r="LA4">
        <v>3.4189999999999998E-2</v>
      </c>
      <c r="LB4">
        <v>3.3500000000000002E-2</v>
      </c>
      <c r="LC4">
        <v>3.2840000000000001E-2</v>
      </c>
      <c r="LD4">
        <v>3.2840000000000001E-2</v>
      </c>
      <c r="LG4">
        <v>4.5420000000000002E-2</v>
      </c>
      <c r="LI4">
        <v>4.4220000000000002E-2</v>
      </c>
      <c r="LJ4">
        <v>2.9839999999999998E-2</v>
      </c>
      <c r="LL4">
        <v>4.6559999999999997E-2</v>
      </c>
      <c r="LM4">
        <v>3.0280000000000001E-2</v>
      </c>
      <c r="LN4">
        <v>3.2250000000000001E-2</v>
      </c>
      <c r="LO4">
        <v>3.5020000000000003E-2</v>
      </c>
      <c r="LP4">
        <v>3.5310000000000001E-2</v>
      </c>
      <c r="LT4">
        <v>3.4770000000000002E-2</v>
      </c>
      <c r="LU4">
        <v>5.7709999999999997E-2</v>
      </c>
      <c r="LV4">
        <v>4.7199999999999999E-2</v>
      </c>
      <c r="LW4">
        <v>1.5869999999999999E-2</v>
      </c>
      <c r="LX4">
        <v>1.9800000000000002E-2</v>
      </c>
      <c r="LY4">
        <v>6.608E-2</v>
      </c>
      <c r="LZ4">
        <v>6.3969999999999999E-2</v>
      </c>
      <c r="MB4">
        <v>1.358E-2</v>
      </c>
      <c r="MC4">
        <v>3.261E-2</v>
      </c>
      <c r="MD4">
        <v>3.6310000000000002E-2</v>
      </c>
      <c r="MH4">
        <v>3.9190000000000003E-2</v>
      </c>
      <c r="MI4">
        <v>3.6229999999999998E-2</v>
      </c>
      <c r="MK4">
        <v>4.5339999999999998E-2</v>
      </c>
      <c r="ML4">
        <v>5.8220000000000001E-2</v>
      </c>
      <c r="MN4">
        <v>1.738E-2</v>
      </c>
      <c r="MO4">
        <v>2.23E-2</v>
      </c>
      <c r="MQ4">
        <v>1.78E-2</v>
      </c>
      <c r="MR4">
        <v>3.024E-2</v>
      </c>
      <c r="MS4">
        <v>3.746E-2</v>
      </c>
      <c r="MT4">
        <v>5.7169999999999999E-2</v>
      </c>
      <c r="MU4">
        <v>2.2239999999999999E-2</v>
      </c>
      <c r="MV4">
        <v>3.2539999999999999E-2</v>
      </c>
      <c r="MW4">
        <v>3.8170000000000003E-2</v>
      </c>
      <c r="MX4">
        <v>4.0869999999999997E-2</v>
      </c>
      <c r="MY4">
        <v>5.1389999999999998E-2</v>
      </c>
      <c r="MZ4">
        <v>5.5899999999999998E-2</v>
      </c>
      <c r="NA4">
        <v>2.6009999999999998E-2</v>
      </c>
      <c r="NB4">
        <v>3.2680000000000001E-2</v>
      </c>
      <c r="NC4">
        <v>2.0959999999999999E-2</v>
      </c>
      <c r="ND4">
        <v>5.8630000000000002E-2</v>
      </c>
      <c r="NE4">
        <v>4.7210000000000002E-2</v>
      </c>
      <c r="NF4">
        <v>3.5409999999999997E-2</v>
      </c>
      <c r="NG4">
        <v>1.7670000000000002E-2</v>
      </c>
      <c r="NH4">
        <v>1.2500000000000001E-2</v>
      </c>
      <c r="NI4">
        <v>1.3820000000000001E-2</v>
      </c>
      <c r="NJ4">
        <v>1.711E-2</v>
      </c>
      <c r="NK4">
        <v>1.427E-2</v>
      </c>
      <c r="NL4">
        <v>1.5570000000000001E-2</v>
      </c>
      <c r="NM4">
        <v>1.787E-2</v>
      </c>
      <c r="NN4">
        <v>2.0670000000000001E-2</v>
      </c>
      <c r="NO4">
        <v>2.443E-2</v>
      </c>
      <c r="NP4">
        <v>1.5010000000000001E-2</v>
      </c>
      <c r="NQ4">
        <v>1.5730000000000001E-2</v>
      </c>
      <c r="NR4">
        <v>1.635E-2</v>
      </c>
      <c r="NS4">
        <v>1.9349999999999999E-2</v>
      </c>
      <c r="NT4">
        <v>2.4879999999999999E-2</v>
      </c>
      <c r="NU4">
        <v>1.593E-2</v>
      </c>
      <c r="NV4">
        <v>1.7299999999999999E-2</v>
      </c>
      <c r="NW4">
        <v>1.7260000000000001E-2</v>
      </c>
      <c r="NX4">
        <v>1.8030000000000001E-2</v>
      </c>
      <c r="NY4">
        <v>2.085E-2</v>
      </c>
      <c r="NZ4">
        <v>2.3220000000000001E-2</v>
      </c>
      <c r="OA4">
        <v>2.5559999999999999E-2</v>
      </c>
      <c r="OB4">
        <v>1.7059999999999999E-2</v>
      </c>
      <c r="OC4">
        <v>1.8509999999999999E-2</v>
      </c>
      <c r="OD4">
        <v>1.84E-2</v>
      </c>
      <c r="OE4">
        <v>1.84E-2</v>
      </c>
      <c r="OF4">
        <v>4.6120000000000001E-2</v>
      </c>
      <c r="OG4">
        <v>2.2579999999999999E-2</v>
      </c>
      <c r="OH4">
        <v>2.4850000000000001E-2</v>
      </c>
      <c r="OI4">
        <v>2.6919999999999999E-2</v>
      </c>
      <c r="OJ4">
        <v>2.9680000000000002E-2</v>
      </c>
      <c r="OK4">
        <v>3.2980000000000002E-2</v>
      </c>
      <c r="OL4">
        <v>3.5049999999999998E-2</v>
      </c>
      <c r="OM4">
        <v>1.8370000000000001E-2</v>
      </c>
      <c r="ON4">
        <v>2.002E-2</v>
      </c>
      <c r="OO4">
        <v>2.4340000000000001E-2</v>
      </c>
      <c r="OP4">
        <v>2.8570000000000002E-2</v>
      </c>
      <c r="OQ4">
        <v>3.0810000000000001E-2</v>
      </c>
      <c r="OR4">
        <v>3.3790000000000001E-2</v>
      </c>
      <c r="OS4">
        <v>4.5080000000000002E-2</v>
      </c>
      <c r="OT4">
        <v>2.0750000000000001E-2</v>
      </c>
      <c r="OU4">
        <v>2.1860000000000001E-2</v>
      </c>
      <c r="OV4">
        <v>1.206E-2</v>
      </c>
      <c r="OW4">
        <v>1.155E-2</v>
      </c>
      <c r="OX4">
        <v>1.133E-2</v>
      </c>
      <c r="OY4">
        <v>1.141E-2</v>
      </c>
      <c r="PB4">
        <v>4.0649999999999999E-2</v>
      </c>
      <c r="PC4">
        <v>2.8039999999999999E-2</v>
      </c>
      <c r="PD4">
        <v>2.6030000000000001E-2</v>
      </c>
      <c r="PE4">
        <v>2.044E-2</v>
      </c>
      <c r="PF4">
        <v>1.814E-2</v>
      </c>
      <c r="PG4">
        <v>1.636E-2</v>
      </c>
      <c r="PH4">
        <v>1.5689999999999999E-2</v>
      </c>
      <c r="PI4">
        <v>5.033E-2</v>
      </c>
      <c r="PJ4">
        <v>4.4119999999999999E-2</v>
      </c>
      <c r="PK4">
        <v>3.3149999999999999E-2</v>
      </c>
      <c r="PL4">
        <v>2.6579999999999999E-2</v>
      </c>
      <c r="PM4">
        <v>2.1270000000000001E-2</v>
      </c>
      <c r="PN4">
        <v>2.4799999999999999E-2</v>
      </c>
      <c r="PO4">
        <v>1.9689999999999999E-2</v>
      </c>
      <c r="PP4">
        <v>2.1919999999999999E-2</v>
      </c>
      <c r="PQ4">
        <v>2.81E-2</v>
      </c>
      <c r="PR4">
        <v>1.9369999999999998E-2</v>
      </c>
      <c r="PS4">
        <v>2.9010000000000001E-2</v>
      </c>
      <c r="PT4">
        <v>2.9940000000000001E-2</v>
      </c>
      <c r="PU4">
        <v>1.521E-2</v>
      </c>
      <c r="PV4">
        <v>1.6250000000000001E-2</v>
      </c>
      <c r="PW4">
        <v>1.8259999999999998E-2</v>
      </c>
      <c r="PX4">
        <v>2.0709999999999999E-2</v>
      </c>
      <c r="PY4">
        <v>2.3769999999999999E-2</v>
      </c>
      <c r="PZ4">
        <v>2.7550000000000002E-2</v>
      </c>
      <c r="QA4">
        <v>1.503E-2</v>
      </c>
      <c r="QB4">
        <v>1.7600000000000001E-2</v>
      </c>
      <c r="QC4">
        <v>2.5700000000000001E-2</v>
      </c>
      <c r="QD4">
        <v>1.7770000000000001E-2</v>
      </c>
      <c r="QE4">
        <v>1.703E-2</v>
      </c>
      <c r="QF4">
        <v>1.7989999999999999E-2</v>
      </c>
      <c r="QG4">
        <v>1.754E-2</v>
      </c>
      <c r="QH4">
        <v>1.712E-2</v>
      </c>
      <c r="QI4">
        <v>1.8499999999999999E-2</v>
      </c>
      <c r="QJ4">
        <v>1.942E-2</v>
      </c>
      <c r="QK4">
        <v>1.7309999999999999E-2</v>
      </c>
      <c r="QL4">
        <v>1.6080000000000001E-2</v>
      </c>
      <c r="QM4">
        <v>2.2550000000000001E-2</v>
      </c>
      <c r="QN4">
        <v>2.5860000000000001E-2</v>
      </c>
      <c r="QO4">
        <v>2.1690000000000001E-2</v>
      </c>
      <c r="QP4">
        <v>2.2280000000000001E-2</v>
      </c>
      <c r="QQ4">
        <v>2.3460000000000002E-2</v>
      </c>
      <c r="QR4">
        <v>2.4510000000000001E-2</v>
      </c>
      <c r="QS4">
        <v>2.5250000000000002E-2</v>
      </c>
      <c r="QT4">
        <v>2.3980000000000001E-2</v>
      </c>
      <c r="QU4">
        <v>2.5649999999999999E-2</v>
      </c>
      <c r="QV4">
        <v>2.743E-2</v>
      </c>
      <c r="QW4">
        <v>3.2930000000000001E-2</v>
      </c>
      <c r="QX4">
        <v>3.5709999999999999E-2</v>
      </c>
      <c r="QY4">
        <v>2.9929999999999998E-2</v>
      </c>
      <c r="QZ4">
        <v>3.6670000000000001E-2</v>
      </c>
      <c r="RA4">
        <v>3.9050000000000001E-2</v>
      </c>
      <c r="RB4">
        <v>4.1529999999999997E-2</v>
      </c>
      <c r="RC4">
        <v>3.8690000000000002E-2</v>
      </c>
      <c r="RD4">
        <v>3.2770000000000001E-2</v>
      </c>
      <c r="RE4">
        <v>3.4669999999999999E-2</v>
      </c>
      <c r="RF4">
        <v>2.903E-2</v>
      </c>
      <c r="RG4">
        <v>2.639E-2</v>
      </c>
      <c r="RH4">
        <v>2.6159999999999999E-2</v>
      </c>
      <c r="RJ4">
        <v>5.3019999999999998E-2</v>
      </c>
      <c r="RK4">
        <v>5.4969999999999998E-2</v>
      </c>
      <c r="RL4">
        <v>4.3979999999999998E-2</v>
      </c>
      <c r="RM4">
        <v>1.6400000000000001E-2</v>
      </c>
      <c r="RN4">
        <v>1.653E-2</v>
      </c>
      <c r="RO4">
        <v>1.653E-2</v>
      </c>
      <c r="RP4">
        <v>1.5640000000000001E-2</v>
      </c>
      <c r="RQ4">
        <v>1.805E-2</v>
      </c>
      <c r="RR4">
        <v>1.635E-2</v>
      </c>
      <c r="RS4">
        <v>1.712E-2</v>
      </c>
      <c r="RT4">
        <v>1.3559999999999999E-2</v>
      </c>
      <c r="RU4">
        <v>1.6039999999999999E-2</v>
      </c>
      <c r="RV4">
        <v>2.0660000000000001E-2</v>
      </c>
      <c r="RW4">
        <v>2.6370000000000001E-2</v>
      </c>
      <c r="RX4">
        <v>2.0160000000000001E-2</v>
      </c>
      <c r="RY4">
        <v>1.2449999999999999E-2</v>
      </c>
      <c r="RZ4">
        <v>2.5499999999999998E-2</v>
      </c>
      <c r="SA4">
        <v>4.3970000000000002E-2</v>
      </c>
      <c r="SB4">
        <v>4.6739999999999997E-2</v>
      </c>
      <c r="SC4">
        <v>4.1880000000000001E-2</v>
      </c>
      <c r="SD4">
        <v>2.8400000000000002E-2</v>
      </c>
      <c r="SE4">
        <v>2.3189999999999999E-2</v>
      </c>
      <c r="SG4">
        <v>2.7869999999999999E-2</v>
      </c>
      <c r="SI4">
        <v>2.826E-2</v>
      </c>
      <c r="SJ4">
        <v>1.7600000000000001E-2</v>
      </c>
      <c r="SK4">
        <v>1.6650000000000002E-2</v>
      </c>
      <c r="SL4">
        <v>1.508E-2</v>
      </c>
      <c r="SM4">
        <v>1.5910000000000001E-2</v>
      </c>
      <c r="SN4">
        <v>1.5259999999999999E-2</v>
      </c>
      <c r="SO4">
        <v>1.5140000000000001E-2</v>
      </c>
      <c r="SP4">
        <v>2.3599999999999999E-2</v>
      </c>
      <c r="SQ4">
        <v>2.197E-2</v>
      </c>
      <c r="SR4">
        <v>1.959E-2</v>
      </c>
      <c r="SS4">
        <v>2.0820000000000002E-2</v>
      </c>
      <c r="ST4">
        <v>1.9359999999999999E-2</v>
      </c>
      <c r="SU4">
        <v>2.0629999999999999E-2</v>
      </c>
      <c r="SV4">
        <v>2.5000000000000001E-2</v>
      </c>
      <c r="SW4">
        <v>2.2440000000000002E-2</v>
      </c>
      <c r="SX4">
        <v>2.9739999999999999E-2</v>
      </c>
      <c r="SY4">
        <v>2.1530000000000001E-2</v>
      </c>
      <c r="SZ4">
        <v>2.5159999999999998E-2</v>
      </c>
      <c r="TA4">
        <v>2.7189999999999999E-2</v>
      </c>
      <c r="TB4">
        <v>1.5900000000000001E-2</v>
      </c>
      <c r="TC4">
        <v>1.8939999999999999E-2</v>
      </c>
      <c r="TD4">
        <v>2.894E-2</v>
      </c>
      <c r="TE4">
        <v>2.0570000000000001E-2</v>
      </c>
      <c r="TG4">
        <v>2.776E-2</v>
      </c>
      <c r="TI4">
        <v>1.873E-2</v>
      </c>
      <c r="TK4">
        <v>1.7659999999999999E-2</v>
      </c>
      <c r="TL4">
        <v>1.507E-2</v>
      </c>
      <c r="TM4">
        <v>1.341E-2</v>
      </c>
      <c r="TN4">
        <v>1.6629999999999999E-2</v>
      </c>
      <c r="TO4">
        <v>2.529E-2</v>
      </c>
      <c r="TP4">
        <v>1.9529999999999999E-2</v>
      </c>
      <c r="TQ4">
        <v>1.2160000000000001E-2</v>
      </c>
      <c r="TR4">
        <v>2.5059999999999999E-2</v>
      </c>
      <c r="TS4">
        <v>3.5549999999999998E-2</v>
      </c>
      <c r="TT4">
        <v>3.4049999999999997E-2</v>
      </c>
      <c r="TU4">
        <v>2.5100000000000001E-2</v>
      </c>
      <c r="TV4">
        <v>2.5059999999999999E-2</v>
      </c>
      <c r="TW4">
        <v>1.77E-2</v>
      </c>
      <c r="TX4">
        <v>1.4420000000000001E-2</v>
      </c>
      <c r="TY4">
        <v>1.2699999999999999E-2</v>
      </c>
      <c r="TZ4">
        <v>1.3480000000000001E-2</v>
      </c>
      <c r="UA4">
        <v>1.2160000000000001E-2</v>
      </c>
      <c r="UB4">
        <v>2.1930000000000002E-2</v>
      </c>
      <c r="UC4">
        <v>1.9300000000000001E-2</v>
      </c>
      <c r="UD4">
        <v>2.0039999999999999E-2</v>
      </c>
      <c r="UE4">
        <v>2.1319999999999999E-2</v>
      </c>
      <c r="UF4">
        <v>1.779E-2</v>
      </c>
      <c r="UG4">
        <v>2.0500000000000001E-2</v>
      </c>
      <c r="UH4">
        <v>1.907E-2</v>
      </c>
      <c r="UI4">
        <v>2.1440000000000001E-2</v>
      </c>
      <c r="UJ4">
        <v>2.3570000000000001E-2</v>
      </c>
      <c r="UK4">
        <v>1.43E-2</v>
      </c>
      <c r="UL4">
        <v>2.3300000000000001E-2</v>
      </c>
      <c r="UM4">
        <v>2.4340000000000001E-2</v>
      </c>
      <c r="UN4">
        <v>2.06E-2</v>
      </c>
      <c r="UO4">
        <v>2.2040000000000001E-2</v>
      </c>
      <c r="UP4">
        <v>2.5319999999999999E-2</v>
      </c>
      <c r="UQ4">
        <v>1.8489999999999999E-2</v>
      </c>
      <c r="UR4">
        <v>1.951E-2</v>
      </c>
      <c r="US4">
        <v>1.8550000000000001E-2</v>
      </c>
      <c r="UT4">
        <v>1.5859999999999999E-2</v>
      </c>
      <c r="UU4">
        <v>1.5900000000000001E-2</v>
      </c>
      <c r="UV4">
        <v>2.0799999999999999E-2</v>
      </c>
      <c r="UW4">
        <v>3.6409999999999998E-2</v>
      </c>
      <c r="UX4">
        <v>1.9089999999999999E-2</v>
      </c>
      <c r="UY4">
        <v>2.5069999999999999E-2</v>
      </c>
      <c r="VA4">
        <v>3.4700000000000002E-2</v>
      </c>
      <c r="VB4">
        <v>2.911E-2</v>
      </c>
      <c r="VC4">
        <v>3.8510000000000003E-2</v>
      </c>
      <c r="VD4">
        <v>3.3309999999999999E-2</v>
      </c>
      <c r="VE4">
        <v>3.3439999999999998E-2</v>
      </c>
      <c r="VG4">
        <v>0.1031</v>
      </c>
      <c r="VH4">
        <v>1.8329999999999999E-2</v>
      </c>
      <c r="VI4">
        <v>2.1239999999999998E-2</v>
      </c>
    </row>
    <row r="5" spans="1:581" x14ac:dyDescent="0.25">
      <c r="A5">
        <v>80000</v>
      </c>
      <c r="B5">
        <v>1.213E-2</v>
      </c>
      <c r="C5">
        <v>1.167E-2</v>
      </c>
      <c r="D5">
        <v>1.145E-2</v>
      </c>
      <c r="E5">
        <v>1.103E-2</v>
      </c>
      <c r="F5">
        <v>1.099E-2</v>
      </c>
      <c r="G5">
        <v>1.209E-2</v>
      </c>
      <c r="H5">
        <v>1.133E-2</v>
      </c>
      <c r="I5">
        <v>1.1270000000000001E-2</v>
      </c>
      <c r="J5">
        <v>1.116E-2</v>
      </c>
      <c r="K5">
        <v>1.2109999999999999E-2</v>
      </c>
      <c r="L5">
        <v>1.183E-2</v>
      </c>
      <c r="M5">
        <v>1.1599999999999999E-2</v>
      </c>
      <c r="N5">
        <v>1.1469999999999999E-2</v>
      </c>
      <c r="O5">
        <v>1.5900000000000001E-2</v>
      </c>
      <c r="P5">
        <v>1.5180000000000001E-2</v>
      </c>
      <c r="Q5">
        <v>1.487E-2</v>
      </c>
      <c r="R5">
        <v>1.486E-2</v>
      </c>
      <c r="S5">
        <v>1.304E-2</v>
      </c>
      <c r="T5">
        <v>1.1599999999999999E-2</v>
      </c>
      <c r="U5">
        <v>1.1440000000000001E-2</v>
      </c>
      <c r="V5">
        <v>1.2330000000000001E-2</v>
      </c>
      <c r="W5">
        <v>1.086E-2</v>
      </c>
      <c r="X5">
        <v>1.1169999999999999E-2</v>
      </c>
      <c r="Y5">
        <v>1.056E-2</v>
      </c>
      <c r="Z5">
        <v>1.0670000000000001E-2</v>
      </c>
      <c r="AA5">
        <v>3.354E-2</v>
      </c>
      <c r="AC5">
        <v>3.5860000000000003E-2</v>
      </c>
      <c r="AD5">
        <v>2.265E-2</v>
      </c>
      <c r="AE5">
        <v>3.4119999999999998E-2</v>
      </c>
      <c r="AF5">
        <v>4.2759999999999999E-2</v>
      </c>
      <c r="AG5">
        <v>3.542E-2</v>
      </c>
      <c r="AH5">
        <v>3.3919999999999999E-2</v>
      </c>
      <c r="AI5">
        <v>3.8010000000000002E-2</v>
      </c>
      <c r="AK5">
        <v>3.8449999999999998E-2</v>
      </c>
      <c r="AL5">
        <v>3.4529999999999998E-2</v>
      </c>
      <c r="AM5">
        <v>3.0980000000000001E-2</v>
      </c>
      <c r="AP5">
        <v>4.0919999999999998E-2</v>
      </c>
      <c r="AQ5">
        <v>3.8339999999999999E-2</v>
      </c>
      <c r="AS5">
        <v>4.5940000000000002E-2</v>
      </c>
      <c r="AT5">
        <v>2.5940000000000001E-2</v>
      </c>
      <c r="AV5">
        <v>3.5020000000000003E-2</v>
      </c>
      <c r="AY5">
        <v>3.2649999999999998E-2</v>
      </c>
      <c r="AZ5">
        <v>3.2960000000000003E-2</v>
      </c>
      <c r="BA5">
        <v>3.2120000000000003E-2</v>
      </c>
      <c r="BB5">
        <v>2.758E-2</v>
      </c>
      <c r="BC5">
        <v>4.5240000000000002E-2</v>
      </c>
      <c r="BD5">
        <v>5.1709999999999999E-2</v>
      </c>
      <c r="BF5">
        <v>6.9550000000000001E-2</v>
      </c>
      <c r="BH5">
        <v>4.3119999999999999E-2</v>
      </c>
      <c r="BJ5">
        <v>5.5590000000000001E-2</v>
      </c>
      <c r="BN5">
        <v>2.307E-2</v>
      </c>
      <c r="BO5">
        <v>6.0130000000000003E-2</v>
      </c>
      <c r="BP5">
        <v>2.1559999999999999E-2</v>
      </c>
      <c r="BQ5">
        <v>1.5509999999999999E-2</v>
      </c>
      <c r="BR5">
        <v>1.634E-2</v>
      </c>
      <c r="BU5">
        <v>2.6540000000000001E-2</v>
      </c>
      <c r="BV5">
        <v>2.87E-2</v>
      </c>
      <c r="BW5">
        <v>2.6610000000000002E-2</v>
      </c>
      <c r="BX5">
        <v>2.4799999999999999E-2</v>
      </c>
      <c r="BY5">
        <v>2.8649999999999998E-2</v>
      </c>
      <c r="BZ5">
        <v>2.487E-2</v>
      </c>
      <c r="CA5">
        <v>2.9350000000000001E-2</v>
      </c>
      <c r="CB5">
        <v>1.6740000000000001E-2</v>
      </c>
      <c r="CC5">
        <v>1.9980000000000001E-2</v>
      </c>
      <c r="CD5">
        <v>2.1700000000000001E-2</v>
      </c>
      <c r="CE5">
        <v>1.9269999999999999E-2</v>
      </c>
      <c r="CF5">
        <v>1.8280000000000001E-2</v>
      </c>
      <c r="CG5">
        <v>1.7520000000000001E-2</v>
      </c>
      <c r="CH5">
        <v>1.661E-2</v>
      </c>
      <c r="CI5">
        <v>1.585E-2</v>
      </c>
      <c r="CJ5">
        <v>1.523E-2</v>
      </c>
      <c r="CK5">
        <v>1.7999999999999999E-2</v>
      </c>
      <c r="CM5">
        <v>2.1690000000000001E-2</v>
      </c>
      <c r="CN5">
        <v>2.4150000000000001E-2</v>
      </c>
      <c r="CO5">
        <v>2.12E-2</v>
      </c>
      <c r="CP5">
        <v>2.513E-2</v>
      </c>
      <c r="CQ5">
        <v>1.7160000000000002E-2</v>
      </c>
      <c r="CR5">
        <v>1.7749999999999998E-2</v>
      </c>
      <c r="CS5">
        <v>2.0990000000000002E-2</v>
      </c>
      <c r="CT5">
        <v>2.2519999999999998E-2</v>
      </c>
      <c r="CU5">
        <v>2.128E-2</v>
      </c>
      <c r="CV5">
        <v>2.102E-2</v>
      </c>
      <c r="CW5">
        <v>2.5430000000000001E-2</v>
      </c>
      <c r="CX5">
        <v>3.0800000000000001E-2</v>
      </c>
      <c r="CY5">
        <v>2.376E-2</v>
      </c>
      <c r="CZ5">
        <v>1.516E-2</v>
      </c>
      <c r="DA5">
        <v>1.9689999999999999E-2</v>
      </c>
      <c r="DB5">
        <v>1.7930000000000001E-2</v>
      </c>
      <c r="DC5">
        <v>1.668E-2</v>
      </c>
      <c r="DD5">
        <v>1.5789999999999998E-2</v>
      </c>
      <c r="DE5">
        <v>1.5129999999999999E-2</v>
      </c>
      <c r="DF5">
        <v>5.2449999999999997E-2</v>
      </c>
      <c r="DG5">
        <v>2.215E-2</v>
      </c>
      <c r="DH5">
        <v>2.2040000000000001E-2</v>
      </c>
      <c r="DI5">
        <v>2.1569999999999999E-2</v>
      </c>
      <c r="DJ5">
        <v>2.1309999999999999E-2</v>
      </c>
      <c r="DK5">
        <v>2.121E-2</v>
      </c>
      <c r="DL5">
        <v>2.12E-2</v>
      </c>
      <c r="DM5">
        <v>1.941E-2</v>
      </c>
      <c r="DN5">
        <v>1.925E-2</v>
      </c>
      <c r="DP5">
        <v>1.9300000000000001E-2</v>
      </c>
      <c r="DQ5">
        <v>1.949E-2</v>
      </c>
      <c r="DR5">
        <v>2.1899999999999999E-2</v>
      </c>
      <c r="DS5">
        <v>2.1530000000000001E-2</v>
      </c>
      <c r="DT5">
        <v>2.163E-2</v>
      </c>
      <c r="DU5">
        <v>2.1770000000000001E-2</v>
      </c>
      <c r="DV5">
        <v>2.2259999999999999E-2</v>
      </c>
      <c r="DW5">
        <v>2.3879999999999998E-2</v>
      </c>
      <c r="DX5">
        <v>2.392E-2</v>
      </c>
      <c r="DY5">
        <v>2.41E-2</v>
      </c>
      <c r="DZ5">
        <v>2.4750000000000001E-2</v>
      </c>
      <c r="EA5">
        <v>1.968E-2</v>
      </c>
      <c r="EB5">
        <v>1.9740000000000001E-2</v>
      </c>
      <c r="EC5">
        <v>2.051E-2</v>
      </c>
      <c r="EJ5">
        <v>1.9040000000000001E-2</v>
      </c>
      <c r="EK5">
        <v>2.077E-2</v>
      </c>
      <c r="EL5">
        <v>2.4080000000000001E-2</v>
      </c>
      <c r="EM5">
        <v>3.5650000000000001E-2</v>
      </c>
      <c r="EN5">
        <v>3.8629999999999998E-2</v>
      </c>
      <c r="EO5">
        <v>4.1090000000000002E-2</v>
      </c>
      <c r="EP5">
        <v>3.8850000000000003E-2</v>
      </c>
      <c r="EQ5">
        <v>4.0259999999999997E-2</v>
      </c>
      <c r="ER5">
        <v>3.4590000000000003E-2</v>
      </c>
      <c r="ES5">
        <v>3.3489999999999999E-2</v>
      </c>
      <c r="ET5">
        <v>3.2629999999999999E-2</v>
      </c>
      <c r="EW5">
        <v>3.4439999999999998E-2</v>
      </c>
      <c r="EY5">
        <v>1.49E-2</v>
      </c>
      <c r="EZ5">
        <v>1.4959999999999999E-2</v>
      </c>
      <c r="FA5">
        <v>4.0660000000000002E-2</v>
      </c>
      <c r="FC5">
        <v>3.7810000000000003E-2</v>
      </c>
      <c r="FD5">
        <v>3.5040000000000002E-2</v>
      </c>
      <c r="FF5">
        <v>2.085E-2</v>
      </c>
      <c r="FG5">
        <v>1.455E-2</v>
      </c>
      <c r="FH5">
        <v>2.0910000000000002E-2</v>
      </c>
      <c r="FI5">
        <v>1.536E-2</v>
      </c>
      <c r="FJ5">
        <v>1.806E-2</v>
      </c>
      <c r="FK5">
        <v>2.1770000000000001E-2</v>
      </c>
      <c r="FL5">
        <v>2.155E-2</v>
      </c>
      <c r="FN5">
        <v>3.95E-2</v>
      </c>
      <c r="FO5">
        <v>3.3579999999999999E-2</v>
      </c>
      <c r="FP5">
        <v>2.9520000000000001E-2</v>
      </c>
      <c r="FQ5">
        <v>4.5289999999999997E-2</v>
      </c>
      <c r="FR5">
        <v>4.6980000000000001E-2</v>
      </c>
      <c r="FS5">
        <v>3.4500000000000003E-2</v>
      </c>
      <c r="FT5">
        <v>3.5610000000000003E-2</v>
      </c>
      <c r="FW5">
        <v>2.6890000000000001E-2</v>
      </c>
      <c r="FX5">
        <v>3.006E-2</v>
      </c>
      <c r="FY5">
        <v>3.0290000000000001E-2</v>
      </c>
      <c r="FZ5">
        <v>4.172E-2</v>
      </c>
      <c r="GA5">
        <v>3.8420000000000003E-2</v>
      </c>
      <c r="GB5">
        <v>4.1790000000000001E-2</v>
      </c>
      <c r="GC5">
        <v>3.8800000000000001E-2</v>
      </c>
      <c r="GD5">
        <v>3.8870000000000002E-2</v>
      </c>
      <c r="GE5">
        <v>3.3590000000000002E-2</v>
      </c>
      <c r="GF5">
        <v>3.2840000000000001E-2</v>
      </c>
      <c r="GH5">
        <v>3.5040000000000002E-2</v>
      </c>
      <c r="GI5">
        <v>2.359E-2</v>
      </c>
      <c r="GJ5">
        <v>2.479E-2</v>
      </c>
      <c r="GK5">
        <v>2.639E-2</v>
      </c>
      <c r="GL5">
        <v>2.8150000000000001E-2</v>
      </c>
      <c r="GM5">
        <v>2.4760000000000001E-2</v>
      </c>
      <c r="GN5">
        <v>3.2629999999999999E-2</v>
      </c>
      <c r="GO5">
        <v>3.8890000000000001E-2</v>
      </c>
      <c r="GP5">
        <v>4.0620000000000003E-2</v>
      </c>
      <c r="GQ5">
        <v>5.0810000000000001E-2</v>
      </c>
      <c r="GR5">
        <v>5.2729999999999999E-2</v>
      </c>
      <c r="GS5">
        <v>3.9570000000000001E-2</v>
      </c>
      <c r="GT5">
        <v>4.4450000000000003E-2</v>
      </c>
      <c r="GU5">
        <v>2.4670000000000001E-2</v>
      </c>
      <c r="GV5">
        <v>2.7279999999999999E-2</v>
      </c>
      <c r="GW5">
        <v>3.082E-2</v>
      </c>
      <c r="GX5">
        <v>2.3619999999999999E-2</v>
      </c>
      <c r="GY5">
        <v>6.0819999999999999E-2</v>
      </c>
      <c r="GZ5">
        <v>5.1869999999999999E-2</v>
      </c>
      <c r="HA5">
        <v>3.7789999999999997E-2</v>
      </c>
      <c r="HB5">
        <v>2.6710000000000001E-2</v>
      </c>
      <c r="HC5">
        <v>2.061E-2</v>
      </c>
      <c r="HE5">
        <v>2.053E-2</v>
      </c>
      <c r="HF5">
        <v>2.0420000000000001E-2</v>
      </c>
      <c r="HH5">
        <v>2.1180000000000001E-2</v>
      </c>
      <c r="HI5">
        <v>2.1430000000000001E-2</v>
      </c>
      <c r="HJ5">
        <v>1.9230000000000001E-2</v>
      </c>
      <c r="HK5">
        <v>3.8609999999999998E-2</v>
      </c>
      <c r="HL5">
        <v>4.7980000000000002E-2</v>
      </c>
      <c r="HM5">
        <v>5.0090000000000003E-2</v>
      </c>
      <c r="HO5">
        <v>4.1779999999999998E-2</v>
      </c>
      <c r="HP5">
        <v>2.528E-2</v>
      </c>
      <c r="HQ5">
        <v>3.6830000000000002E-2</v>
      </c>
      <c r="HS5">
        <v>6.515E-2</v>
      </c>
      <c r="HT5">
        <v>3.1009999999999999E-2</v>
      </c>
      <c r="HU5">
        <v>2.682E-2</v>
      </c>
      <c r="HV5">
        <v>4.5289999999999997E-2</v>
      </c>
      <c r="HW5">
        <v>2.8729999999999999E-2</v>
      </c>
      <c r="HY5">
        <v>4.1480000000000003E-2</v>
      </c>
      <c r="HZ5">
        <v>1.7989999999999999E-2</v>
      </c>
      <c r="IA5">
        <v>3.347E-2</v>
      </c>
      <c r="IC5">
        <v>2.3519999999999999E-2</v>
      </c>
      <c r="ID5">
        <v>2.3640000000000001E-2</v>
      </c>
      <c r="IE5">
        <v>2.0410000000000001E-2</v>
      </c>
      <c r="IF5">
        <v>2.743E-2</v>
      </c>
      <c r="IH5">
        <v>4.8480000000000002E-2</v>
      </c>
      <c r="II5">
        <v>1.7430000000000001E-2</v>
      </c>
      <c r="IJ5">
        <v>2.631E-2</v>
      </c>
      <c r="IK5">
        <v>2.6190000000000001E-2</v>
      </c>
      <c r="IM5">
        <v>3.015E-2</v>
      </c>
      <c r="IN5">
        <v>3.4470000000000001E-2</v>
      </c>
      <c r="IO5">
        <v>3.7650000000000003E-2</v>
      </c>
      <c r="IQ5">
        <v>0.17150000000000001</v>
      </c>
      <c r="IS5">
        <v>1.269E-2</v>
      </c>
      <c r="IT5">
        <v>1.881E-2</v>
      </c>
      <c r="IU5">
        <v>1.9699999999999999E-2</v>
      </c>
      <c r="IV5">
        <v>1.4959999999999999E-2</v>
      </c>
      <c r="IW5">
        <v>2.3949999999999999E-2</v>
      </c>
      <c r="IX5">
        <v>1.196E-2</v>
      </c>
      <c r="IY5">
        <v>1.354E-2</v>
      </c>
      <c r="IZ5">
        <v>1.193E-2</v>
      </c>
      <c r="JA5">
        <v>1.4619999999999999E-2</v>
      </c>
      <c r="JB5">
        <v>1.4109999999999999E-2</v>
      </c>
      <c r="JC5">
        <v>1.585E-2</v>
      </c>
      <c r="JD5">
        <v>1.814E-2</v>
      </c>
      <c r="JE5">
        <v>1.2760000000000001E-2</v>
      </c>
      <c r="JF5">
        <v>1.6619999999999999E-2</v>
      </c>
      <c r="JG5">
        <v>1.993E-2</v>
      </c>
      <c r="JI5">
        <v>5.1999999999999998E-2</v>
      </c>
      <c r="JJ5">
        <v>5.2420000000000001E-2</v>
      </c>
      <c r="JK5">
        <v>5.7099999999999998E-2</v>
      </c>
      <c r="JM5">
        <v>3.56E-2</v>
      </c>
      <c r="JN5">
        <v>6.2309999999999997E-2</v>
      </c>
      <c r="JO5">
        <v>6.3079999999999997E-2</v>
      </c>
      <c r="JP5">
        <v>4.1880000000000001E-2</v>
      </c>
      <c r="JQ5">
        <v>2.2790000000000001E-2</v>
      </c>
      <c r="JR5">
        <v>2.3279999999999999E-2</v>
      </c>
      <c r="JS5">
        <v>2.265E-2</v>
      </c>
      <c r="JT5">
        <v>2.6239999999999999E-2</v>
      </c>
      <c r="JU5">
        <v>2.6200000000000001E-2</v>
      </c>
      <c r="JV5">
        <v>3.8289999999999998E-2</v>
      </c>
      <c r="JW5">
        <v>3.6069999999999998E-2</v>
      </c>
      <c r="JX5">
        <v>4.3479999999999998E-2</v>
      </c>
      <c r="JY5">
        <v>2.571E-2</v>
      </c>
      <c r="JZ5">
        <v>3.9280000000000002E-2</v>
      </c>
      <c r="KA5">
        <v>5.1670000000000001E-2</v>
      </c>
      <c r="KB5">
        <v>2.4029999999999999E-2</v>
      </c>
      <c r="KC5">
        <v>2.6030000000000001E-2</v>
      </c>
      <c r="KD5">
        <v>3.1739999999999997E-2</v>
      </c>
      <c r="KE5">
        <v>3.8679999999999999E-2</v>
      </c>
      <c r="KF5">
        <v>2.299E-2</v>
      </c>
      <c r="KG5">
        <v>2.2620000000000001E-2</v>
      </c>
      <c r="KI5">
        <v>5.2420000000000001E-2</v>
      </c>
      <c r="KK5">
        <v>5.1630000000000002E-2</v>
      </c>
      <c r="KN5">
        <v>1.269E-2</v>
      </c>
      <c r="KO5">
        <v>1.601E-2</v>
      </c>
      <c r="KP5">
        <v>3.6170000000000001E-2</v>
      </c>
      <c r="KQ5">
        <v>4.1200000000000001E-2</v>
      </c>
      <c r="KR5">
        <v>5.7389999999999997E-2</v>
      </c>
      <c r="KU5">
        <v>2.1860000000000001E-2</v>
      </c>
      <c r="KV5">
        <v>1.7729999999999999E-2</v>
      </c>
      <c r="KW5">
        <v>1.644E-2</v>
      </c>
      <c r="KY5">
        <v>1.3469999999999999E-2</v>
      </c>
      <c r="KZ5">
        <v>1.9060000000000001E-2</v>
      </c>
      <c r="LA5">
        <v>3.1980000000000001E-2</v>
      </c>
      <c r="LB5">
        <v>3.0630000000000001E-2</v>
      </c>
      <c r="LC5">
        <v>2.997E-2</v>
      </c>
      <c r="LD5">
        <v>2.997E-2</v>
      </c>
      <c r="LG5">
        <v>4.6379999999999998E-2</v>
      </c>
      <c r="LI5">
        <v>3.6319999999999998E-2</v>
      </c>
      <c r="LJ5">
        <v>2.743E-2</v>
      </c>
      <c r="LM5">
        <v>2.964E-2</v>
      </c>
      <c r="LN5">
        <v>3.1859999999999999E-2</v>
      </c>
      <c r="LO5">
        <v>3.4509999999999999E-2</v>
      </c>
      <c r="LP5">
        <v>3.5439999999999999E-2</v>
      </c>
      <c r="LR5">
        <v>5.3420000000000002E-2</v>
      </c>
      <c r="LT5">
        <v>3.3910000000000003E-2</v>
      </c>
      <c r="LV5">
        <v>4.6809999999999997E-2</v>
      </c>
      <c r="LW5">
        <v>1.512E-2</v>
      </c>
      <c r="LX5">
        <v>1.916E-2</v>
      </c>
      <c r="MB5">
        <v>1.282E-2</v>
      </c>
      <c r="MC5">
        <v>2.9350000000000001E-2</v>
      </c>
      <c r="MD5">
        <v>3.184E-2</v>
      </c>
      <c r="MG5">
        <v>0.15731000000000001</v>
      </c>
      <c r="MJ5">
        <v>4.3290000000000002E-2</v>
      </c>
      <c r="ML5">
        <v>5.6320000000000002E-2</v>
      </c>
      <c r="MM5">
        <v>3.5970000000000002E-2</v>
      </c>
      <c r="MN5">
        <v>1.6719999999999999E-2</v>
      </c>
      <c r="MO5">
        <v>2.01E-2</v>
      </c>
      <c r="MP5">
        <v>2.8760000000000001E-2</v>
      </c>
      <c r="MQ5">
        <v>1.7149999999999999E-2</v>
      </c>
      <c r="MR5">
        <v>2.9489999999999999E-2</v>
      </c>
      <c r="MS5">
        <v>3.7900000000000003E-2</v>
      </c>
      <c r="MT5">
        <v>5.0459999999999998E-2</v>
      </c>
      <c r="MU5">
        <v>1.983E-2</v>
      </c>
      <c r="MV5">
        <v>2.9950000000000001E-2</v>
      </c>
      <c r="MW5">
        <v>3.5490000000000001E-2</v>
      </c>
      <c r="MZ5">
        <v>5.6189999999999997E-2</v>
      </c>
      <c r="NA5">
        <v>2.3609999999999999E-2</v>
      </c>
      <c r="NB5">
        <v>2.9940000000000001E-2</v>
      </c>
      <c r="NC5">
        <v>2.017E-2</v>
      </c>
      <c r="ND5">
        <v>5.7000000000000002E-2</v>
      </c>
      <c r="NF5">
        <v>3.2030000000000003E-2</v>
      </c>
      <c r="NG5">
        <v>1.712E-2</v>
      </c>
      <c r="NH5">
        <v>1.1780000000000001E-2</v>
      </c>
      <c r="NI5">
        <v>1.315E-2</v>
      </c>
      <c r="NJ5">
        <v>1.7100000000000001E-2</v>
      </c>
      <c r="NK5">
        <v>1.359E-2</v>
      </c>
      <c r="NL5">
        <v>1.49E-2</v>
      </c>
      <c r="NM5">
        <v>1.8010000000000002E-2</v>
      </c>
      <c r="NN5">
        <v>2.061E-2</v>
      </c>
      <c r="NO5">
        <v>2.342E-2</v>
      </c>
      <c r="NP5">
        <v>1.435E-2</v>
      </c>
      <c r="NQ5">
        <v>1.507E-2</v>
      </c>
      <c r="NR5">
        <v>1.5699999999999999E-2</v>
      </c>
      <c r="NS5">
        <v>1.9199999999999998E-2</v>
      </c>
      <c r="NT5">
        <v>2.4119999999999999E-2</v>
      </c>
      <c r="NU5">
        <v>1.529E-2</v>
      </c>
      <c r="NV5">
        <v>1.6969999999999999E-2</v>
      </c>
      <c r="NW5">
        <v>1.687E-2</v>
      </c>
      <c r="NX5">
        <v>1.7469999999999999E-2</v>
      </c>
      <c r="NY5">
        <v>2.0449999999999999E-2</v>
      </c>
      <c r="NZ5">
        <v>2.248E-2</v>
      </c>
      <c r="OA5">
        <v>2.4629999999999999E-2</v>
      </c>
      <c r="OB5">
        <v>1.644E-2</v>
      </c>
      <c r="OC5">
        <v>1.8460000000000001E-2</v>
      </c>
      <c r="OD5">
        <v>1.7770000000000001E-2</v>
      </c>
      <c r="OE5">
        <v>1.7770000000000001E-2</v>
      </c>
      <c r="OF5">
        <v>4.2599999999999999E-2</v>
      </c>
      <c r="OG5">
        <v>2.198E-2</v>
      </c>
      <c r="OH5">
        <v>2.375E-2</v>
      </c>
      <c r="OI5">
        <v>2.564E-2</v>
      </c>
      <c r="OJ5">
        <v>2.8129999999999999E-2</v>
      </c>
      <c r="OK5">
        <v>3.0269999999999998E-2</v>
      </c>
      <c r="OL5">
        <v>3.2439999999999997E-2</v>
      </c>
      <c r="OM5">
        <v>1.7829999999999999E-2</v>
      </c>
      <c r="ON5">
        <v>2.0039999999999999E-2</v>
      </c>
      <c r="OO5">
        <v>2.3599999999999999E-2</v>
      </c>
      <c r="OP5">
        <v>2.7150000000000001E-2</v>
      </c>
      <c r="OQ5">
        <v>2.9260000000000001E-2</v>
      </c>
      <c r="OR5">
        <v>3.1289999999999998E-2</v>
      </c>
      <c r="OS5">
        <v>4.2759999999999999E-2</v>
      </c>
      <c r="OT5">
        <v>2.0230000000000001E-2</v>
      </c>
      <c r="OU5">
        <v>2.1760000000000002E-2</v>
      </c>
      <c r="OV5">
        <v>1.132E-2</v>
      </c>
      <c r="OW5">
        <v>1.081E-2</v>
      </c>
      <c r="OX5">
        <v>1.06E-2</v>
      </c>
      <c r="OY5">
        <v>1.0670000000000001E-2</v>
      </c>
      <c r="PA5">
        <v>4.5519999999999998E-2</v>
      </c>
      <c r="PB5">
        <v>3.6589999999999998E-2</v>
      </c>
      <c r="PC5">
        <v>2.443E-2</v>
      </c>
      <c r="PD5">
        <v>2.385E-2</v>
      </c>
      <c r="PE5">
        <v>1.9519999999999999E-2</v>
      </c>
      <c r="PF5">
        <v>1.704E-2</v>
      </c>
      <c r="PG5">
        <v>1.5429999999999999E-2</v>
      </c>
      <c r="PH5">
        <v>1.465E-2</v>
      </c>
      <c r="PI5">
        <v>4.5109999999999997E-2</v>
      </c>
      <c r="PJ5">
        <v>3.9919999999999997E-2</v>
      </c>
      <c r="PK5">
        <v>2.9929999999999998E-2</v>
      </c>
      <c r="PL5">
        <v>2.503E-2</v>
      </c>
      <c r="PM5">
        <v>1.9689999999999999E-2</v>
      </c>
      <c r="PN5">
        <v>2.2239999999999999E-2</v>
      </c>
      <c r="PO5">
        <v>1.907E-2</v>
      </c>
      <c r="PP5">
        <v>2.1319999999999999E-2</v>
      </c>
      <c r="PQ5">
        <v>2.597E-2</v>
      </c>
      <c r="PR5">
        <v>1.7430000000000001E-2</v>
      </c>
      <c r="PT5">
        <v>2.9000000000000001E-2</v>
      </c>
      <c r="PU5">
        <v>1.4109999999999999E-2</v>
      </c>
      <c r="PV5">
        <v>1.554E-2</v>
      </c>
      <c r="PW5">
        <v>1.7569999999999999E-2</v>
      </c>
      <c r="PX5">
        <v>2.0029999999999999E-2</v>
      </c>
      <c r="PY5">
        <v>2.3120000000000002E-2</v>
      </c>
      <c r="PZ5">
        <v>2.6950000000000002E-2</v>
      </c>
      <c r="QA5">
        <v>1.435E-2</v>
      </c>
      <c r="QB5">
        <v>1.7469999999999999E-2</v>
      </c>
      <c r="QD5">
        <v>1.6070000000000001E-2</v>
      </c>
      <c r="QE5">
        <v>1.5630000000000002E-2</v>
      </c>
      <c r="QF5">
        <v>1.6420000000000001E-2</v>
      </c>
      <c r="QG5">
        <v>1.6150000000000001E-2</v>
      </c>
      <c r="QH5">
        <v>1.5640000000000001E-2</v>
      </c>
      <c r="QI5">
        <v>1.694E-2</v>
      </c>
      <c r="QJ5">
        <v>1.78E-2</v>
      </c>
      <c r="QK5">
        <v>1.566E-2</v>
      </c>
      <c r="QL5">
        <v>1.491E-2</v>
      </c>
      <c r="QM5">
        <v>1.9910000000000001E-2</v>
      </c>
      <c r="QN5">
        <v>2.3470000000000001E-2</v>
      </c>
      <c r="QO5">
        <v>1.9720000000000001E-2</v>
      </c>
      <c r="QP5">
        <v>2.0060000000000001E-2</v>
      </c>
      <c r="QQ5">
        <v>2.0889999999999999E-2</v>
      </c>
      <c r="QR5">
        <v>2.1690000000000001E-2</v>
      </c>
      <c r="QS5">
        <v>2.2519999999999998E-2</v>
      </c>
      <c r="QT5">
        <v>2.3400000000000001E-2</v>
      </c>
      <c r="QU5">
        <v>2.4819999999999998E-2</v>
      </c>
      <c r="QV5">
        <v>2.6519999999999998E-2</v>
      </c>
      <c r="QW5">
        <v>3.0519999999999999E-2</v>
      </c>
      <c r="QX5">
        <v>3.3840000000000002E-2</v>
      </c>
      <c r="QY5">
        <v>2.674E-2</v>
      </c>
      <c r="QZ5">
        <v>3.4540000000000001E-2</v>
      </c>
      <c r="RA5">
        <v>3.7100000000000001E-2</v>
      </c>
      <c r="RB5">
        <v>3.8199999999999998E-2</v>
      </c>
      <c r="RC5">
        <v>4.07E-2</v>
      </c>
      <c r="RD5">
        <v>3.2210000000000003E-2</v>
      </c>
      <c r="RE5">
        <v>3.3709999999999997E-2</v>
      </c>
      <c r="RF5">
        <v>2.7470000000000001E-2</v>
      </c>
      <c r="RG5">
        <v>2.546E-2</v>
      </c>
      <c r="RH5">
        <v>2.443E-2</v>
      </c>
      <c r="RJ5">
        <v>5.4469999999999998E-2</v>
      </c>
      <c r="RL5">
        <v>3.9449999999999999E-2</v>
      </c>
      <c r="RM5">
        <v>1.5730000000000001E-2</v>
      </c>
      <c r="RN5">
        <v>1.5910000000000001E-2</v>
      </c>
      <c r="RO5">
        <v>1.5900000000000001E-2</v>
      </c>
      <c r="RP5">
        <v>1.4970000000000001E-2</v>
      </c>
      <c r="RQ5">
        <v>1.7819999999999999E-2</v>
      </c>
      <c r="RR5">
        <v>1.5689999999999999E-2</v>
      </c>
      <c r="RS5">
        <v>1.6760000000000001E-2</v>
      </c>
      <c r="RT5">
        <v>1.286E-2</v>
      </c>
      <c r="RU5">
        <v>1.538E-2</v>
      </c>
      <c r="RV5">
        <v>1.9810000000000001E-2</v>
      </c>
      <c r="RW5">
        <v>2.3959999999999999E-2</v>
      </c>
      <c r="RX5">
        <v>1.9980000000000001E-2</v>
      </c>
      <c r="RY5">
        <v>1.171E-2</v>
      </c>
      <c r="RZ5">
        <v>2.4920000000000001E-2</v>
      </c>
      <c r="SA5">
        <v>4.3529999999999999E-2</v>
      </c>
      <c r="SB5">
        <v>4.573E-2</v>
      </c>
      <c r="SC5">
        <v>3.9030000000000002E-2</v>
      </c>
      <c r="SD5">
        <v>2.504E-2</v>
      </c>
      <c r="SE5">
        <v>2.053E-2</v>
      </c>
      <c r="SG5">
        <v>2.4160000000000001E-2</v>
      </c>
      <c r="SJ5">
        <v>1.7180000000000001E-2</v>
      </c>
      <c r="SK5">
        <v>1.5990000000000001E-2</v>
      </c>
      <c r="SL5">
        <v>1.44E-2</v>
      </c>
      <c r="SM5">
        <v>1.5219999999999999E-2</v>
      </c>
      <c r="SN5">
        <v>1.4590000000000001E-2</v>
      </c>
      <c r="SO5">
        <v>1.447E-2</v>
      </c>
      <c r="SP5">
        <v>2.0820000000000002E-2</v>
      </c>
      <c r="SQ5">
        <v>2.0570000000000001E-2</v>
      </c>
      <c r="SR5">
        <v>1.7340000000000001E-2</v>
      </c>
      <c r="SS5">
        <v>1.9519999999999999E-2</v>
      </c>
      <c r="ST5">
        <v>1.83E-2</v>
      </c>
      <c r="SU5">
        <v>1.8180000000000002E-2</v>
      </c>
      <c r="SV5">
        <v>2.3709999999999998E-2</v>
      </c>
      <c r="SW5">
        <v>1.9890000000000001E-2</v>
      </c>
      <c r="SY5">
        <v>2.027E-2</v>
      </c>
      <c r="SZ5">
        <v>2.2859999999999998E-2</v>
      </c>
      <c r="TA5">
        <v>2.631E-2</v>
      </c>
      <c r="TB5">
        <v>1.414E-2</v>
      </c>
      <c r="TC5">
        <v>1.89E-2</v>
      </c>
      <c r="TD5">
        <v>2.8799999999999999E-2</v>
      </c>
      <c r="TE5">
        <v>1.8120000000000001E-2</v>
      </c>
      <c r="TF5">
        <v>2.828E-2</v>
      </c>
      <c r="TG5">
        <v>2.4649999999999998E-2</v>
      </c>
      <c r="TI5">
        <v>1.72E-2</v>
      </c>
      <c r="TJ5">
        <v>1.6389999999999998E-2</v>
      </c>
      <c r="TK5">
        <v>1.7069999999999998E-2</v>
      </c>
      <c r="TL5">
        <v>1.4420000000000001E-2</v>
      </c>
      <c r="TM5">
        <v>1.272E-2</v>
      </c>
      <c r="TN5">
        <v>1.54E-2</v>
      </c>
      <c r="TO5">
        <v>2.2749999999999999E-2</v>
      </c>
      <c r="TP5">
        <v>1.9529999999999999E-2</v>
      </c>
      <c r="TQ5">
        <v>1.14E-2</v>
      </c>
      <c r="TR5">
        <v>2.2179999999999998E-2</v>
      </c>
      <c r="TS5">
        <v>3.168E-2</v>
      </c>
      <c r="TT5">
        <v>3.031E-2</v>
      </c>
      <c r="TU5">
        <v>2.316E-2</v>
      </c>
      <c r="TV5">
        <v>2.4670000000000001E-2</v>
      </c>
      <c r="TW5">
        <v>1.7270000000000001E-2</v>
      </c>
      <c r="TX5">
        <v>1.3690000000000001E-2</v>
      </c>
      <c r="TY5">
        <v>1.1939999999999999E-2</v>
      </c>
      <c r="TZ5">
        <v>1.272E-2</v>
      </c>
      <c r="UA5">
        <v>1.14E-2</v>
      </c>
      <c r="UB5">
        <v>2.0279999999999999E-2</v>
      </c>
      <c r="UC5">
        <v>1.8319999999999999E-2</v>
      </c>
      <c r="UD5">
        <v>1.8859999999999998E-2</v>
      </c>
      <c r="UE5">
        <v>2.001E-2</v>
      </c>
      <c r="UF5">
        <v>1.712E-2</v>
      </c>
      <c r="UG5">
        <v>2.0580000000000001E-2</v>
      </c>
      <c r="UH5">
        <v>1.779E-2</v>
      </c>
      <c r="UI5">
        <v>2.0129999999999999E-2</v>
      </c>
      <c r="UJ5">
        <v>2.1329999999999998E-2</v>
      </c>
      <c r="UK5">
        <v>1.371E-2</v>
      </c>
      <c r="UM5">
        <v>2.1409999999999998E-2</v>
      </c>
      <c r="UN5">
        <v>1.9429999999999999E-2</v>
      </c>
      <c r="UO5">
        <v>2.1069999999999998E-2</v>
      </c>
      <c r="UP5">
        <v>2.1770000000000001E-2</v>
      </c>
      <c r="UQ5">
        <v>1.796E-2</v>
      </c>
      <c r="UR5">
        <v>1.8679999999999999E-2</v>
      </c>
      <c r="US5">
        <v>1.7420000000000001E-2</v>
      </c>
      <c r="UT5">
        <v>1.52E-2</v>
      </c>
      <c r="UU5">
        <v>1.5180000000000001E-2</v>
      </c>
      <c r="UV5">
        <v>1.9369999999999998E-2</v>
      </c>
      <c r="UW5">
        <v>3.3570000000000003E-2</v>
      </c>
      <c r="UX5">
        <v>1.8419999999999999E-2</v>
      </c>
      <c r="UY5">
        <v>2.477E-2</v>
      </c>
      <c r="VA5">
        <v>3.1550000000000002E-2</v>
      </c>
      <c r="VB5">
        <v>2.751E-2</v>
      </c>
      <c r="VC5">
        <v>3.7130000000000003E-2</v>
      </c>
      <c r="VD5">
        <v>3.2770000000000001E-2</v>
      </c>
      <c r="VE5">
        <v>3.4450000000000001E-2</v>
      </c>
      <c r="VF5">
        <v>3.7159999999999999E-2</v>
      </c>
      <c r="VG5">
        <v>0.10102999999999999</v>
      </c>
      <c r="VH5">
        <v>1.762E-2</v>
      </c>
      <c r="VI5">
        <v>2.0590000000000001E-2</v>
      </c>
    </row>
    <row r="6" spans="1:581" x14ac:dyDescent="0.25">
      <c r="A6">
        <v>90000</v>
      </c>
      <c r="B6">
        <v>1.153E-2</v>
      </c>
      <c r="C6">
        <v>1.107E-2</v>
      </c>
      <c r="D6">
        <v>1.0829999999999999E-2</v>
      </c>
      <c r="E6">
        <v>1.042E-2</v>
      </c>
      <c r="F6">
        <v>1.0370000000000001E-2</v>
      </c>
      <c r="G6">
        <v>1.1480000000000001E-2</v>
      </c>
      <c r="H6">
        <v>1.0710000000000001E-2</v>
      </c>
      <c r="I6">
        <v>1.065E-2</v>
      </c>
      <c r="J6">
        <v>1.0540000000000001E-2</v>
      </c>
      <c r="K6">
        <v>1.1509999999999999E-2</v>
      </c>
      <c r="L6">
        <v>1.123E-2</v>
      </c>
      <c r="M6">
        <v>1.0999999999999999E-2</v>
      </c>
      <c r="N6">
        <v>1.086E-2</v>
      </c>
      <c r="O6">
        <v>1.4420000000000001E-2</v>
      </c>
      <c r="P6">
        <v>1.3780000000000001E-2</v>
      </c>
      <c r="Q6">
        <v>1.349E-2</v>
      </c>
      <c r="R6">
        <v>1.4080000000000001E-2</v>
      </c>
      <c r="S6">
        <v>1.225E-2</v>
      </c>
      <c r="T6">
        <v>1.103E-2</v>
      </c>
      <c r="U6">
        <v>1.09E-2</v>
      </c>
      <c r="V6">
        <v>1.163E-2</v>
      </c>
      <c r="W6">
        <v>1.025E-2</v>
      </c>
      <c r="X6">
        <v>1.056E-2</v>
      </c>
      <c r="Y6">
        <v>9.9500000000000005E-3</v>
      </c>
      <c r="Z6">
        <v>1.0059999999999999E-2</v>
      </c>
      <c r="AC6">
        <v>3.3579999999999999E-2</v>
      </c>
      <c r="AD6">
        <v>2.1350000000000001E-2</v>
      </c>
      <c r="AE6">
        <v>3.083E-2</v>
      </c>
      <c r="AG6">
        <v>3.4299999999999997E-2</v>
      </c>
      <c r="AH6">
        <v>3.2770000000000001E-2</v>
      </c>
      <c r="AI6">
        <v>3.6740000000000002E-2</v>
      </c>
      <c r="AJ6">
        <v>3.6589999999999998E-2</v>
      </c>
      <c r="AK6">
        <v>3.5090000000000003E-2</v>
      </c>
      <c r="AL6">
        <v>3.0870000000000002E-2</v>
      </c>
      <c r="AM6">
        <v>3.0519999999999999E-2</v>
      </c>
      <c r="AN6">
        <v>3.9870000000000003E-2</v>
      </c>
      <c r="AP6">
        <v>3.8929999999999999E-2</v>
      </c>
      <c r="AT6">
        <v>2.5489999999999999E-2</v>
      </c>
      <c r="AV6">
        <v>3.4619999999999998E-2</v>
      </c>
      <c r="AX6">
        <v>4.1450000000000001E-2</v>
      </c>
      <c r="BB6">
        <v>2.4400000000000002E-2</v>
      </c>
      <c r="BF6">
        <v>6.5879999999999994E-2</v>
      </c>
      <c r="BG6">
        <v>5.1810000000000002E-2</v>
      </c>
      <c r="BL6">
        <v>4.7350000000000003E-2</v>
      </c>
      <c r="BN6">
        <v>2.1160000000000002E-2</v>
      </c>
      <c r="BP6">
        <v>1.9449999999999999E-2</v>
      </c>
      <c r="BQ6">
        <v>1.427E-2</v>
      </c>
      <c r="BR6">
        <v>1.5779999999999999E-2</v>
      </c>
      <c r="BT6">
        <v>5.2400000000000002E-2</v>
      </c>
      <c r="BU6">
        <v>2.445E-2</v>
      </c>
      <c r="BV6">
        <v>2.6349999999999998E-2</v>
      </c>
      <c r="BW6">
        <v>2.4400000000000002E-2</v>
      </c>
      <c r="BX6">
        <v>2.2880000000000001E-2</v>
      </c>
      <c r="BY6">
        <v>2.5919999999999999E-2</v>
      </c>
      <c r="BZ6">
        <v>2.2919999999999999E-2</v>
      </c>
      <c r="CA6">
        <v>2.7660000000000001E-2</v>
      </c>
      <c r="CB6">
        <v>1.546E-2</v>
      </c>
      <c r="CC6">
        <v>1.8489999999999999E-2</v>
      </c>
      <c r="CD6">
        <v>1.9460000000000002E-2</v>
      </c>
      <c r="CE6">
        <v>1.7170000000000001E-2</v>
      </c>
      <c r="CF6">
        <v>1.6629999999999999E-2</v>
      </c>
      <c r="CG6">
        <v>1.593E-2</v>
      </c>
      <c r="CH6">
        <v>1.5310000000000001E-2</v>
      </c>
      <c r="CI6">
        <v>1.486E-2</v>
      </c>
      <c r="CJ6">
        <v>1.447E-2</v>
      </c>
      <c r="CK6">
        <v>1.6910000000000001E-2</v>
      </c>
      <c r="CL6">
        <v>1.78E-2</v>
      </c>
      <c r="CM6">
        <v>1.9050000000000001E-2</v>
      </c>
      <c r="CN6">
        <v>2.181E-2</v>
      </c>
      <c r="CO6">
        <v>1.8550000000000001E-2</v>
      </c>
      <c r="CQ6">
        <v>1.566E-2</v>
      </c>
      <c r="CR6">
        <v>1.6230000000000001E-2</v>
      </c>
      <c r="CS6">
        <v>1.882E-2</v>
      </c>
      <c r="CU6">
        <v>1.9970000000000002E-2</v>
      </c>
      <c r="CV6">
        <v>2.0480000000000002E-2</v>
      </c>
      <c r="CW6">
        <v>2.333E-2</v>
      </c>
      <c r="CX6">
        <v>2.8830000000000001E-2</v>
      </c>
      <c r="CY6">
        <v>2.146E-2</v>
      </c>
      <c r="CZ6">
        <v>1.405E-2</v>
      </c>
      <c r="DA6">
        <v>1.8630000000000001E-2</v>
      </c>
      <c r="DB6">
        <v>1.7059999999999999E-2</v>
      </c>
      <c r="DC6">
        <v>1.5949999999999999E-2</v>
      </c>
      <c r="DD6">
        <v>1.519E-2</v>
      </c>
      <c r="DE6">
        <v>1.46E-2</v>
      </c>
      <c r="DF6">
        <v>5.2580000000000002E-2</v>
      </c>
      <c r="DG6">
        <v>2.1729999999999999E-2</v>
      </c>
      <c r="DH6">
        <v>2.103E-2</v>
      </c>
      <c r="DI6">
        <v>2.0490000000000001E-2</v>
      </c>
      <c r="DJ6">
        <v>2.0150000000000001E-2</v>
      </c>
      <c r="DK6">
        <v>1.9980000000000001E-2</v>
      </c>
      <c r="DL6">
        <v>1.992E-2</v>
      </c>
      <c r="DM6">
        <v>1.84E-2</v>
      </c>
      <c r="DN6">
        <v>1.8149999999999999E-2</v>
      </c>
      <c r="DP6">
        <v>1.806E-2</v>
      </c>
      <c r="DQ6">
        <v>1.8120000000000001E-2</v>
      </c>
      <c r="DR6">
        <v>2.069E-2</v>
      </c>
      <c r="DS6">
        <v>2.0250000000000001E-2</v>
      </c>
      <c r="DT6">
        <v>2.0310000000000002E-2</v>
      </c>
      <c r="DU6">
        <v>2.0279999999999999E-2</v>
      </c>
      <c r="DV6">
        <v>2.0729999999999998E-2</v>
      </c>
      <c r="DW6">
        <v>2.239E-2</v>
      </c>
      <c r="DX6">
        <v>2.232E-2</v>
      </c>
      <c r="DZ6">
        <v>2.2710000000000001E-2</v>
      </c>
      <c r="EA6">
        <v>1.8290000000000001E-2</v>
      </c>
      <c r="EB6">
        <v>1.8450000000000001E-2</v>
      </c>
      <c r="EC6">
        <v>1.7989999999999999E-2</v>
      </c>
      <c r="EF6">
        <v>3.6049999999999999E-2</v>
      </c>
      <c r="EG6">
        <v>3.4189999999999998E-2</v>
      </c>
      <c r="EJ6">
        <v>1.6979999999999999E-2</v>
      </c>
      <c r="EK6">
        <v>1.8280000000000001E-2</v>
      </c>
      <c r="EL6">
        <v>2.095E-2</v>
      </c>
      <c r="EM6">
        <v>3.2669999999999998E-2</v>
      </c>
      <c r="EN6">
        <v>3.569E-2</v>
      </c>
      <c r="EO6">
        <v>3.8370000000000001E-2</v>
      </c>
      <c r="EP6">
        <v>3.4959999999999998E-2</v>
      </c>
      <c r="EQ6">
        <v>3.6670000000000001E-2</v>
      </c>
      <c r="ER6">
        <v>3.4189999999999998E-2</v>
      </c>
      <c r="ES6">
        <v>3.338E-2</v>
      </c>
      <c r="ET6">
        <v>3.2079999999999997E-2</v>
      </c>
      <c r="EW6">
        <v>3.0339999999999999E-2</v>
      </c>
      <c r="EX6">
        <v>0.10057000000000001</v>
      </c>
      <c r="EY6">
        <v>1.372E-2</v>
      </c>
      <c r="EZ6">
        <v>1.379E-2</v>
      </c>
      <c r="FA6">
        <v>3.8269999999999998E-2</v>
      </c>
      <c r="FC6">
        <v>3.6929999999999998E-2</v>
      </c>
      <c r="FE6">
        <v>4.1939999999999998E-2</v>
      </c>
      <c r="FF6">
        <v>2.0379999999999999E-2</v>
      </c>
      <c r="FG6">
        <v>1.337E-2</v>
      </c>
      <c r="FH6">
        <v>1.984E-2</v>
      </c>
      <c r="FI6">
        <v>1.4460000000000001E-2</v>
      </c>
      <c r="FJ6">
        <v>1.6330000000000001E-2</v>
      </c>
      <c r="FK6">
        <v>2.0080000000000001E-2</v>
      </c>
      <c r="FL6">
        <v>1.9310000000000001E-2</v>
      </c>
      <c r="FN6">
        <v>3.5110000000000002E-2</v>
      </c>
      <c r="FO6">
        <v>3.1260000000000003E-2</v>
      </c>
      <c r="FP6">
        <v>2.8289999999999999E-2</v>
      </c>
      <c r="FQ6">
        <v>4.2500000000000003E-2</v>
      </c>
      <c r="FR6">
        <v>4.5190000000000001E-2</v>
      </c>
      <c r="FS6">
        <v>3.0020000000000002E-2</v>
      </c>
      <c r="FT6">
        <v>3.0929999999999999E-2</v>
      </c>
      <c r="FV6">
        <v>3.6639999999999999E-2</v>
      </c>
      <c r="FW6">
        <v>2.7730000000000001E-2</v>
      </c>
      <c r="FY6">
        <v>2.819E-2</v>
      </c>
      <c r="FZ6">
        <v>3.7170000000000002E-2</v>
      </c>
      <c r="GA6">
        <v>3.5189999999999999E-2</v>
      </c>
      <c r="GC6">
        <v>3.3709999999999997E-2</v>
      </c>
      <c r="GE6">
        <v>3.005E-2</v>
      </c>
      <c r="GF6">
        <v>2.8809999999999999E-2</v>
      </c>
      <c r="GG6">
        <v>2.9180000000000001E-2</v>
      </c>
      <c r="GI6">
        <v>2.1530000000000001E-2</v>
      </c>
      <c r="GJ6">
        <v>2.24E-2</v>
      </c>
      <c r="GK6">
        <v>2.3369999999999998E-2</v>
      </c>
      <c r="GL6">
        <v>2.503E-2</v>
      </c>
      <c r="GM6">
        <v>2.1520000000000001E-2</v>
      </c>
      <c r="GN6">
        <v>3.2149999999999998E-2</v>
      </c>
      <c r="GO6">
        <v>3.5400000000000001E-2</v>
      </c>
      <c r="GP6">
        <v>3.8260000000000002E-2</v>
      </c>
      <c r="GS6">
        <v>3.755E-2</v>
      </c>
      <c r="GT6">
        <v>4.2349999999999999E-2</v>
      </c>
      <c r="GU6">
        <v>2.426E-2</v>
      </c>
      <c r="GV6">
        <v>2.4E-2</v>
      </c>
      <c r="GW6">
        <v>2.7740000000000001E-2</v>
      </c>
      <c r="GX6">
        <v>2.1350000000000001E-2</v>
      </c>
      <c r="GZ6">
        <v>5.0939999999999999E-2</v>
      </c>
      <c r="HA6">
        <v>3.4979999999999997E-2</v>
      </c>
      <c r="HC6">
        <v>1.9349999999999999E-2</v>
      </c>
      <c r="HE6">
        <v>1.924E-2</v>
      </c>
      <c r="HF6">
        <v>1.9060000000000001E-2</v>
      </c>
      <c r="HH6">
        <v>1.9519999999999999E-2</v>
      </c>
      <c r="HI6">
        <v>1.9689999999999999E-2</v>
      </c>
      <c r="HJ6">
        <v>1.8960000000000001E-2</v>
      </c>
      <c r="HK6">
        <v>3.542E-2</v>
      </c>
      <c r="HL6">
        <v>4.8099999999999997E-2</v>
      </c>
      <c r="HN6">
        <v>4.555E-2</v>
      </c>
      <c r="HO6">
        <v>4.2189999999999998E-2</v>
      </c>
      <c r="HP6">
        <v>2.3990000000000001E-2</v>
      </c>
      <c r="HR6">
        <v>4.4900000000000002E-2</v>
      </c>
      <c r="HU6">
        <v>2.5329999999999998E-2</v>
      </c>
      <c r="HV6">
        <v>4.1750000000000002E-2</v>
      </c>
      <c r="HW6">
        <v>2.7009999999999999E-2</v>
      </c>
      <c r="HX6">
        <v>4.0680000000000001E-2</v>
      </c>
      <c r="HZ6">
        <v>1.746E-2</v>
      </c>
      <c r="IA6">
        <v>3.0280000000000001E-2</v>
      </c>
      <c r="IB6">
        <v>3.3980000000000003E-2</v>
      </c>
      <c r="IC6">
        <v>2.128E-2</v>
      </c>
      <c r="ID6">
        <v>2.2960000000000001E-2</v>
      </c>
      <c r="IE6">
        <v>1.9959999999999999E-2</v>
      </c>
      <c r="IF6">
        <v>2.6870000000000002E-2</v>
      </c>
      <c r="IG6">
        <v>3.1850000000000003E-2</v>
      </c>
      <c r="IH6">
        <v>4.5199999999999997E-2</v>
      </c>
      <c r="II6">
        <v>1.6899999999999998E-2</v>
      </c>
      <c r="IJ6">
        <v>2.4719999999999999E-2</v>
      </c>
      <c r="IK6">
        <v>2.3019999999999999E-2</v>
      </c>
      <c r="IM6">
        <v>2.6859999999999998E-2</v>
      </c>
      <c r="IN6">
        <v>2.938E-2</v>
      </c>
      <c r="IO6">
        <v>3.3050000000000003E-2</v>
      </c>
      <c r="IQ6">
        <v>0.16786999999999999</v>
      </c>
      <c r="IS6">
        <v>1.209E-2</v>
      </c>
      <c r="IT6">
        <v>1.8259999999999998E-2</v>
      </c>
      <c r="IU6">
        <v>1.9189999999999999E-2</v>
      </c>
      <c r="IV6">
        <v>1.4449999999999999E-2</v>
      </c>
      <c r="IW6">
        <v>2.2679999999999999E-2</v>
      </c>
      <c r="IX6">
        <v>1.1350000000000001E-2</v>
      </c>
      <c r="IY6">
        <v>1.295E-2</v>
      </c>
      <c r="IZ6">
        <v>1.1339999999999999E-2</v>
      </c>
      <c r="JA6">
        <v>1.357E-2</v>
      </c>
      <c r="JB6">
        <v>1.3220000000000001E-2</v>
      </c>
      <c r="JC6">
        <v>1.4959999999999999E-2</v>
      </c>
      <c r="JD6">
        <v>1.7090000000000001E-2</v>
      </c>
      <c r="JE6">
        <v>1.2E-2</v>
      </c>
      <c r="JF6">
        <v>1.566E-2</v>
      </c>
      <c r="JG6">
        <v>1.8610000000000002E-2</v>
      </c>
      <c r="JI6">
        <v>5.1130000000000002E-2</v>
      </c>
      <c r="JJ6">
        <v>4.981E-2</v>
      </c>
      <c r="JL6">
        <v>4.4380000000000003E-2</v>
      </c>
      <c r="JM6">
        <v>3.4479999999999997E-2</v>
      </c>
      <c r="JP6">
        <v>4.1590000000000002E-2</v>
      </c>
      <c r="JQ6">
        <v>2.145E-2</v>
      </c>
      <c r="JR6">
        <v>2.1559999999999999E-2</v>
      </c>
      <c r="JS6">
        <v>2.129E-2</v>
      </c>
      <c r="JU6">
        <v>2.3199999999999998E-2</v>
      </c>
      <c r="JV6">
        <v>3.6110000000000003E-2</v>
      </c>
      <c r="JW6">
        <v>3.4299999999999997E-2</v>
      </c>
      <c r="JX6">
        <v>4.1369999999999997E-2</v>
      </c>
      <c r="JY6">
        <v>2.3539999999999998E-2</v>
      </c>
      <c r="JZ6">
        <v>3.49E-2</v>
      </c>
      <c r="KA6">
        <v>4.7539999999999999E-2</v>
      </c>
      <c r="KB6">
        <v>2.2210000000000001E-2</v>
      </c>
      <c r="KC6">
        <v>2.3089999999999999E-2</v>
      </c>
      <c r="KE6">
        <v>3.3369999999999997E-2</v>
      </c>
      <c r="KF6">
        <v>2.1219999999999999E-2</v>
      </c>
      <c r="KG6">
        <v>2.1049999999999999E-2</v>
      </c>
      <c r="KI6">
        <v>5.1319999999999998E-2</v>
      </c>
      <c r="KK6">
        <v>5.1380000000000002E-2</v>
      </c>
      <c r="KL6">
        <v>5.7700000000000001E-2</v>
      </c>
      <c r="KM6">
        <v>3.6459999999999999E-2</v>
      </c>
      <c r="KN6">
        <v>1.217E-2</v>
      </c>
      <c r="KO6">
        <v>1.5049999999999999E-2</v>
      </c>
      <c r="KP6">
        <v>3.1019999999999999E-2</v>
      </c>
      <c r="KQ6">
        <v>3.465E-2</v>
      </c>
      <c r="KR6">
        <v>5.6309999999999999E-2</v>
      </c>
      <c r="KS6">
        <v>4.8750000000000002E-2</v>
      </c>
      <c r="KU6">
        <v>1.983E-2</v>
      </c>
      <c r="KV6">
        <v>1.6400000000000001E-2</v>
      </c>
      <c r="KW6">
        <v>1.558E-2</v>
      </c>
      <c r="KX6">
        <v>4.3810000000000002E-2</v>
      </c>
      <c r="KY6">
        <v>1.2829999999999999E-2</v>
      </c>
      <c r="KZ6">
        <v>1.847E-2</v>
      </c>
      <c r="LA6">
        <v>2.9919999999999999E-2</v>
      </c>
      <c r="LB6">
        <v>2.827E-2</v>
      </c>
      <c r="LC6">
        <v>2.7380000000000002E-2</v>
      </c>
      <c r="LD6">
        <v>2.7380000000000002E-2</v>
      </c>
      <c r="LF6">
        <v>8.2189999999999999E-2</v>
      </c>
      <c r="LG6">
        <v>4.6920000000000003E-2</v>
      </c>
      <c r="LI6">
        <v>3.1710000000000002E-2</v>
      </c>
      <c r="LJ6">
        <v>2.5559999999999999E-2</v>
      </c>
      <c r="LR6">
        <v>4.0849999999999997E-2</v>
      </c>
      <c r="LT6">
        <v>3.3009999999999998E-2</v>
      </c>
      <c r="LV6">
        <v>4.6519999999999999E-2</v>
      </c>
      <c r="LW6">
        <v>1.451E-2</v>
      </c>
      <c r="LX6">
        <v>1.866E-2</v>
      </c>
      <c r="MA6">
        <v>4.9500000000000002E-2</v>
      </c>
      <c r="MB6">
        <v>1.2189999999999999E-2</v>
      </c>
      <c r="MC6">
        <v>2.6210000000000001E-2</v>
      </c>
      <c r="MD6">
        <v>2.862E-2</v>
      </c>
      <c r="MF6">
        <v>9.1759999999999994E-2</v>
      </c>
      <c r="ML6">
        <v>5.4809999999999998E-2</v>
      </c>
      <c r="MM6">
        <v>3.4799999999999998E-2</v>
      </c>
      <c r="MN6">
        <v>1.5630000000000002E-2</v>
      </c>
      <c r="MO6">
        <v>1.8280000000000001E-2</v>
      </c>
      <c r="MQ6">
        <v>1.6629999999999999E-2</v>
      </c>
      <c r="MR6">
        <v>2.8119999999999999E-2</v>
      </c>
      <c r="MS6">
        <v>3.952E-2</v>
      </c>
      <c r="MT6">
        <v>4.6359999999999998E-2</v>
      </c>
      <c r="MU6">
        <v>1.7819999999999999E-2</v>
      </c>
      <c r="MV6">
        <v>2.6749999999999999E-2</v>
      </c>
      <c r="MW6">
        <v>3.2640000000000002E-2</v>
      </c>
      <c r="MX6">
        <v>3.4619999999999998E-2</v>
      </c>
      <c r="MY6">
        <v>4.3279999999999999E-2</v>
      </c>
      <c r="MZ6">
        <v>4.8980000000000003E-2</v>
      </c>
      <c r="NA6">
        <v>2.1579999999999998E-2</v>
      </c>
      <c r="NB6">
        <v>2.742E-2</v>
      </c>
      <c r="NC6">
        <v>1.9460000000000002E-2</v>
      </c>
      <c r="ND6">
        <v>5.6279999999999997E-2</v>
      </c>
      <c r="NE6">
        <v>4.8039999999999999E-2</v>
      </c>
      <c r="NF6">
        <v>2.894E-2</v>
      </c>
      <c r="NG6">
        <v>1.669E-2</v>
      </c>
      <c r="NH6">
        <v>1.1180000000000001E-2</v>
      </c>
      <c r="NI6">
        <v>1.26E-2</v>
      </c>
      <c r="NJ6">
        <v>1.6889999999999999E-2</v>
      </c>
      <c r="NK6">
        <v>1.304E-2</v>
      </c>
      <c r="NL6">
        <v>1.4590000000000001E-2</v>
      </c>
      <c r="NM6">
        <v>1.7430000000000001E-2</v>
      </c>
      <c r="NN6">
        <v>1.992E-2</v>
      </c>
      <c r="NO6">
        <v>2.196E-2</v>
      </c>
      <c r="NP6">
        <v>1.3820000000000001E-2</v>
      </c>
      <c r="NQ6">
        <v>1.474E-2</v>
      </c>
      <c r="NR6">
        <v>1.5650000000000001E-2</v>
      </c>
      <c r="NS6">
        <v>1.8429999999999998E-2</v>
      </c>
      <c r="NT6">
        <v>2.2630000000000001E-2</v>
      </c>
      <c r="NU6">
        <v>1.4800000000000001E-2</v>
      </c>
      <c r="NV6">
        <v>1.6750000000000001E-2</v>
      </c>
      <c r="NW6">
        <v>1.668E-2</v>
      </c>
      <c r="NX6">
        <v>1.7600000000000001E-2</v>
      </c>
      <c r="NY6">
        <v>1.9609999999999999E-2</v>
      </c>
      <c r="NZ6">
        <v>2.1340000000000001E-2</v>
      </c>
      <c r="OA6">
        <v>2.3290000000000002E-2</v>
      </c>
      <c r="OB6">
        <v>1.6240000000000001E-2</v>
      </c>
      <c r="OC6">
        <v>1.8100000000000002E-2</v>
      </c>
      <c r="OD6">
        <v>1.787E-2</v>
      </c>
      <c r="OE6">
        <v>1.787E-2</v>
      </c>
      <c r="OG6">
        <v>2.0930000000000001E-2</v>
      </c>
      <c r="OH6">
        <v>2.2409999999999999E-2</v>
      </c>
      <c r="OJ6">
        <v>2.6110000000000001E-2</v>
      </c>
      <c r="OK6">
        <v>2.8139999999999998E-2</v>
      </c>
      <c r="OL6">
        <v>3.0640000000000001E-2</v>
      </c>
      <c r="OM6">
        <v>1.7739999999999999E-2</v>
      </c>
      <c r="ON6">
        <v>1.9400000000000001E-2</v>
      </c>
      <c r="OO6">
        <v>2.2440000000000002E-2</v>
      </c>
      <c r="OP6">
        <v>2.5479999999999999E-2</v>
      </c>
      <c r="OQ6">
        <v>2.7550000000000002E-2</v>
      </c>
      <c r="OS6">
        <v>4.0230000000000002E-2</v>
      </c>
      <c r="OU6">
        <v>2.0910000000000002E-2</v>
      </c>
      <c r="OV6">
        <v>1.0710000000000001E-2</v>
      </c>
      <c r="OW6">
        <v>1.0200000000000001E-2</v>
      </c>
      <c r="OX6">
        <v>9.9900000000000006E-3</v>
      </c>
      <c r="OY6">
        <v>1.0059999999999999E-2</v>
      </c>
      <c r="OZ6">
        <v>1.035E-2</v>
      </c>
      <c r="PB6">
        <v>3.3509999999999998E-2</v>
      </c>
      <c r="PC6">
        <v>2.205E-2</v>
      </c>
      <c r="PD6">
        <v>2.1780000000000001E-2</v>
      </c>
      <c r="PE6">
        <v>1.8370000000000001E-2</v>
      </c>
      <c r="PF6">
        <v>1.618E-2</v>
      </c>
      <c r="PG6">
        <v>1.4670000000000001E-2</v>
      </c>
      <c r="PH6">
        <v>1.3820000000000001E-2</v>
      </c>
      <c r="PI6">
        <v>4.0820000000000002E-2</v>
      </c>
      <c r="PJ6">
        <v>3.5130000000000002E-2</v>
      </c>
      <c r="PK6">
        <v>2.6919999999999999E-2</v>
      </c>
      <c r="PL6">
        <v>2.3290000000000002E-2</v>
      </c>
      <c r="PO6">
        <v>1.856E-2</v>
      </c>
      <c r="PP6">
        <v>2.0830000000000001E-2</v>
      </c>
      <c r="PQ6">
        <v>2.3429999999999999E-2</v>
      </c>
      <c r="PR6">
        <v>1.601E-2</v>
      </c>
      <c r="PS6">
        <v>2.8309999999999998E-2</v>
      </c>
      <c r="PT6">
        <v>2.7560000000000001E-2</v>
      </c>
      <c r="PU6">
        <v>1.2869999999999999E-2</v>
      </c>
      <c r="PV6">
        <v>1.4959999999999999E-2</v>
      </c>
      <c r="PW6">
        <v>1.7000000000000001E-2</v>
      </c>
      <c r="PX6">
        <v>1.9480000000000001E-2</v>
      </c>
      <c r="PY6">
        <v>2.2599999999999999E-2</v>
      </c>
      <c r="PZ6">
        <v>2.648E-2</v>
      </c>
      <c r="QA6">
        <v>1.38E-2</v>
      </c>
      <c r="QB6">
        <v>1.687E-2</v>
      </c>
      <c r="QC6">
        <v>2.0709999999999999E-2</v>
      </c>
      <c r="QD6">
        <v>1.4540000000000001E-2</v>
      </c>
      <c r="QE6">
        <v>1.4200000000000001E-2</v>
      </c>
      <c r="QF6">
        <v>1.4919999999999999E-2</v>
      </c>
      <c r="QG6">
        <v>1.504E-2</v>
      </c>
      <c r="QH6">
        <v>1.421E-2</v>
      </c>
      <c r="QI6">
        <v>1.5689999999999999E-2</v>
      </c>
      <c r="QJ6">
        <v>1.6570000000000001E-2</v>
      </c>
      <c r="QK6">
        <v>1.4460000000000001E-2</v>
      </c>
      <c r="QM6">
        <v>1.7809999999999999E-2</v>
      </c>
      <c r="QN6">
        <v>2.1870000000000001E-2</v>
      </c>
      <c r="QO6">
        <v>1.8270000000000002E-2</v>
      </c>
      <c r="QP6">
        <v>1.848E-2</v>
      </c>
      <c r="QQ6">
        <v>1.8950000000000002E-2</v>
      </c>
      <c r="QR6">
        <v>1.9650000000000001E-2</v>
      </c>
      <c r="QS6">
        <v>2.0570000000000001E-2</v>
      </c>
      <c r="QT6">
        <v>2.2259999999999999E-2</v>
      </c>
      <c r="QU6">
        <v>2.3619999999999999E-2</v>
      </c>
      <c r="QV6">
        <v>2.5059999999999999E-2</v>
      </c>
      <c r="QX6">
        <v>3.1789999999999999E-2</v>
      </c>
      <c r="QZ6">
        <v>3.1669999999999997E-2</v>
      </c>
      <c r="RA6">
        <v>3.49E-2</v>
      </c>
      <c r="RB6">
        <v>3.5090000000000003E-2</v>
      </c>
      <c r="RC6">
        <v>4.1750000000000002E-2</v>
      </c>
      <c r="RD6">
        <v>3.177E-2</v>
      </c>
      <c r="RE6">
        <v>3.3160000000000002E-2</v>
      </c>
      <c r="RF6">
        <v>2.6089999999999999E-2</v>
      </c>
      <c r="RG6">
        <v>2.4160000000000001E-2</v>
      </c>
      <c r="RH6">
        <v>2.2540000000000001E-2</v>
      </c>
      <c r="RI6">
        <v>6.6479999999999997E-2</v>
      </c>
      <c r="RK6">
        <v>5.5280000000000003E-2</v>
      </c>
      <c r="RL6">
        <v>3.2160000000000001E-2</v>
      </c>
      <c r="RM6">
        <v>1.545E-2</v>
      </c>
      <c r="RN6">
        <v>1.5740000000000001E-2</v>
      </c>
      <c r="RO6">
        <v>1.5730000000000001E-2</v>
      </c>
      <c r="RP6">
        <v>1.447E-2</v>
      </c>
      <c r="RQ6">
        <v>1.712E-2</v>
      </c>
      <c r="RR6">
        <v>1.545E-2</v>
      </c>
      <c r="RS6">
        <v>1.6330000000000001E-2</v>
      </c>
      <c r="RT6">
        <v>1.227E-2</v>
      </c>
      <c r="RU6">
        <v>1.499E-2</v>
      </c>
      <c r="RV6">
        <v>1.8769999999999998E-2</v>
      </c>
      <c r="RX6">
        <v>1.9349999999999999E-2</v>
      </c>
      <c r="RY6">
        <v>1.11E-2</v>
      </c>
      <c r="RZ6">
        <v>2.445E-2</v>
      </c>
      <c r="SA6">
        <v>4.2880000000000001E-2</v>
      </c>
      <c r="SB6">
        <v>4.5030000000000001E-2</v>
      </c>
      <c r="SC6">
        <v>3.6049999999999999E-2</v>
      </c>
      <c r="SD6">
        <v>2.2460000000000001E-2</v>
      </c>
      <c r="SE6">
        <v>1.8550000000000001E-2</v>
      </c>
      <c r="SG6">
        <v>2.2079999999999999E-2</v>
      </c>
      <c r="SI6">
        <v>2.2429999999999999E-2</v>
      </c>
      <c r="SJ6">
        <v>1.6879999999999999E-2</v>
      </c>
      <c r="SK6">
        <v>1.545E-2</v>
      </c>
      <c r="SL6">
        <v>1.3860000000000001E-2</v>
      </c>
      <c r="SM6">
        <v>1.4659999999999999E-2</v>
      </c>
      <c r="SN6">
        <v>1.404E-2</v>
      </c>
      <c r="SO6">
        <v>1.392E-2</v>
      </c>
      <c r="SP6">
        <v>1.8589999999999999E-2</v>
      </c>
      <c r="SQ6">
        <v>1.8960000000000001E-2</v>
      </c>
      <c r="SR6">
        <v>1.5689999999999999E-2</v>
      </c>
      <c r="SS6">
        <v>1.7919999999999998E-2</v>
      </c>
      <c r="ST6">
        <v>1.6990000000000002E-2</v>
      </c>
      <c r="SU6">
        <v>1.6129999999999999E-2</v>
      </c>
      <c r="SV6">
        <v>2.2179999999999998E-2</v>
      </c>
      <c r="SW6">
        <v>1.7639999999999999E-2</v>
      </c>
      <c r="SX6">
        <v>2.6190000000000001E-2</v>
      </c>
      <c r="SY6">
        <v>1.8749999999999999E-2</v>
      </c>
      <c r="SZ6">
        <v>2.0639999999999999E-2</v>
      </c>
      <c r="TA6">
        <v>2.5069999999999999E-2</v>
      </c>
      <c r="TB6">
        <v>1.282E-2</v>
      </c>
      <c r="TC6">
        <v>1.8290000000000001E-2</v>
      </c>
      <c r="TD6">
        <v>2.7980000000000001E-2</v>
      </c>
      <c r="TE6">
        <v>1.6369999999999999E-2</v>
      </c>
      <c r="TF6">
        <v>2.521E-2</v>
      </c>
      <c r="TG6">
        <v>2.1610000000000001E-2</v>
      </c>
      <c r="TI6">
        <v>1.5949999999999999E-2</v>
      </c>
      <c r="TJ6">
        <v>1.5219999999999999E-2</v>
      </c>
      <c r="TK6">
        <v>1.6129999999999999E-2</v>
      </c>
      <c r="TL6">
        <v>1.413E-2</v>
      </c>
      <c r="TM6">
        <v>1.2160000000000001E-2</v>
      </c>
      <c r="TN6">
        <v>1.4109999999999999E-2</v>
      </c>
      <c r="TO6">
        <v>1.9990000000000001E-2</v>
      </c>
      <c r="TP6">
        <v>1.908E-2</v>
      </c>
      <c r="TQ6">
        <v>1.077E-2</v>
      </c>
      <c r="TR6">
        <v>1.9740000000000001E-2</v>
      </c>
      <c r="TS6">
        <v>2.8369999999999999E-2</v>
      </c>
      <c r="TT6">
        <v>2.7740000000000001E-2</v>
      </c>
      <c r="TU6">
        <v>2.1129999999999999E-2</v>
      </c>
      <c r="TW6">
        <v>1.634E-2</v>
      </c>
      <c r="TX6">
        <v>1.3100000000000001E-2</v>
      </c>
      <c r="TY6">
        <v>1.1310000000000001E-2</v>
      </c>
      <c r="TZ6">
        <v>1.21E-2</v>
      </c>
      <c r="UA6">
        <v>1.077E-2</v>
      </c>
      <c r="UB6">
        <v>1.857E-2</v>
      </c>
      <c r="UC6">
        <v>1.711E-2</v>
      </c>
      <c r="UD6">
        <v>1.7569999999999999E-2</v>
      </c>
      <c r="UE6">
        <v>1.8579999999999999E-2</v>
      </c>
      <c r="UF6">
        <v>1.6580000000000001E-2</v>
      </c>
      <c r="UG6">
        <v>1.9990000000000001E-2</v>
      </c>
      <c r="UH6">
        <v>1.6330000000000001E-2</v>
      </c>
      <c r="UI6">
        <v>1.8450000000000001E-2</v>
      </c>
      <c r="UJ6">
        <v>1.9120000000000002E-2</v>
      </c>
      <c r="UK6">
        <v>1.306E-2</v>
      </c>
      <c r="UL6">
        <v>1.9060000000000001E-2</v>
      </c>
      <c r="UM6">
        <v>1.915E-2</v>
      </c>
      <c r="UN6">
        <v>1.8110000000000001E-2</v>
      </c>
      <c r="UO6">
        <v>1.985E-2</v>
      </c>
      <c r="UP6">
        <v>1.9130000000000001E-2</v>
      </c>
      <c r="UQ6">
        <v>1.7090000000000001E-2</v>
      </c>
      <c r="UR6">
        <v>1.7600000000000001E-2</v>
      </c>
      <c r="US6">
        <v>1.6119999999999999E-2</v>
      </c>
      <c r="UT6">
        <v>1.485E-2</v>
      </c>
      <c r="UU6">
        <v>1.46E-2</v>
      </c>
      <c r="UV6">
        <v>1.7829999999999999E-2</v>
      </c>
      <c r="UW6">
        <v>3.0599999999999999E-2</v>
      </c>
      <c r="UX6">
        <v>1.864E-2</v>
      </c>
      <c r="UY6">
        <v>2.3980000000000001E-2</v>
      </c>
      <c r="VB6">
        <v>2.5770000000000001E-2</v>
      </c>
      <c r="VC6">
        <v>3.5490000000000001E-2</v>
      </c>
      <c r="VD6">
        <v>3.2340000000000001E-2</v>
      </c>
      <c r="VE6">
        <v>3.6580000000000001E-2</v>
      </c>
      <c r="VF6">
        <v>3.7530000000000001E-2</v>
      </c>
      <c r="VG6">
        <v>0.10032000000000001</v>
      </c>
      <c r="VH6">
        <v>1.704E-2</v>
      </c>
      <c r="VI6">
        <v>2.0049999999999998E-2</v>
      </c>
    </row>
    <row r="7" spans="1:581" x14ac:dyDescent="0.25">
      <c r="A7">
        <v>100000</v>
      </c>
      <c r="B7">
        <v>1.102E-2</v>
      </c>
      <c r="C7">
        <v>1.055E-2</v>
      </c>
      <c r="D7">
        <v>1.031E-2</v>
      </c>
      <c r="E7">
        <v>9.9000000000000008E-3</v>
      </c>
      <c r="F7">
        <v>9.8499999999999994E-3</v>
      </c>
      <c r="G7">
        <v>1.0970000000000001E-2</v>
      </c>
      <c r="H7">
        <v>1.0189999999999999E-2</v>
      </c>
      <c r="I7">
        <v>1.013E-2</v>
      </c>
      <c r="J7">
        <v>1.0030000000000001E-2</v>
      </c>
      <c r="K7">
        <v>1.1010000000000001E-2</v>
      </c>
      <c r="L7">
        <v>1.072E-2</v>
      </c>
      <c r="M7">
        <v>1.048E-2</v>
      </c>
      <c r="N7">
        <v>1.035E-2</v>
      </c>
      <c r="O7">
        <v>1.3299999999999999E-2</v>
      </c>
      <c r="P7">
        <v>1.273E-2</v>
      </c>
      <c r="Q7">
        <v>1.24E-2</v>
      </c>
      <c r="R7">
        <v>1.325E-2</v>
      </c>
      <c r="S7">
        <v>1.146E-2</v>
      </c>
      <c r="T7">
        <v>1.055E-2</v>
      </c>
      <c r="U7">
        <v>1.0330000000000001E-2</v>
      </c>
      <c r="V7">
        <v>1.091E-2</v>
      </c>
      <c r="W7">
        <v>9.7199999999999995E-3</v>
      </c>
      <c r="X7">
        <v>1.004E-2</v>
      </c>
      <c r="Y7">
        <v>9.4400000000000005E-3</v>
      </c>
      <c r="Z7">
        <v>9.5499999999999995E-3</v>
      </c>
      <c r="AA7">
        <v>3.1399999999999997E-2</v>
      </c>
      <c r="AC7">
        <v>3.1300000000000001E-2</v>
      </c>
      <c r="AD7">
        <v>1.9890000000000001E-2</v>
      </c>
      <c r="AG7">
        <v>3.2680000000000001E-2</v>
      </c>
      <c r="AH7">
        <v>3.1140000000000001E-2</v>
      </c>
      <c r="AI7">
        <v>3.5110000000000002E-2</v>
      </c>
      <c r="AJ7">
        <v>3.3950000000000001E-2</v>
      </c>
      <c r="AK7">
        <v>3.313E-2</v>
      </c>
      <c r="AL7">
        <v>2.852E-2</v>
      </c>
      <c r="AP7">
        <v>3.6819999999999999E-2</v>
      </c>
      <c r="AQ7">
        <v>4.1309999999999999E-2</v>
      </c>
      <c r="AS7">
        <v>4.7120000000000002E-2</v>
      </c>
      <c r="AT7">
        <v>2.5139999999999999E-2</v>
      </c>
      <c r="AW7">
        <v>4.1059999999999999E-2</v>
      </c>
      <c r="AX7">
        <v>3.882E-2</v>
      </c>
      <c r="AZ7">
        <v>3.6049999999999999E-2</v>
      </c>
      <c r="BB7">
        <v>2.2290000000000001E-2</v>
      </c>
      <c r="BC7">
        <v>3.3599999999999998E-2</v>
      </c>
      <c r="BE7">
        <v>7.0930000000000007E-2</v>
      </c>
      <c r="BG7">
        <v>5.0450000000000002E-2</v>
      </c>
      <c r="BH7">
        <v>3.9899999999999998E-2</v>
      </c>
      <c r="BJ7">
        <v>5.3319999999999999E-2</v>
      </c>
      <c r="BL7">
        <v>4.3470000000000002E-2</v>
      </c>
      <c r="BN7">
        <v>1.9220000000000001E-2</v>
      </c>
      <c r="BP7">
        <v>1.789E-2</v>
      </c>
      <c r="BQ7">
        <v>1.342E-2</v>
      </c>
      <c r="BR7">
        <v>1.5310000000000001E-2</v>
      </c>
      <c r="BT7">
        <v>5.1540000000000002E-2</v>
      </c>
      <c r="BU7">
        <v>2.266E-2</v>
      </c>
      <c r="BV7">
        <v>2.427E-2</v>
      </c>
      <c r="BW7">
        <v>2.2689999999999998E-2</v>
      </c>
      <c r="BX7">
        <v>2.1319999999999999E-2</v>
      </c>
      <c r="BY7">
        <v>2.401E-2</v>
      </c>
      <c r="BZ7">
        <v>2.1190000000000001E-2</v>
      </c>
      <c r="CA7">
        <v>2.6210000000000001E-2</v>
      </c>
      <c r="CB7">
        <v>1.451E-2</v>
      </c>
      <c r="CC7">
        <v>1.7340000000000001E-2</v>
      </c>
      <c r="CD7">
        <v>1.7809999999999999E-2</v>
      </c>
      <c r="CE7">
        <v>1.5640000000000001E-2</v>
      </c>
      <c r="CF7">
        <v>1.5259999999999999E-2</v>
      </c>
      <c r="CG7">
        <v>1.472E-2</v>
      </c>
      <c r="CH7">
        <v>1.434E-2</v>
      </c>
      <c r="CI7">
        <v>1.4019999999999999E-2</v>
      </c>
      <c r="CJ7">
        <v>1.3809999999999999E-2</v>
      </c>
      <c r="CK7">
        <v>1.5970000000000002E-2</v>
      </c>
      <c r="CL7">
        <v>1.6080000000000001E-2</v>
      </c>
      <c r="CM7">
        <v>1.7219999999999999E-2</v>
      </c>
      <c r="CO7">
        <v>1.6660000000000001E-2</v>
      </c>
      <c r="CP7">
        <v>1.9519999999999999E-2</v>
      </c>
      <c r="CQ7">
        <v>1.455E-2</v>
      </c>
      <c r="CR7">
        <v>1.5129999999999999E-2</v>
      </c>
      <c r="CS7">
        <v>1.7239999999999998E-2</v>
      </c>
      <c r="CT7">
        <v>1.806E-2</v>
      </c>
      <c r="CU7">
        <v>1.8679999999999999E-2</v>
      </c>
      <c r="CV7">
        <v>1.9550000000000001E-2</v>
      </c>
      <c r="CX7">
        <v>2.6960000000000001E-2</v>
      </c>
      <c r="CY7">
        <v>1.9800000000000002E-2</v>
      </c>
      <c r="CZ7">
        <v>1.323E-2</v>
      </c>
      <c r="DA7">
        <v>1.7500000000000002E-2</v>
      </c>
      <c r="DB7">
        <v>1.6060000000000001E-2</v>
      </c>
      <c r="DC7">
        <v>1.5100000000000001E-2</v>
      </c>
      <c r="DD7">
        <v>1.4449999999999999E-2</v>
      </c>
      <c r="DE7">
        <v>1.417E-2</v>
      </c>
      <c r="DG7">
        <v>2.1430000000000001E-2</v>
      </c>
      <c r="DH7">
        <v>2.0199999999999999E-2</v>
      </c>
      <c r="DI7">
        <v>1.9619999999999999E-2</v>
      </c>
      <c r="DJ7">
        <v>1.9230000000000001E-2</v>
      </c>
      <c r="DK7">
        <v>1.899E-2</v>
      </c>
      <c r="DL7">
        <v>1.8880000000000001E-2</v>
      </c>
      <c r="DM7">
        <v>1.7569999999999999E-2</v>
      </c>
      <c r="DN7">
        <v>1.7270000000000001E-2</v>
      </c>
      <c r="DP7">
        <v>1.7069999999999998E-2</v>
      </c>
      <c r="DQ7">
        <v>1.7059999999999999E-2</v>
      </c>
      <c r="DR7">
        <v>1.9730000000000001E-2</v>
      </c>
      <c r="DS7">
        <v>1.925E-2</v>
      </c>
      <c r="DT7">
        <v>1.9230000000000001E-2</v>
      </c>
      <c r="DU7">
        <v>1.915E-2</v>
      </c>
      <c r="DV7">
        <v>1.9390000000000001E-2</v>
      </c>
      <c r="DW7">
        <v>2.1229999999999999E-2</v>
      </c>
      <c r="DX7">
        <v>2.1080000000000002E-2</v>
      </c>
      <c r="DY7">
        <v>2.1049999999999999E-2</v>
      </c>
      <c r="DZ7">
        <v>2.129E-2</v>
      </c>
      <c r="EA7">
        <v>1.7330000000000002E-2</v>
      </c>
      <c r="EB7">
        <v>1.7520000000000001E-2</v>
      </c>
      <c r="EC7">
        <v>1.627E-2</v>
      </c>
      <c r="ED7">
        <v>3.44E-2</v>
      </c>
      <c r="EF7">
        <v>3.7400000000000003E-2</v>
      </c>
      <c r="EG7">
        <v>3.3450000000000001E-2</v>
      </c>
      <c r="EH7">
        <v>3.5279999999999999E-2</v>
      </c>
      <c r="EI7">
        <v>1.8800000000000001E-2</v>
      </c>
      <c r="EJ7">
        <v>1.55E-2</v>
      </c>
      <c r="EK7">
        <v>1.6480000000000002E-2</v>
      </c>
      <c r="EL7">
        <v>1.839E-2</v>
      </c>
      <c r="EN7">
        <v>3.2590000000000001E-2</v>
      </c>
      <c r="EO7">
        <v>3.5650000000000001E-2</v>
      </c>
      <c r="EP7">
        <v>3.0339999999999999E-2</v>
      </c>
      <c r="EQ7">
        <v>3.1440000000000003E-2</v>
      </c>
      <c r="ER7">
        <v>3.5990000000000001E-2</v>
      </c>
      <c r="ES7">
        <v>3.5369999999999999E-2</v>
      </c>
      <c r="ET7">
        <v>3.168E-2</v>
      </c>
      <c r="EW7">
        <v>2.716E-2</v>
      </c>
      <c r="EY7">
        <v>1.2800000000000001E-2</v>
      </c>
      <c r="EZ7">
        <v>1.2880000000000001E-2</v>
      </c>
      <c r="FA7">
        <v>3.5729999999999998E-2</v>
      </c>
      <c r="FB7">
        <v>2.7830000000000001E-2</v>
      </c>
      <c r="FC7">
        <v>3.5209999999999998E-2</v>
      </c>
      <c r="FE7">
        <v>4.0099999999999997E-2</v>
      </c>
      <c r="FF7">
        <v>2.018E-2</v>
      </c>
      <c r="FG7">
        <v>1.2460000000000001E-2</v>
      </c>
      <c r="FH7">
        <v>1.8960000000000001E-2</v>
      </c>
      <c r="FI7">
        <v>1.3849999999999999E-2</v>
      </c>
      <c r="FJ7">
        <v>1.4959999999999999E-2</v>
      </c>
      <c r="FK7">
        <v>1.8780000000000002E-2</v>
      </c>
      <c r="FL7">
        <v>1.8089999999999998E-2</v>
      </c>
      <c r="FP7">
        <v>2.6849999999999999E-2</v>
      </c>
      <c r="FQ7">
        <v>3.9260000000000003E-2</v>
      </c>
      <c r="FR7">
        <v>4.299E-2</v>
      </c>
      <c r="FS7">
        <v>2.7300000000000001E-2</v>
      </c>
      <c r="FT7">
        <v>2.8070000000000001E-2</v>
      </c>
      <c r="FW7">
        <v>2.7619999999999999E-2</v>
      </c>
      <c r="FY7">
        <v>3.0759999999999999E-2</v>
      </c>
      <c r="FZ7">
        <v>3.245E-2</v>
      </c>
      <c r="GA7">
        <v>3.2230000000000002E-2</v>
      </c>
      <c r="GB7">
        <v>3.0360000000000002E-2</v>
      </c>
      <c r="GC7">
        <v>3.0190000000000002E-2</v>
      </c>
      <c r="GD7">
        <v>2.8340000000000001E-2</v>
      </c>
      <c r="GE7">
        <v>2.7439999999999999E-2</v>
      </c>
      <c r="GF7">
        <v>2.5399999999999999E-2</v>
      </c>
      <c r="GG7">
        <v>2.589E-2</v>
      </c>
      <c r="GI7">
        <v>2.002E-2</v>
      </c>
      <c r="GJ7">
        <v>2.0660000000000001E-2</v>
      </c>
      <c r="GK7">
        <v>2.1389999999999999E-2</v>
      </c>
      <c r="GL7">
        <v>2.282E-2</v>
      </c>
      <c r="GN7">
        <v>3.1620000000000002E-2</v>
      </c>
      <c r="GO7">
        <v>3.09E-2</v>
      </c>
      <c r="GP7">
        <v>3.5959999999999999E-2</v>
      </c>
      <c r="GQ7">
        <v>4.054E-2</v>
      </c>
      <c r="GR7">
        <v>4.1250000000000002E-2</v>
      </c>
      <c r="GS7">
        <v>3.5380000000000002E-2</v>
      </c>
      <c r="GT7">
        <v>4.0719999999999999E-2</v>
      </c>
      <c r="GU7">
        <v>2.392E-2</v>
      </c>
      <c r="GV7">
        <v>2.1870000000000001E-2</v>
      </c>
      <c r="GW7">
        <v>2.5319999999999999E-2</v>
      </c>
      <c r="GX7">
        <v>1.9380000000000001E-2</v>
      </c>
      <c r="GZ7">
        <v>4.6969999999999998E-2</v>
      </c>
      <c r="HA7">
        <v>3.2539999999999999E-2</v>
      </c>
      <c r="HB7">
        <v>2.282E-2</v>
      </c>
      <c r="HC7">
        <v>1.8370000000000001E-2</v>
      </c>
      <c r="HD7">
        <v>2.197E-2</v>
      </c>
      <c r="HE7">
        <v>1.8200000000000001E-2</v>
      </c>
      <c r="HF7">
        <v>1.7979999999999999E-2</v>
      </c>
      <c r="HH7">
        <v>1.8239999999999999E-2</v>
      </c>
      <c r="HI7">
        <v>1.839E-2</v>
      </c>
      <c r="HJ7">
        <v>1.8350000000000002E-2</v>
      </c>
      <c r="HL7">
        <v>4.8370000000000003E-2</v>
      </c>
      <c r="HN7">
        <v>4.5010000000000001E-2</v>
      </c>
      <c r="HP7">
        <v>2.2710000000000001E-2</v>
      </c>
      <c r="HQ7">
        <v>3.8530000000000002E-2</v>
      </c>
      <c r="HR7">
        <v>4.2590000000000003E-2</v>
      </c>
      <c r="HT7">
        <v>3.3730000000000003E-2</v>
      </c>
      <c r="HU7">
        <v>2.3779999999999999E-2</v>
      </c>
      <c r="HV7">
        <v>3.9730000000000001E-2</v>
      </c>
      <c r="HW7">
        <v>2.5309999999999999E-2</v>
      </c>
      <c r="HX7">
        <v>3.9E-2</v>
      </c>
      <c r="HY7">
        <v>4.2479999999999997E-2</v>
      </c>
      <c r="HZ7">
        <v>1.702E-2</v>
      </c>
      <c r="IA7">
        <v>2.7470000000000001E-2</v>
      </c>
      <c r="IB7">
        <v>3.099E-2</v>
      </c>
      <c r="IC7">
        <v>1.9640000000000001E-2</v>
      </c>
      <c r="ID7">
        <v>2.239E-2</v>
      </c>
      <c r="IE7">
        <v>1.95E-2</v>
      </c>
      <c r="IF7">
        <v>2.579E-2</v>
      </c>
      <c r="IG7">
        <v>2.8879999999999999E-2</v>
      </c>
      <c r="IH7">
        <v>4.1180000000000001E-2</v>
      </c>
      <c r="II7">
        <v>1.6469999999999999E-2</v>
      </c>
      <c r="IJ7">
        <v>2.2859999999999998E-2</v>
      </c>
      <c r="IL7">
        <v>2.1909999999999999E-2</v>
      </c>
      <c r="IM7">
        <v>2.4510000000000001E-2</v>
      </c>
      <c r="IN7">
        <v>2.7099999999999999E-2</v>
      </c>
      <c r="IO7">
        <v>3.0020000000000002E-2</v>
      </c>
      <c r="IS7">
        <v>1.159E-2</v>
      </c>
      <c r="IT7">
        <v>1.78E-2</v>
      </c>
      <c r="IU7">
        <v>1.8769999999999998E-2</v>
      </c>
      <c r="IV7">
        <v>1.4030000000000001E-2</v>
      </c>
      <c r="IW7">
        <v>2.12E-2</v>
      </c>
      <c r="IX7">
        <v>1.0840000000000001E-2</v>
      </c>
      <c r="IY7">
        <v>1.2460000000000001E-2</v>
      </c>
      <c r="IZ7">
        <v>1.085E-2</v>
      </c>
      <c r="JA7">
        <v>1.2670000000000001E-2</v>
      </c>
      <c r="JB7">
        <v>1.2540000000000001E-2</v>
      </c>
      <c r="JC7">
        <v>1.423E-2</v>
      </c>
      <c r="JD7">
        <v>1.6250000000000001E-2</v>
      </c>
      <c r="JE7">
        <v>1.141E-2</v>
      </c>
      <c r="JF7">
        <v>1.487E-2</v>
      </c>
      <c r="JG7">
        <v>1.7569999999999999E-2</v>
      </c>
      <c r="JH7">
        <v>6.3119999999999996E-2</v>
      </c>
      <c r="JJ7">
        <v>4.6820000000000001E-2</v>
      </c>
      <c r="JL7">
        <v>4.3779999999999999E-2</v>
      </c>
      <c r="JM7">
        <v>3.3840000000000002E-2</v>
      </c>
      <c r="JN7">
        <v>5.883E-2</v>
      </c>
      <c r="JO7">
        <v>5.5800000000000002E-2</v>
      </c>
      <c r="JP7">
        <v>4.0340000000000001E-2</v>
      </c>
      <c r="JQ7">
        <v>0.02</v>
      </c>
      <c r="JR7">
        <v>1.9939999999999999E-2</v>
      </c>
      <c r="JS7">
        <v>1.9879999999999998E-2</v>
      </c>
      <c r="JT7">
        <v>2.12E-2</v>
      </c>
      <c r="JU7">
        <v>2.0889999999999999E-2</v>
      </c>
      <c r="JV7">
        <v>3.4869999999999998E-2</v>
      </c>
      <c r="JW7">
        <v>3.2289999999999999E-2</v>
      </c>
      <c r="JY7">
        <v>2.1989999999999999E-2</v>
      </c>
      <c r="JZ7">
        <v>3.0349999999999999E-2</v>
      </c>
      <c r="KA7">
        <v>4.4519999999999997E-2</v>
      </c>
      <c r="KB7">
        <v>1.9990000000000001E-2</v>
      </c>
      <c r="KD7">
        <v>2.4729999999999999E-2</v>
      </c>
      <c r="KF7">
        <v>1.984E-2</v>
      </c>
      <c r="KG7">
        <v>1.968E-2</v>
      </c>
      <c r="KH7">
        <v>2.6599999999999999E-2</v>
      </c>
      <c r="KJ7">
        <v>5.5410000000000001E-2</v>
      </c>
      <c r="KL7">
        <v>5.7480000000000003E-2</v>
      </c>
      <c r="KM7">
        <v>3.2579999999999998E-2</v>
      </c>
      <c r="KN7">
        <v>1.171E-2</v>
      </c>
      <c r="KO7">
        <v>1.426E-2</v>
      </c>
      <c r="KP7">
        <v>2.7609999999999999E-2</v>
      </c>
      <c r="KQ7">
        <v>3.0800000000000001E-2</v>
      </c>
      <c r="KT7">
        <v>4.9689999999999998E-2</v>
      </c>
      <c r="KU7">
        <v>1.8159999999999999E-2</v>
      </c>
      <c r="KV7">
        <v>1.5140000000000001E-2</v>
      </c>
      <c r="KW7">
        <v>1.468E-2</v>
      </c>
      <c r="KX7">
        <v>3.8640000000000001E-2</v>
      </c>
      <c r="KY7">
        <v>1.23E-2</v>
      </c>
      <c r="KZ7">
        <v>1.7330000000000002E-2</v>
      </c>
      <c r="LA7">
        <v>2.818E-2</v>
      </c>
      <c r="LB7">
        <v>2.639E-2</v>
      </c>
      <c r="LC7">
        <v>2.528E-2</v>
      </c>
      <c r="LD7">
        <v>2.528E-2</v>
      </c>
      <c r="LF7">
        <v>7.9839999999999994E-2</v>
      </c>
      <c r="LG7">
        <v>4.752E-2</v>
      </c>
      <c r="LH7">
        <v>5.6869999999999997E-2</v>
      </c>
      <c r="LI7">
        <v>2.9360000000000001E-2</v>
      </c>
      <c r="LJ7">
        <v>2.4160000000000001E-2</v>
      </c>
      <c r="LK7">
        <v>2.5270000000000001E-2</v>
      </c>
      <c r="LL7">
        <v>4.7980000000000002E-2</v>
      </c>
      <c r="LM7">
        <v>2.462E-2</v>
      </c>
      <c r="LN7">
        <v>3.177E-2</v>
      </c>
      <c r="LO7">
        <v>3.5040000000000002E-2</v>
      </c>
      <c r="LS7">
        <v>3.175E-2</v>
      </c>
      <c r="LU7">
        <v>5.212E-2</v>
      </c>
      <c r="LW7">
        <v>1.4E-2</v>
      </c>
      <c r="LX7">
        <v>1.7919999999999998E-2</v>
      </c>
      <c r="LZ7">
        <v>5.2080000000000001E-2</v>
      </c>
      <c r="MA7">
        <v>4.6539999999999998E-2</v>
      </c>
      <c r="MB7">
        <v>1.166E-2</v>
      </c>
      <c r="MC7">
        <v>2.4080000000000001E-2</v>
      </c>
      <c r="MD7">
        <v>2.6169999999999999E-2</v>
      </c>
      <c r="ME7">
        <v>8.6529999999999996E-2</v>
      </c>
      <c r="MK7">
        <v>4.7840000000000001E-2</v>
      </c>
      <c r="ML7">
        <v>5.2940000000000001E-2</v>
      </c>
      <c r="MM7">
        <v>3.3270000000000001E-2</v>
      </c>
      <c r="MN7">
        <v>1.443E-2</v>
      </c>
      <c r="MO7">
        <v>1.694E-2</v>
      </c>
      <c r="MQ7">
        <v>1.636E-2</v>
      </c>
      <c r="MR7">
        <v>2.665E-2</v>
      </c>
      <c r="MS7">
        <v>3.8429999999999999E-2</v>
      </c>
      <c r="MT7">
        <v>4.1680000000000002E-2</v>
      </c>
      <c r="MU7">
        <v>1.6279999999999999E-2</v>
      </c>
      <c r="MV7">
        <v>2.358E-2</v>
      </c>
      <c r="MX7">
        <v>3.023E-2</v>
      </c>
      <c r="MY7">
        <v>3.9949999999999999E-2</v>
      </c>
      <c r="MZ7">
        <v>4.5519999999999998E-2</v>
      </c>
      <c r="NA7">
        <v>1.9879999999999998E-2</v>
      </c>
      <c r="NB7">
        <v>2.5329999999999998E-2</v>
      </c>
      <c r="NC7">
        <v>1.9029999999999998E-2</v>
      </c>
      <c r="ND7">
        <v>5.5259999999999997E-2</v>
      </c>
      <c r="NE7">
        <v>4.7289999999999999E-2</v>
      </c>
      <c r="NF7">
        <v>2.674E-2</v>
      </c>
      <c r="NG7">
        <v>1.634E-2</v>
      </c>
      <c r="NH7">
        <v>1.068E-2</v>
      </c>
      <c r="NI7">
        <v>1.2149999999999999E-2</v>
      </c>
      <c r="NJ7">
        <v>1.6400000000000001E-2</v>
      </c>
      <c r="NK7">
        <v>1.2579999999999999E-2</v>
      </c>
      <c r="NL7">
        <v>1.4290000000000001E-2</v>
      </c>
      <c r="NM7">
        <v>1.6799999999999999E-2</v>
      </c>
      <c r="NN7">
        <v>1.8870000000000001E-2</v>
      </c>
      <c r="NO7">
        <v>2.0320000000000001E-2</v>
      </c>
      <c r="NP7">
        <v>1.355E-2</v>
      </c>
      <c r="NQ7">
        <v>1.451E-2</v>
      </c>
      <c r="NR7">
        <v>1.519E-2</v>
      </c>
      <c r="NS7">
        <v>1.7510000000000001E-2</v>
      </c>
      <c r="NT7">
        <v>2.104E-2</v>
      </c>
      <c r="NU7">
        <v>1.4659999999999999E-2</v>
      </c>
      <c r="NV7">
        <v>1.6119999999999999E-2</v>
      </c>
      <c r="NW7">
        <v>1.6129999999999999E-2</v>
      </c>
      <c r="NX7">
        <v>1.7170000000000001E-2</v>
      </c>
      <c r="NY7">
        <v>1.8499999999999999E-2</v>
      </c>
      <c r="NZ7">
        <v>2.019E-2</v>
      </c>
      <c r="OA7">
        <v>2.172E-2</v>
      </c>
      <c r="OB7">
        <v>1.592E-2</v>
      </c>
      <c r="OC7">
        <v>1.7270000000000001E-2</v>
      </c>
      <c r="OD7">
        <v>1.7500000000000002E-2</v>
      </c>
      <c r="OE7">
        <v>1.7510000000000001E-2</v>
      </c>
      <c r="OF7">
        <v>3.304E-2</v>
      </c>
      <c r="OG7">
        <v>1.975E-2</v>
      </c>
      <c r="OH7">
        <v>2.103E-2</v>
      </c>
      <c r="OI7">
        <v>2.2679999999999999E-2</v>
      </c>
      <c r="OJ7">
        <v>2.4379999999999999E-2</v>
      </c>
      <c r="OK7">
        <v>2.6450000000000001E-2</v>
      </c>
      <c r="OL7">
        <v>2.8809999999999999E-2</v>
      </c>
      <c r="OM7">
        <v>1.7270000000000001E-2</v>
      </c>
      <c r="ON7">
        <v>1.8489999999999999E-2</v>
      </c>
      <c r="OO7">
        <v>2.1149999999999999E-2</v>
      </c>
      <c r="OP7">
        <v>2.3810000000000001E-2</v>
      </c>
      <c r="OQ7">
        <v>2.562E-2</v>
      </c>
      <c r="OU7">
        <v>1.9890000000000001E-2</v>
      </c>
      <c r="OV7">
        <v>1.0189999999999999E-2</v>
      </c>
      <c r="OW7">
        <v>9.6799999999999994E-3</v>
      </c>
      <c r="OX7">
        <v>9.4800000000000006E-3</v>
      </c>
      <c r="OY7">
        <v>9.5399999999999999E-3</v>
      </c>
      <c r="OZ7">
        <v>9.8200000000000006E-3</v>
      </c>
      <c r="PA7">
        <v>3.1890000000000002E-2</v>
      </c>
      <c r="PB7">
        <v>3.1460000000000002E-2</v>
      </c>
      <c r="PC7">
        <v>2.0299999999999999E-2</v>
      </c>
      <c r="PD7">
        <v>1.9990000000000001E-2</v>
      </c>
      <c r="PE7">
        <v>1.7250000000000001E-2</v>
      </c>
      <c r="PF7">
        <v>1.549E-2</v>
      </c>
      <c r="PG7">
        <v>1.405E-2</v>
      </c>
      <c r="PH7">
        <v>1.312E-2</v>
      </c>
      <c r="PI7">
        <v>3.6060000000000002E-2</v>
      </c>
      <c r="PK7">
        <v>2.342E-2</v>
      </c>
      <c r="PL7">
        <v>2.1489999999999999E-2</v>
      </c>
      <c r="PM7">
        <v>1.6080000000000001E-2</v>
      </c>
      <c r="PO7">
        <v>1.8149999999999999E-2</v>
      </c>
      <c r="PP7">
        <v>2.043E-2</v>
      </c>
      <c r="PQ7">
        <v>2.138E-2</v>
      </c>
      <c r="PR7">
        <v>1.498E-2</v>
      </c>
      <c r="PS7">
        <v>2.7089999999999999E-2</v>
      </c>
      <c r="PT7">
        <v>2.5860000000000001E-2</v>
      </c>
      <c r="PU7">
        <v>1.1849999999999999E-2</v>
      </c>
      <c r="PV7">
        <v>1.447E-2</v>
      </c>
      <c r="PW7">
        <v>1.653E-2</v>
      </c>
      <c r="PX7">
        <v>1.9019999999999999E-2</v>
      </c>
      <c r="PY7">
        <v>2.2179999999999998E-2</v>
      </c>
      <c r="PZ7">
        <v>2.6100000000000002E-2</v>
      </c>
      <c r="QA7">
        <v>1.3350000000000001E-2</v>
      </c>
      <c r="QB7">
        <v>1.601E-2</v>
      </c>
      <c r="QC7">
        <v>1.8700000000000001E-2</v>
      </c>
      <c r="QD7">
        <v>1.336E-2</v>
      </c>
      <c r="QE7">
        <v>1.3089999999999999E-2</v>
      </c>
      <c r="QF7">
        <v>1.375E-2</v>
      </c>
      <c r="QG7">
        <v>1.413E-2</v>
      </c>
      <c r="QH7">
        <v>1.3100000000000001E-2</v>
      </c>
      <c r="QI7">
        <v>1.4659999999999999E-2</v>
      </c>
      <c r="QJ7">
        <v>1.5570000000000001E-2</v>
      </c>
      <c r="QK7">
        <v>1.358E-2</v>
      </c>
      <c r="QL7">
        <v>1.272E-2</v>
      </c>
      <c r="QM7">
        <v>1.6209999999999999E-2</v>
      </c>
      <c r="QN7">
        <v>2.0629999999999999E-2</v>
      </c>
      <c r="QO7">
        <v>1.712E-2</v>
      </c>
      <c r="QP7">
        <v>1.7260000000000001E-2</v>
      </c>
      <c r="QQ7">
        <v>1.7639999999999999E-2</v>
      </c>
      <c r="QR7">
        <v>1.806E-2</v>
      </c>
      <c r="QS7">
        <v>1.9230000000000001E-2</v>
      </c>
      <c r="QT7">
        <v>2.1080000000000002E-2</v>
      </c>
      <c r="QU7">
        <v>2.2349999999999998E-2</v>
      </c>
      <c r="QV7">
        <v>2.3720000000000001E-2</v>
      </c>
      <c r="QW7">
        <v>2.5850000000000001E-2</v>
      </c>
      <c r="QY7">
        <v>2.094E-2</v>
      </c>
      <c r="QZ7">
        <v>2.904E-2</v>
      </c>
      <c r="RA7">
        <v>3.2579999999999998E-2</v>
      </c>
      <c r="RB7">
        <v>3.2469999999999999E-2</v>
      </c>
      <c r="RC7">
        <v>4.258E-2</v>
      </c>
      <c r="RD7">
        <v>3.141E-2</v>
      </c>
      <c r="RE7">
        <v>3.2689999999999997E-2</v>
      </c>
      <c r="RF7">
        <v>2.4889999999999999E-2</v>
      </c>
      <c r="RH7">
        <v>2.0629999999999999E-2</v>
      </c>
      <c r="RI7">
        <v>6.5229999999999996E-2</v>
      </c>
      <c r="RL7">
        <v>2.852E-2</v>
      </c>
      <c r="RM7">
        <v>1.515E-2</v>
      </c>
      <c r="RN7">
        <v>1.519E-2</v>
      </c>
      <c r="RO7">
        <v>1.519E-2</v>
      </c>
      <c r="RP7">
        <v>1.4200000000000001E-2</v>
      </c>
      <c r="RQ7">
        <v>1.6250000000000001E-2</v>
      </c>
      <c r="RR7">
        <v>1.495E-2</v>
      </c>
      <c r="RS7">
        <v>1.5610000000000001E-2</v>
      </c>
      <c r="RT7">
        <v>1.179E-2</v>
      </c>
      <c r="RU7">
        <v>1.455E-2</v>
      </c>
      <c r="RV7">
        <v>1.7649999999999999E-2</v>
      </c>
      <c r="RX7">
        <v>1.8489999999999999E-2</v>
      </c>
      <c r="RY7">
        <v>1.059E-2</v>
      </c>
      <c r="RZ7">
        <v>2.4070000000000001E-2</v>
      </c>
      <c r="SA7">
        <v>4.2160000000000003E-2</v>
      </c>
      <c r="SB7">
        <v>4.3819999999999998E-2</v>
      </c>
      <c r="SC7">
        <v>3.2730000000000002E-2</v>
      </c>
      <c r="SD7">
        <v>2.0590000000000001E-2</v>
      </c>
      <c r="SE7">
        <v>1.7090000000000001E-2</v>
      </c>
      <c r="SG7">
        <v>2.0670000000000001E-2</v>
      </c>
      <c r="SI7">
        <v>2.034E-2</v>
      </c>
      <c r="SJ7">
        <v>1.6150000000000001E-2</v>
      </c>
      <c r="SK7">
        <v>1.5010000000000001E-2</v>
      </c>
      <c r="SL7">
        <v>1.357E-2</v>
      </c>
      <c r="SM7">
        <v>1.4200000000000001E-2</v>
      </c>
      <c r="SN7">
        <v>1.359E-2</v>
      </c>
      <c r="SO7">
        <v>1.346E-2</v>
      </c>
      <c r="SP7">
        <v>1.6629999999999999E-2</v>
      </c>
      <c r="SQ7">
        <v>1.746E-2</v>
      </c>
      <c r="SR7">
        <v>1.444E-2</v>
      </c>
      <c r="SS7">
        <v>1.6420000000000001E-2</v>
      </c>
      <c r="ST7">
        <v>1.558E-2</v>
      </c>
      <c r="SU7">
        <v>1.4579999999999999E-2</v>
      </c>
      <c r="SV7">
        <v>2.0449999999999999E-2</v>
      </c>
      <c r="SW7">
        <v>1.5810000000000001E-2</v>
      </c>
      <c r="SX7">
        <v>2.486E-2</v>
      </c>
      <c r="SY7">
        <v>1.7160000000000002E-2</v>
      </c>
      <c r="TA7">
        <v>2.3609999999999999E-2</v>
      </c>
      <c r="TB7">
        <v>1.1820000000000001E-2</v>
      </c>
      <c r="TC7">
        <v>1.7319999999999999E-2</v>
      </c>
      <c r="TD7">
        <v>2.6919999999999999E-2</v>
      </c>
      <c r="TE7">
        <v>1.5049999999999999E-2</v>
      </c>
      <c r="TG7">
        <v>1.9429999999999999E-2</v>
      </c>
      <c r="TI7">
        <v>1.4880000000000001E-2</v>
      </c>
      <c r="TJ7">
        <v>1.423E-2</v>
      </c>
      <c r="TK7">
        <v>1.504E-2</v>
      </c>
      <c r="TL7">
        <v>1.3650000000000001E-2</v>
      </c>
      <c r="TM7">
        <v>1.17E-2</v>
      </c>
      <c r="TN7">
        <v>1.299E-2</v>
      </c>
      <c r="TO7">
        <v>1.8069999999999999E-2</v>
      </c>
      <c r="TP7">
        <v>1.8419999999999999E-2</v>
      </c>
      <c r="TQ7">
        <v>1.0240000000000001E-2</v>
      </c>
      <c r="TR7">
        <v>1.7739999999999999E-2</v>
      </c>
      <c r="TS7">
        <v>2.513E-2</v>
      </c>
      <c r="TT7">
        <v>2.5010000000000001E-2</v>
      </c>
      <c r="TU7">
        <v>1.917E-2</v>
      </c>
      <c r="TV7">
        <v>2.2499999999999999E-2</v>
      </c>
      <c r="TW7">
        <v>1.5350000000000001E-2</v>
      </c>
      <c r="TX7">
        <v>1.26E-2</v>
      </c>
      <c r="TY7">
        <v>1.078E-2</v>
      </c>
      <c r="TZ7">
        <v>1.158E-2</v>
      </c>
      <c r="UA7">
        <v>1.025E-2</v>
      </c>
      <c r="UD7">
        <v>1.6289999999999999E-2</v>
      </c>
      <c r="UE7">
        <v>1.7090000000000001E-2</v>
      </c>
      <c r="UF7">
        <v>1.6400000000000001E-2</v>
      </c>
      <c r="UG7">
        <v>1.9109999999999999E-2</v>
      </c>
      <c r="UH7">
        <v>1.494E-2</v>
      </c>
      <c r="UI7">
        <v>1.6660000000000001E-2</v>
      </c>
      <c r="UJ7">
        <v>1.7160000000000002E-2</v>
      </c>
      <c r="UK7">
        <v>1.231E-2</v>
      </c>
      <c r="UL7">
        <v>1.7350000000000001E-2</v>
      </c>
      <c r="UM7">
        <v>1.737E-2</v>
      </c>
      <c r="UN7">
        <v>1.6820000000000002E-2</v>
      </c>
      <c r="UO7">
        <v>1.856E-2</v>
      </c>
      <c r="UP7">
        <v>1.7780000000000001E-2</v>
      </c>
      <c r="UQ7">
        <v>1.6080000000000001E-2</v>
      </c>
      <c r="UR7">
        <v>1.6469999999999999E-2</v>
      </c>
      <c r="US7">
        <v>1.49E-2</v>
      </c>
      <c r="UU7">
        <v>1.4120000000000001E-2</v>
      </c>
      <c r="UV7">
        <v>1.636E-2</v>
      </c>
      <c r="UW7">
        <v>2.819E-2</v>
      </c>
      <c r="UX7">
        <v>1.8329999999999999E-2</v>
      </c>
      <c r="UY7">
        <v>2.282E-2</v>
      </c>
      <c r="VB7">
        <v>2.383E-2</v>
      </c>
      <c r="VC7">
        <v>3.3570000000000003E-2</v>
      </c>
      <c r="VD7">
        <v>3.2000000000000001E-2</v>
      </c>
      <c r="VE7">
        <v>3.6089999999999997E-2</v>
      </c>
      <c r="VF7">
        <v>3.8510000000000003E-2</v>
      </c>
      <c r="VG7">
        <v>9.6210000000000004E-2</v>
      </c>
      <c r="VH7">
        <v>1.6559999999999998E-2</v>
      </c>
      <c r="VI7">
        <v>1.9609999999999999E-2</v>
      </c>
    </row>
    <row r="8" spans="1:581" x14ac:dyDescent="0.25">
      <c r="A8">
        <v>125000</v>
      </c>
      <c r="B8">
        <v>1.005E-2</v>
      </c>
      <c r="C8">
        <v>9.5600000000000008E-3</v>
      </c>
      <c r="D8">
        <v>9.2999999999999992E-3</v>
      </c>
      <c r="E8">
        <v>8.8800000000000007E-3</v>
      </c>
      <c r="F8">
        <v>8.8400000000000006E-3</v>
      </c>
      <c r="G8">
        <v>9.9900000000000006E-3</v>
      </c>
      <c r="H8">
        <v>9.1900000000000003E-3</v>
      </c>
      <c r="I8">
        <v>9.1199999999999996E-3</v>
      </c>
      <c r="J8">
        <v>9.0100000000000006E-3</v>
      </c>
      <c r="K8">
        <v>1.004E-2</v>
      </c>
      <c r="L8">
        <v>9.7300000000000008E-3</v>
      </c>
      <c r="M8">
        <v>9.4900000000000002E-3</v>
      </c>
      <c r="N8">
        <v>9.3500000000000007E-3</v>
      </c>
      <c r="O8">
        <v>1.146E-2</v>
      </c>
      <c r="P8">
        <v>1.1010000000000001E-2</v>
      </c>
      <c r="Q8">
        <v>1.056E-2</v>
      </c>
      <c r="R8">
        <v>1.14E-2</v>
      </c>
      <c r="S8">
        <v>9.8499999999999994E-3</v>
      </c>
      <c r="T8">
        <v>9.3100000000000006E-3</v>
      </c>
      <c r="U8">
        <v>9.1299999999999992E-3</v>
      </c>
      <c r="V8">
        <v>9.4900000000000002E-3</v>
      </c>
      <c r="W8">
        <v>8.6999999999999994E-3</v>
      </c>
      <c r="X8">
        <v>9.0399999999999994E-3</v>
      </c>
      <c r="Y8">
        <v>8.4399999999999996E-3</v>
      </c>
      <c r="Z8">
        <v>8.5400000000000007E-3</v>
      </c>
      <c r="AC8">
        <v>2.6890000000000001E-2</v>
      </c>
      <c r="AD8">
        <v>1.6639999999999999E-2</v>
      </c>
      <c r="AE8">
        <v>2.0240000000000001E-2</v>
      </c>
      <c r="AG8">
        <v>2.775E-2</v>
      </c>
      <c r="AH8">
        <v>2.5610000000000001E-2</v>
      </c>
      <c r="AK8">
        <v>2.7830000000000001E-2</v>
      </c>
      <c r="AL8">
        <v>2.3259999999999999E-2</v>
      </c>
      <c r="AM8">
        <v>3.2079999999999997E-2</v>
      </c>
      <c r="AP8">
        <v>3.2140000000000002E-2</v>
      </c>
      <c r="AS8">
        <v>3.771E-2</v>
      </c>
      <c r="AT8">
        <v>2.3890000000000002E-2</v>
      </c>
      <c r="AU8">
        <v>3.116E-2</v>
      </c>
      <c r="AW8">
        <v>3.569E-2</v>
      </c>
      <c r="AX8">
        <v>3.092E-2</v>
      </c>
      <c r="AZ8">
        <v>3.2219999999999999E-2</v>
      </c>
      <c r="BA8">
        <v>3.3279999999999997E-2</v>
      </c>
      <c r="BB8">
        <v>1.8689999999999998E-2</v>
      </c>
      <c r="BC8">
        <v>2.563E-2</v>
      </c>
      <c r="BD8">
        <v>3.1829999999999997E-2</v>
      </c>
      <c r="BF8">
        <v>3.696E-2</v>
      </c>
      <c r="BH8">
        <v>3.4439999999999998E-2</v>
      </c>
      <c r="BI8">
        <v>5.6520000000000001E-2</v>
      </c>
      <c r="BL8">
        <v>3.4750000000000003E-2</v>
      </c>
      <c r="BM8">
        <v>3.3480000000000003E-2</v>
      </c>
      <c r="BN8">
        <v>1.567E-2</v>
      </c>
      <c r="BP8">
        <v>1.542E-2</v>
      </c>
      <c r="BQ8">
        <v>1.2120000000000001E-2</v>
      </c>
      <c r="BR8">
        <v>1.485E-2</v>
      </c>
      <c r="BU8">
        <v>1.985E-2</v>
      </c>
      <c r="BV8">
        <v>2.121E-2</v>
      </c>
      <c r="BW8">
        <v>1.9890000000000001E-2</v>
      </c>
      <c r="BX8">
        <v>1.882E-2</v>
      </c>
      <c r="BY8">
        <v>2.0789999999999999E-2</v>
      </c>
      <c r="BZ8">
        <v>1.8030000000000001E-2</v>
      </c>
      <c r="CA8">
        <v>2.2880000000000001E-2</v>
      </c>
      <c r="CB8">
        <v>1.286E-2</v>
      </c>
      <c r="CC8">
        <v>1.5299999999999999E-2</v>
      </c>
      <c r="CD8">
        <v>1.491E-2</v>
      </c>
      <c r="CE8">
        <v>1.315E-2</v>
      </c>
      <c r="CF8">
        <v>1.294E-2</v>
      </c>
      <c r="CG8">
        <v>1.2670000000000001E-2</v>
      </c>
      <c r="CH8">
        <v>1.244E-2</v>
      </c>
      <c r="CI8">
        <v>1.2359999999999999E-2</v>
      </c>
      <c r="CJ8">
        <v>1.234E-2</v>
      </c>
      <c r="CK8">
        <v>1.421E-2</v>
      </c>
      <c r="CL8">
        <v>1.34E-2</v>
      </c>
      <c r="CM8">
        <v>1.435E-2</v>
      </c>
      <c r="CN8">
        <v>1.643E-2</v>
      </c>
      <c r="CO8">
        <v>1.383E-2</v>
      </c>
      <c r="CP8">
        <v>1.6129999999999999E-2</v>
      </c>
      <c r="CQ8">
        <v>1.2699999999999999E-2</v>
      </c>
      <c r="CR8">
        <v>1.333E-2</v>
      </c>
      <c r="CS8">
        <v>1.4760000000000001E-2</v>
      </c>
      <c r="CT8">
        <v>1.537E-2</v>
      </c>
      <c r="CU8">
        <v>1.5910000000000001E-2</v>
      </c>
      <c r="CV8">
        <v>1.7010000000000001E-2</v>
      </c>
      <c r="CX8">
        <v>2.2769999999999999E-2</v>
      </c>
      <c r="CY8">
        <v>1.6930000000000001E-2</v>
      </c>
      <c r="CZ8">
        <v>1.172E-2</v>
      </c>
      <c r="DA8">
        <v>1.4800000000000001E-2</v>
      </c>
      <c r="DB8">
        <v>1.372E-2</v>
      </c>
      <c r="DC8">
        <v>1.306E-2</v>
      </c>
      <c r="DD8">
        <v>1.285E-2</v>
      </c>
      <c r="DE8">
        <v>1.3220000000000001E-2</v>
      </c>
      <c r="DG8">
        <v>1.976E-2</v>
      </c>
      <c r="DH8">
        <v>1.8669999999999999E-2</v>
      </c>
      <c r="DI8">
        <v>1.8010000000000002E-2</v>
      </c>
      <c r="DJ8">
        <v>1.7559999999999999E-2</v>
      </c>
      <c r="DK8">
        <v>1.7229999999999999E-2</v>
      </c>
      <c r="DL8">
        <v>1.702E-2</v>
      </c>
      <c r="DM8">
        <v>1.6029999999999999E-2</v>
      </c>
      <c r="DN8">
        <v>1.5650000000000001E-2</v>
      </c>
      <c r="DP8">
        <v>1.5299999999999999E-2</v>
      </c>
      <c r="DQ8">
        <v>1.52E-2</v>
      </c>
      <c r="DR8">
        <v>1.7979999999999999E-2</v>
      </c>
      <c r="DS8">
        <v>1.7420000000000001E-2</v>
      </c>
      <c r="DU8">
        <v>1.7139999999999999E-2</v>
      </c>
      <c r="DV8">
        <v>1.7270000000000001E-2</v>
      </c>
      <c r="DW8">
        <v>1.9130000000000001E-2</v>
      </c>
      <c r="DX8">
        <v>1.8880000000000001E-2</v>
      </c>
      <c r="DY8">
        <v>1.8689999999999998E-2</v>
      </c>
      <c r="DZ8">
        <v>1.8769999999999998E-2</v>
      </c>
      <c r="EA8">
        <v>1.6490000000000001E-2</v>
      </c>
      <c r="EB8">
        <v>1.618E-2</v>
      </c>
      <c r="EC8">
        <v>1.391E-2</v>
      </c>
      <c r="ED8">
        <v>3.252E-2</v>
      </c>
      <c r="EG8">
        <v>3.0960000000000001E-2</v>
      </c>
      <c r="EH8">
        <v>3.2210000000000003E-2</v>
      </c>
      <c r="EI8">
        <v>1.477E-2</v>
      </c>
      <c r="EJ8">
        <v>1.308E-2</v>
      </c>
      <c r="EK8">
        <v>1.362E-2</v>
      </c>
      <c r="EL8">
        <v>1.4930000000000001E-2</v>
      </c>
      <c r="EO8">
        <v>2.8250000000000001E-2</v>
      </c>
      <c r="ER8">
        <v>3.4270000000000002E-2</v>
      </c>
      <c r="ES8">
        <v>3.3210000000000003E-2</v>
      </c>
      <c r="EW8">
        <v>2.2880000000000001E-2</v>
      </c>
      <c r="EY8">
        <v>1.128E-2</v>
      </c>
      <c r="EZ8">
        <v>1.1379999999999999E-2</v>
      </c>
      <c r="FA8">
        <v>3.0179999999999998E-2</v>
      </c>
      <c r="FB8">
        <v>2.3060000000000001E-2</v>
      </c>
      <c r="FC8">
        <v>3.1060000000000001E-2</v>
      </c>
      <c r="FD8">
        <v>2.205E-2</v>
      </c>
      <c r="FE8">
        <v>3.5270000000000003E-2</v>
      </c>
      <c r="FF8">
        <v>1.8880000000000001E-2</v>
      </c>
      <c r="FH8">
        <v>1.7340000000000001E-2</v>
      </c>
      <c r="FI8">
        <v>1.289E-2</v>
      </c>
      <c r="FJ8">
        <v>1.2659999999999999E-2</v>
      </c>
      <c r="FK8">
        <v>1.652E-2</v>
      </c>
      <c r="FL8">
        <v>1.7170000000000001E-2</v>
      </c>
      <c r="FN8">
        <v>2.9649999999999999E-2</v>
      </c>
      <c r="FO8">
        <v>2.453E-2</v>
      </c>
      <c r="FP8">
        <v>2.3060000000000001E-2</v>
      </c>
      <c r="FR8">
        <v>3.7539999999999997E-2</v>
      </c>
      <c r="FS8">
        <v>2.3460000000000002E-2</v>
      </c>
      <c r="FU8">
        <v>3.0030000000000001E-2</v>
      </c>
      <c r="FV8">
        <v>2.852E-2</v>
      </c>
      <c r="FX8">
        <v>2.743E-2</v>
      </c>
      <c r="FZ8">
        <v>2.6349999999999998E-2</v>
      </c>
      <c r="GA8">
        <v>2.6890000000000001E-2</v>
      </c>
      <c r="GB8">
        <v>2.3810000000000001E-2</v>
      </c>
      <c r="GC8">
        <v>2.4459999999999999E-2</v>
      </c>
      <c r="GE8">
        <v>2.2890000000000001E-2</v>
      </c>
      <c r="GF8">
        <v>2.0109999999999999E-2</v>
      </c>
      <c r="GG8">
        <v>2.0279999999999999E-2</v>
      </c>
      <c r="GH8">
        <v>2.07E-2</v>
      </c>
      <c r="GI8">
        <v>1.7409999999999998E-2</v>
      </c>
      <c r="GJ8">
        <v>1.7850000000000001E-2</v>
      </c>
      <c r="GK8">
        <v>1.8440000000000002E-2</v>
      </c>
      <c r="GL8">
        <v>1.9650000000000001E-2</v>
      </c>
      <c r="GM8">
        <v>1.6580000000000001E-2</v>
      </c>
      <c r="GN8">
        <v>3.007E-2</v>
      </c>
      <c r="GQ8">
        <v>2.7570000000000001E-2</v>
      </c>
      <c r="GR8">
        <v>2.707E-2</v>
      </c>
      <c r="GT8">
        <v>3.6290000000000003E-2</v>
      </c>
      <c r="GU8">
        <v>2.2720000000000001E-2</v>
      </c>
      <c r="GV8">
        <v>1.8620000000000001E-2</v>
      </c>
      <c r="GW8">
        <v>2.121E-2</v>
      </c>
      <c r="GX8">
        <v>1.6379999999999999E-2</v>
      </c>
      <c r="GY8">
        <v>4.3520000000000003E-2</v>
      </c>
      <c r="GZ8">
        <v>4.1239999999999999E-2</v>
      </c>
      <c r="HC8">
        <v>1.6629999999999999E-2</v>
      </c>
      <c r="HD8">
        <v>2.1010000000000001E-2</v>
      </c>
      <c r="HE8">
        <v>1.6330000000000001E-2</v>
      </c>
      <c r="HF8">
        <v>1.6029999999999999E-2</v>
      </c>
      <c r="HH8">
        <v>1.6E-2</v>
      </c>
      <c r="HI8">
        <v>1.609E-2</v>
      </c>
      <c r="HJ8">
        <v>1.627E-2</v>
      </c>
      <c r="HK8">
        <v>2.4289999999999999E-2</v>
      </c>
      <c r="HN8">
        <v>3.925E-2</v>
      </c>
      <c r="HO8">
        <v>3.7960000000000001E-2</v>
      </c>
      <c r="HR8">
        <v>3.807E-2</v>
      </c>
      <c r="HT8">
        <v>3.1309999999999998E-2</v>
      </c>
      <c r="HV8">
        <v>3.4619999999999998E-2</v>
      </c>
      <c r="HW8">
        <v>2.095E-2</v>
      </c>
      <c r="HZ8">
        <v>1.619E-2</v>
      </c>
      <c r="IA8">
        <v>2.3060000000000001E-2</v>
      </c>
      <c r="IB8">
        <v>2.6040000000000001E-2</v>
      </c>
      <c r="IC8">
        <v>1.6889999999999999E-2</v>
      </c>
      <c r="ID8">
        <v>2.1899999999999999E-2</v>
      </c>
      <c r="IE8">
        <v>1.8589999999999999E-2</v>
      </c>
      <c r="IF8">
        <v>2.2839999999999999E-2</v>
      </c>
      <c r="IG8">
        <v>2.3290000000000002E-2</v>
      </c>
      <c r="IH8">
        <v>3.2989999999999998E-2</v>
      </c>
      <c r="II8">
        <v>1.6580000000000001E-2</v>
      </c>
      <c r="IJ8">
        <v>1.7930000000000001E-2</v>
      </c>
      <c r="IK8">
        <v>1.644E-2</v>
      </c>
      <c r="IL8">
        <v>1.8339999999999999E-2</v>
      </c>
      <c r="IM8">
        <v>2.0650000000000002E-2</v>
      </c>
      <c r="IN8">
        <v>2.2849999999999999E-2</v>
      </c>
      <c r="IO8">
        <v>2.5389999999999999E-2</v>
      </c>
      <c r="IS8">
        <v>1.0630000000000001E-2</v>
      </c>
      <c r="IT8">
        <v>1.6930000000000001E-2</v>
      </c>
      <c r="IU8">
        <v>1.8599999999999998E-2</v>
      </c>
      <c r="IV8">
        <v>1.324E-2</v>
      </c>
      <c r="IW8">
        <v>1.7899999999999999E-2</v>
      </c>
      <c r="IX8">
        <v>9.8399999999999998E-3</v>
      </c>
      <c r="IY8">
        <v>1.153E-2</v>
      </c>
      <c r="IZ8">
        <v>9.9000000000000008E-3</v>
      </c>
      <c r="JA8">
        <v>1.112E-2</v>
      </c>
      <c r="JB8">
        <v>1.1339999999999999E-2</v>
      </c>
      <c r="JC8">
        <v>1.291E-2</v>
      </c>
      <c r="JD8">
        <v>1.474E-2</v>
      </c>
      <c r="JE8">
        <v>1.0319999999999999E-2</v>
      </c>
      <c r="JF8">
        <v>1.3429999999999999E-2</v>
      </c>
      <c r="JG8">
        <v>1.5709999999999998E-2</v>
      </c>
      <c r="JI8">
        <v>4.2200000000000001E-2</v>
      </c>
      <c r="JJ8">
        <v>4.0169999999999997E-2</v>
      </c>
      <c r="JM8">
        <v>3.024E-2</v>
      </c>
      <c r="JP8">
        <v>3.7560000000000003E-2</v>
      </c>
      <c r="JR8">
        <v>1.643E-2</v>
      </c>
      <c r="JS8">
        <v>1.6629999999999999E-2</v>
      </c>
      <c r="JT8">
        <v>1.7129999999999999E-2</v>
      </c>
      <c r="JU8">
        <v>1.7180000000000001E-2</v>
      </c>
      <c r="JX8">
        <v>3.3910000000000003E-2</v>
      </c>
      <c r="JY8">
        <v>1.9570000000000001E-2</v>
      </c>
      <c r="JZ8">
        <v>2.581E-2</v>
      </c>
      <c r="KB8">
        <v>1.5970000000000002E-2</v>
      </c>
      <c r="KC8">
        <v>1.6660000000000001E-2</v>
      </c>
      <c r="KE8">
        <v>2.1579999999999998E-2</v>
      </c>
      <c r="KF8">
        <v>1.847E-2</v>
      </c>
      <c r="KG8">
        <v>1.704E-2</v>
      </c>
      <c r="KH8">
        <v>2.3269999999999999E-2</v>
      </c>
      <c r="KI8">
        <v>2.8150000000000001E-2</v>
      </c>
      <c r="KM8">
        <v>2.6339999999999999E-2</v>
      </c>
      <c r="KN8">
        <v>1.082E-2</v>
      </c>
      <c r="KO8">
        <v>1.277E-2</v>
      </c>
      <c r="KP8">
        <v>2.213E-2</v>
      </c>
      <c r="KQ8">
        <v>2.3990000000000001E-2</v>
      </c>
      <c r="KU8">
        <v>1.52E-2</v>
      </c>
      <c r="KV8">
        <v>1.2869999999999999E-2</v>
      </c>
      <c r="KW8">
        <v>1.2670000000000001E-2</v>
      </c>
      <c r="KX8">
        <v>3.066E-2</v>
      </c>
      <c r="KY8">
        <v>1.128E-2</v>
      </c>
      <c r="KZ8">
        <v>1.44E-2</v>
      </c>
      <c r="LA8">
        <v>2.453E-2</v>
      </c>
      <c r="LB8">
        <v>2.2880000000000001E-2</v>
      </c>
      <c r="LC8">
        <v>2.171E-2</v>
      </c>
      <c r="LD8">
        <v>2.171E-2</v>
      </c>
      <c r="LG8">
        <v>4.691E-2</v>
      </c>
      <c r="LH8">
        <v>5.3850000000000002E-2</v>
      </c>
      <c r="LI8">
        <v>2.453E-2</v>
      </c>
      <c r="LJ8">
        <v>2.1559999999999999E-2</v>
      </c>
      <c r="LK8">
        <v>2.2190000000000001E-2</v>
      </c>
      <c r="LM8">
        <v>2.196E-2</v>
      </c>
      <c r="LS8">
        <v>2.6499999999999999E-2</v>
      </c>
      <c r="LT8">
        <v>2.7859999999999999E-2</v>
      </c>
      <c r="LW8">
        <v>1.304E-2</v>
      </c>
      <c r="LX8">
        <v>1.5509999999999999E-2</v>
      </c>
      <c r="LY8">
        <v>4.3319999999999997E-2</v>
      </c>
      <c r="MA8">
        <v>4.0280000000000003E-2</v>
      </c>
      <c r="MB8">
        <v>1.0630000000000001E-2</v>
      </c>
      <c r="MC8">
        <v>2.035E-2</v>
      </c>
      <c r="MD8">
        <v>2.1829999999999999E-2</v>
      </c>
      <c r="MH8">
        <v>4.1259999999999998E-2</v>
      </c>
      <c r="MK8">
        <v>4.1160000000000002E-2</v>
      </c>
      <c r="ML8">
        <v>4.5710000000000001E-2</v>
      </c>
      <c r="MM8">
        <v>2.802E-2</v>
      </c>
      <c r="MN8">
        <v>1.227E-2</v>
      </c>
      <c r="MO8">
        <v>1.46E-2</v>
      </c>
      <c r="MP8">
        <v>1.7559999999999999E-2</v>
      </c>
      <c r="MQ8">
        <v>1.585E-2</v>
      </c>
      <c r="MR8">
        <v>2.291E-2</v>
      </c>
      <c r="MS8">
        <v>3.4259999999999999E-2</v>
      </c>
      <c r="MT8">
        <v>3.3649999999999999E-2</v>
      </c>
      <c r="MU8">
        <v>1.3599999999999999E-2</v>
      </c>
      <c r="MV8">
        <v>1.8169999999999999E-2</v>
      </c>
      <c r="MY8">
        <v>3.2590000000000001E-2</v>
      </c>
      <c r="MZ8">
        <v>3.737E-2</v>
      </c>
      <c r="NA8">
        <v>1.7270000000000001E-2</v>
      </c>
      <c r="NB8">
        <v>2.1340000000000001E-2</v>
      </c>
      <c r="NC8">
        <v>1.796E-2</v>
      </c>
      <c r="ND8">
        <v>5.0869999999999999E-2</v>
      </c>
      <c r="NE8">
        <v>4.648E-2</v>
      </c>
      <c r="NF8">
        <v>2.2970000000000001E-2</v>
      </c>
      <c r="NG8">
        <v>1.435E-2</v>
      </c>
      <c r="NH8">
        <v>9.7199999999999995E-3</v>
      </c>
      <c r="NI8">
        <v>1.133E-2</v>
      </c>
      <c r="NJ8">
        <v>1.4489999999999999E-2</v>
      </c>
      <c r="NK8">
        <v>1.1809999999999999E-2</v>
      </c>
      <c r="NL8">
        <v>1.3100000000000001E-2</v>
      </c>
      <c r="NM8">
        <v>1.4749999999999999E-2</v>
      </c>
      <c r="NN8">
        <v>1.5800000000000002E-2</v>
      </c>
      <c r="NO8">
        <v>1.6920000000000001E-2</v>
      </c>
      <c r="NP8">
        <v>1.243E-2</v>
      </c>
      <c r="NQ8">
        <v>1.312E-2</v>
      </c>
      <c r="NR8">
        <v>1.3599999999999999E-2</v>
      </c>
      <c r="NU8">
        <v>1.34E-2</v>
      </c>
      <c r="NV8">
        <v>1.4189999999999999E-2</v>
      </c>
      <c r="NW8">
        <v>1.426E-2</v>
      </c>
      <c r="NX8">
        <v>1.5270000000000001E-2</v>
      </c>
      <c r="NY8">
        <v>1.5709999999999998E-2</v>
      </c>
      <c r="NZ8">
        <v>1.72E-2</v>
      </c>
      <c r="OA8">
        <v>1.797E-2</v>
      </c>
      <c r="OB8">
        <v>1.4319999999999999E-2</v>
      </c>
      <c r="OC8">
        <v>1.498E-2</v>
      </c>
      <c r="OD8">
        <v>1.559E-2</v>
      </c>
      <c r="OE8">
        <v>1.559E-2</v>
      </c>
      <c r="OF8">
        <v>2.792E-2</v>
      </c>
      <c r="OH8">
        <v>1.7639999999999999E-2</v>
      </c>
      <c r="OJ8">
        <v>2.002E-2</v>
      </c>
      <c r="OK8">
        <v>2.1489999999999999E-2</v>
      </c>
      <c r="OM8">
        <v>1.5299999999999999E-2</v>
      </c>
      <c r="ON8">
        <v>1.5910000000000001E-2</v>
      </c>
      <c r="OO8">
        <v>1.7760000000000001E-2</v>
      </c>
      <c r="OP8">
        <v>1.9800000000000002E-2</v>
      </c>
      <c r="OR8">
        <v>2.2880000000000001E-2</v>
      </c>
      <c r="OT8">
        <v>1.6459999999999999E-2</v>
      </c>
      <c r="OU8">
        <v>1.7160000000000002E-2</v>
      </c>
      <c r="OV8">
        <v>9.1800000000000007E-3</v>
      </c>
      <c r="OW8">
        <v>8.6800000000000002E-3</v>
      </c>
      <c r="OX8">
        <v>8.4799999999999997E-3</v>
      </c>
      <c r="OY8">
        <v>8.5400000000000007E-3</v>
      </c>
      <c r="OZ8">
        <v>8.7899999999999992E-3</v>
      </c>
      <c r="PA8">
        <v>2.6859999999999998E-2</v>
      </c>
      <c r="PB8">
        <v>2.656E-2</v>
      </c>
      <c r="PC8">
        <v>1.7340000000000001E-2</v>
      </c>
      <c r="PE8">
        <v>1.4919999999999999E-2</v>
      </c>
      <c r="PF8">
        <v>1.4279999999999999E-2</v>
      </c>
      <c r="PG8">
        <v>1.2880000000000001E-2</v>
      </c>
      <c r="PH8">
        <v>1.1809999999999999E-2</v>
      </c>
      <c r="PJ8">
        <v>2.3099999999999999E-2</v>
      </c>
      <c r="PK8">
        <v>1.7690000000000001E-2</v>
      </c>
      <c r="PL8">
        <v>1.7129999999999999E-2</v>
      </c>
      <c r="PM8">
        <v>1.302E-2</v>
      </c>
      <c r="PN8">
        <v>1.397E-2</v>
      </c>
      <c r="PO8">
        <v>1.8149999999999999E-2</v>
      </c>
      <c r="PQ8">
        <v>1.7739999999999999E-2</v>
      </c>
      <c r="PR8">
        <v>1.306E-2</v>
      </c>
      <c r="PS8">
        <v>2.3699999999999999E-2</v>
      </c>
      <c r="PU8">
        <v>1.0290000000000001E-2</v>
      </c>
      <c r="PV8">
        <v>1.355E-2</v>
      </c>
      <c r="PW8">
        <v>1.5640000000000001E-2</v>
      </c>
      <c r="PX8">
        <v>1.8239999999999999E-2</v>
      </c>
      <c r="PY8">
        <v>2.1669999999999998E-2</v>
      </c>
      <c r="PZ8">
        <v>2.5510000000000001E-2</v>
      </c>
      <c r="QA8">
        <v>1.264E-2</v>
      </c>
      <c r="QB8">
        <v>1.38E-2</v>
      </c>
      <c r="QC8">
        <v>1.5140000000000001E-2</v>
      </c>
      <c r="QD8">
        <v>1.1429999999999999E-2</v>
      </c>
      <c r="QE8">
        <v>1.1339999999999999E-2</v>
      </c>
      <c r="QF8">
        <v>1.1849999999999999E-2</v>
      </c>
      <c r="QG8">
        <v>1.234E-2</v>
      </c>
      <c r="QH8">
        <v>1.133E-2</v>
      </c>
      <c r="QI8">
        <v>1.2699999999999999E-2</v>
      </c>
      <c r="QJ8">
        <v>1.355E-2</v>
      </c>
      <c r="QK8">
        <v>1.189E-2</v>
      </c>
      <c r="QL8">
        <v>1.1140000000000001E-2</v>
      </c>
      <c r="QM8">
        <v>1.3639999999999999E-2</v>
      </c>
      <c r="QN8">
        <v>1.8380000000000001E-2</v>
      </c>
      <c r="QO8">
        <v>1.5129999999999999E-2</v>
      </c>
      <c r="QP8">
        <v>1.5100000000000001E-2</v>
      </c>
      <c r="QQ8">
        <v>1.5259999999999999E-2</v>
      </c>
      <c r="QR8">
        <v>1.559E-2</v>
      </c>
      <c r="QS8">
        <v>1.6830000000000001E-2</v>
      </c>
      <c r="QT8">
        <v>1.8350000000000002E-2</v>
      </c>
      <c r="QU8">
        <v>1.9359999999999999E-2</v>
      </c>
      <c r="QV8">
        <v>2.0539999999999999E-2</v>
      </c>
      <c r="QW8">
        <v>2.1069999999999998E-2</v>
      </c>
      <c r="QX8">
        <v>2.479E-2</v>
      </c>
      <c r="QY8">
        <v>1.6760000000000001E-2</v>
      </c>
      <c r="QZ8">
        <v>2.3689999999999999E-2</v>
      </c>
      <c r="RA8">
        <v>2.6980000000000001E-2</v>
      </c>
      <c r="RC8">
        <v>3.8830000000000003E-2</v>
      </c>
      <c r="RD8">
        <v>2.997E-2</v>
      </c>
      <c r="RE8">
        <v>3.1329999999999997E-2</v>
      </c>
      <c r="RF8">
        <v>2.2579999999999999E-2</v>
      </c>
      <c r="RG8">
        <v>1.8800000000000001E-2</v>
      </c>
      <c r="RH8">
        <v>1.6389999999999998E-2</v>
      </c>
      <c r="RL8">
        <v>2.5520000000000001E-2</v>
      </c>
      <c r="RM8">
        <v>1.3950000000000001E-2</v>
      </c>
      <c r="RN8">
        <v>1.359E-2</v>
      </c>
      <c r="RO8">
        <v>1.359E-2</v>
      </c>
      <c r="RP8">
        <v>1.29E-2</v>
      </c>
      <c r="RQ8">
        <v>1.417E-2</v>
      </c>
      <c r="RR8">
        <v>1.3350000000000001E-2</v>
      </c>
      <c r="RS8">
        <v>1.3769999999999999E-2</v>
      </c>
      <c r="RT8">
        <v>1.0869999999999999E-2</v>
      </c>
      <c r="RU8">
        <v>1.3010000000000001E-2</v>
      </c>
      <c r="RY8">
        <v>9.5899999999999996E-3</v>
      </c>
      <c r="RZ8">
        <v>2.3210000000000001E-2</v>
      </c>
      <c r="SA8">
        <v>4.0120000000000003E-2</v>
      </c>
      <c r="SB8">
        <v>4.079E-2</v>
      </c>
      <c r="SD8">
        <v>1.7350000000000001E-2</v>
      </c>
      <c r="SE8">
        <v>1.4619999999999999E-2</v>
      </c>
      <c r="SG8">
        <v>1.84E-2</v>
      </c>
      <c r="SH8">
        <v>2.1510000000000001E-2</v>
      </c>
      <c r="SI8">
        <v>1.6670000000000001E-2</v>
      </c>
      <c r="SJ8">
        <v>1.4239999999999999E-2</v>
      </c>
      <c r="SK8">
        <v>1.473E-2</v>
      </c>
      <c r="SL8">
        <v>1.273E-2</v>
      </c>
      <c r="SM8">
        <v>1.374E-2</v>
      </c>
      <c r="SN8">
        <v>1.291E-2</v>
      </c>
      <c r="SO8">
        <v>1.2789999999999999E-2</v>
      </c>
      <c r="SP8">
        <v>1.3769999999999999E-2</v>
      </c>
      <c r="SQ8">
        <v>1.418E-2</v>
      </c>
      <c r="SR8">
        <v>1.2239999999999999E-2</v>
      </c>
      <c r="SS8">
        <v>1.3509999999999999E-2</v>
      </c>
      <c r="ST8">
        <v>1.285E-2</v>
      </c>
      <c r="SU8">
        <v>1.2160000000000001E-2</v>
      </c>
      <c r="SW8">
        <v>1.268E-2</v>
      </c>
      <c r="SX8">
        <v>2.0899999999999998E-2</v>
      </c>
      <c r="SZ8">
        <v>1.5049999999999999E-2</v>
      </c>
      <c r="TA8">
        <v>1.976E-2</v>
      </c>
      <c r="TB8">
        <v>1.021E-2</v>
      </c>
      <c r="TC8">
        <v>1.482E-2</v>
      </c>
      <c r="TD8">
        <v>2.3910000000000001E-2</v>
      </c>
      <c r="TE8">
        <v>1.277E-2</v>
      </c>
      <c r="TG8">
        <v>1.5310000000000001E-2</v>
      </c>
      <c r="TH8">
        <v>1.4160000000000001E-2</v>
      </c>
      <c r="TI8">
        <v>1.289E-2</v>
      </c>
      <c r="TJ8">
        <v>1.238E-2</v>
      </c>
      <c r="TK8">
        <v>1.251E-2</v>
      </c>
      <c r="TL8">
        <v>1.201E-2</v>
      </c>
      <c r="TM8">
        <v>1.086E-2</v>
      </c>
      <c r="TN8">
        <v>1.0880000000000001E-2</v>
      </c>
      <c r="TO8">
        <v>1.444E-2</v>
      </c>
      <c r="TP8">
        <v>1.6459999999999999E-2</v>
      </c>
      <c r="TQ8">
        <v>9.2099999999999994E-3</v>
      </c>
      <c r="TR8">
        <v>1.456E-2</v>
      </c>
      <c r="TT8">
        <v>2.0760000000000001E-2</v>
      </c>
      <c r="TU8">
        <v>1.542E-2</v>
      </c>
      <c r="TV8">
        <v>1.8890000000000001E-2</v>
      </c>
      <c r="TW8">
        <v>1.2970000000000001E-2</v>
      </c>
      <c r="TX8">
        <v>1.167E-2</v>
      </c>
      <c r="TY8">
        <v>9.75E-3</v>
      </c>
      <c r="TZ8">
        <v>1.057E-2</v>
      </c>
      <c r="UA8">
        <v>9.2200000000000008E-3</v>
      </c>
      <c r="UB8">
        <v>1.37E-2</v>
      </c>
      <c r="UC8">
        <v>1.3100000000000001E-2</v>
      </c>
      <c r="UD8">
        <v>1.345E-2</v>
      </c>
      <c r="UF8">
        <v>1.592E-2</v>
      </c>
      <c r="UG8">
        <v>1.6480000000000002E-2</v>
      </c>
      <c r="UH8">
        <v>1.242E-2</v>
      </c>
      <c r="UI8">
        <v>1.3939999999999999E-2</v>
      </c>
      <c r="UJ8">
        <v>1.3950000000000001E-2</v>
      </c>
      <c r="UK8">
        <v>1.057E-2</v>
      </c>
      <c r="UL8">
        <v>1.3950000000000001E-2</v>
      </c>
      <c r="UM8">
        <v>1.4109999999999999E-2</v>
      </c>
      <c r="UN8">
        <v>1.3939999999999999E-2</v>
      </c>
      <c r="UO8">
        <v>1.542E-2</v>
      </c>
      <c r="UP8">
        <v>1.502E-2</v>
      </c>
      <c r="UQ8">
        <v>1.3679999999999999E-2</v>
      </c>
      <c r="US8">
        <v>1.2359999999999999E-2</v>
      </c>
      <c r="UT8">
        <v>1.32E-2</v>
      </c>
      <c r="UU8">
        <v>1.3220000000000001E-2</v>
      </c>
      <c r="UV8">
        <v>1.336E-2</v>
      </c>
      <c r="UW8">
        <v>2.1909999999999999E-2</v>
      </c>
      <c r="UX8">
        <v>1.6930000000000001E-2</v>
      </c>
      <c r="UY8">
        <v>1.9890000000000001E-2</v>
      </c>
      <c r="UZ8">
        <v>2.3939999999999999E-2</v>
      </c>
      <c r="VA8">
        <v>1.9529999999999999E-2</v>
      </c>
      <c r="VD8">
        <v>3.1390000000000001E-2</v>
      </c>
      <c r="VE8">
        <v>3.3890000000000003E-2</v>
      </c>
      <c r="VH8">
        <v>1.5640000000000001E-2</v>
      </c>
      <c r="VI8">
        <v>2.0119999999999999E-2</v>
      </c>
    </row>
    <row r="9" spans="1:581" x14ac:dyDescent="0.25">
      <c r="A9">
        <v>150000</v>
      </c>
      <c r="B9">
        <v>9.1900000000000003E-3</v>
      </c>
      <c r="C9">
        <v>8.8299999999999993E-3</v>
      </c>
      <c r="D9">
        <v>8.5599999999999999E-3</v>
      </c>
      <c r="E9">
        <v>8.1399999999999997E-3</v>
      </c>
      <c r="F9">
        <v>8.09E-3</v>
      </c>
      <c r="G9">
        <v>9.1599999999999997E-3</v>
      </c>
      <c r="H9">
        <v>8.4499999999999992E-3</v>
      </c>
      <c r="I9">
        <v>8.3800000000000003E-3</v>
      </c>
      <c r="J9">
        <v>8.2699999999999996E-3</v>
      </c>
      <c r="K9">
        <v>9.0900000000000009E-3</v>
      </c>
      <c r="L9">
        <v>8.9800000000000001E-3</v>
      </c>
      <c r="M9">
        <v>8.7600000000000004E-3</v>
      </c>
      <c r="N9">
        <v>8.6199999999999992E-3</v>
      </c>
      <c r="O9">
        <v>1.0330000000000001E-2</v>
      </c>
      <c r="P9">
        <v>9.9500000000000005E-3</v>
      </c>
      <c r="Q9">
        <v>9.4800000000000006E-3</v>
      </c>
      <c r="R9">
        <v>0.01</v>
      </c>
      <c r="S9">
        <v>8.7899999999999992E-3</v>
      </c>
      <c r="T9">
        <v>8.3800000000000003E-3</v>
      </c>
      <c r="U9">
        <v>8.3199999999999993E-3</v>
      </c>
      <c r="V9">
        <v>8.5400000000000007E-3</v>
      </c>
      <c r="W9">
        <v>7.9600000000000001E-3</v>
      </c>
      <c r="X9">
        <v>8.2799999999999992E-3</v>
      </c>
      <c r="Y9">
        <v>7.7000000000000002E-3</v>
      </c>
      <c r="Z9">
        <v>7.7999999999999996E-3</v>
      </c>
      <c r="AA9">
        <v>2.281E-2</v>
      </c>
      <c r="AC9">
        <v>2.3609999999999999E-2</v>
      </c>
      <c r="AD9">
        <v>1.43E-2</v>
      </c>
      <c r="AE9">
        <v>1.636E-2</v>
      </c>
      <c r="AG9">
        <v>2.401E-2</v>
      </c>
      <c r="AH9">
        <v>2.2790000000000001E-2</v>
      </c>
      <c r="AJ9">
        <v>2.3789999999999999E-2</v>
      </c>
      <c r="AK9">
        <v>2.3599999999999999E-2</v>
      </c>
      <c r="AL9">
        <v>1.9900000000000001E-2</v>
      </c>
      <c r="AM9">
        <v>2.8549999999999999E-2</v>
      </c>
      <c r="AN9">
        <v>3.3680000000000002E-2</v>
      </c>
      <c r="AP9">
        <v>2.8049999999999999E-2</v>
      </c>
      <c r="AQ9">
        <v>3.653E-2</v>
      </c>
      <c r="AS9">
        <v>3.2379999999999999E-2</v>
      </c>
      <c r="AT9">
        <v>2.247E-2</v>
      </c>
      <c r="AU9">
        <v>2.8250000000000001E-2</v>
      </c>
      <c r="AV9">
        <v>3.1109999999999999E-2</v>
      </c>
      <c r="AW9">
        <v>2.8570000000000002E-2</v>
      </c>
      <c r="AX9">
        <v>2.4500000000000001E-2</v>
      </c>
      <c r="AY9">
        <v>2.9319999999999999E-2</v>
      </c>
      <c r="AZ9">
        <v>2.8490000000000001E-2</v>
      </c>
      <c r="BA9">
        <v>3.0329999999999999E-2</v>
      </c>
      <c r="BB9">
        <v>1.6719999999999999E-2</v>
      </c>
      <c r="BC9">
        <v>2.1489999999999999E-2</v>
      </c>
      <c r="BD9">
        <v>2.4289999999999999E-2</v>
      </c>
      <c r="BE9">
        <v>4.3119999999999999E-2</v>
      </c>
      <c r="BF9">
        <v>2.9350000000000001E-2</v>
      </c>
      <c r="BH9">
        <v>2.776E-2</v>
      </c>
      <c r="BM9">
        <v>2.6689999999999998E-2</v>
      </c>
      <c r="BN9">
        <v>1.3259999999999999E-2</v>
      </c>
      <c r="BO9">
        <v>2.359E-2</v>
      </c>
      <c r="BP9">
        <v>1.4489999999999999E-2</v>
      </c>
      <c r="BR9">
        <v>1.4019999999999999E-2</v>
      </c>
      <c r="BS9">
        <v>1.375E-2</v>
      </c>
      <c r="BU9">
        <v>1.8030000000000001E-2</v>
      </c>
      <c r="BV9">
        <v>1.9099999999999999E-2</v>
      </c>
      <c r="BW9">
        <v>1.8020000000000001E-2</v>
      </c>
      <c r="BX9">
        <v>1.7129999999999999E-2</v>
      </c>
      <c r="BY9">
        <v>1.873E-2</v>
      </c>
      <c r="BZ9">
        <v>1.6160000000000001E-2</v>
      </c>
      <c r="CA9">
        <v>2.0580000000000001E-2</v>
      </c>
      <c r="CB9">
        <v>1.179E-2</v>
      </c>
      <c r="CC9">
        <v>1.392E-2</v>
      </c>
      <c r="CD9">
        <v>1.32E-2</v>
      </c>
      <c r="CE9">
        <v>1.163E-2</v>
      </c>
      <c r="CF9">
        <v>1.145E-2</v>
      </c>
      <c r="CG9">
        <v>1.1270000000000001E-2</v>
      </c>
      <c r="CH9">
        <v>1.115E-2</v>
      </c>
      <c r="CJ9">
        <v>1.1209999999999999E-2</v>
      </c>
      <c r="CK9">
        <v>1.299E-2</v>
      </c>
      <c r="CL9">
        <v>1.184E-2</v>
      </c>
      <c r="CM9">
        <v>1.264E-2</v>
      </c>
      <c r="CN9">
        <v>1.423E-2</v>
      </c>
      <c r="CO9">
        <v>1.234E-2</v>
      </c>
      <c r="CP9">
        <v>1.4189999999999999E-2</v>
      </c>
      <c r="CQ9">
        <v>1.1509999999999999E-2</v>
      </c>
      <c r="CR9">
        <v>1.2239999999999999E-2</v>
      </c>
      <c r="CS9">
        <v>1.3299999999999999E-2</v>
      </c>
      <c r="CT9">
        <v>1.387E-2</v>
      </c>
      <c r="CU9">
        <v>1.3599999999999999E-2</v>
      </c>
      <c r="CV9">
        <v>1.47E-2</v>
      </c>
      <c r="CW9">
        <v>1.426E-2</v>
      </c>
      <c r="CX9">
        <v>1.9220000000000001E-2</v>
      </c>
      <c r="CY9">
        <v>1.508E-2</v>
      </c>
      <c r="CZ9">
        <v>1.0699999999999999E-2</v>
      </c>
      <c r="DA9">
        <v>1.252E-2</v>
      </c>
      <c r="DC9">
        <v>1.167E-2</v>
      </c>
      <c r="DD9">
        <v>1.179E-2</v>
      </c>
      <c r="DE9">
        <v>1.2290000000000001E-2</v>
      </c>
      <c r="DF9">
        <v>2.8230000000000002E-2</v>
      </c>
      <c r="DG9">
        <v>1.754E-2</v>
      </c>
      <c r="DH9">
        <v>1.7600000000000001E-2</v>
      </c>
      <c r="DI9">
        <v>1.6920000000000001E-2</v>
      </c>
      <c r="DJ9">
        <v>1.643E-2</v>
      </c>
      <c r="DK9">
        <v>1.6029999999999999E-2</v>
      </c>
      <c r="DL9">
        <v>1.5769999999999999E-2</v>
      </c>
      <c r="DM9">
        <v>1.4970000000000001E-2</v>
      </c>
      <c r="DN9">
        <v>1.456E-2</v>
      </c>
      <c r="DO9">
        <v>1.423E-2</v>
      </c>
      <c r="DP9">
        <v>1.409E-2</v>
      </c>
      <c r="DQ9">
        <v>1.3950000000000001E-2</v>
      </c>
      <c r="DR9">
        <v>1.677E-2</v>
      </c>
      <c r="DS9">
        <v>1.619E-2</v>
      </c>
      <c r="DT9">
        <v>1.602E-2</v>
      </c>
      <c r="DU9">
        <v>1.5800000000000002E-2</v>
      </c>
      <c r="DV9">
        <v>1.575E-2</v>
      </c>
      <c r="DW9">
        <v>1.7690000000000001E-2</v>
      </c>
      <c r="DX9">
        <v>1.7389999999999999E-2</v>
      </c>
      <c r="DY9">
        <v>1.719E-2</v>
      </c>
      <c r="DZ9">
        <v>1.7149999999999999E-2</v>
      </c>
      <c r="EA9">
        <v>1.562E-2</v>
      </c>
      <c r="EB9">
        <v>1.541E-2</v>
      </c>
      <c r="EC9">
        <v>1.2529999999999999E-2</v>
      </c>
      <c r="ED9">
        <v>3.099E-2</v>
      </c>
      <c r="EG9">
        <v>2.937E-2</v>
      </c>
      <c r="EH9">
        <v>3.0179999999999998E-2</v>
      </c>
      <c r="EI9">
        <v>1.2699999999999999E-2</v>
      </c>
      <c r="EJ9">
        <v>1.163E-2</v>
      </c>
      <c r="EK9">
        <v>1.193E-2</v>
      </c>
      <c r="EL9">
        <v>1.324E-2</v>
      </c>
      <c r="EM9">
        <v>1.7510000000000001E-2</v>
      </c>
      <c r="EN9">
        <v>1.8370000000000001E-2</v>
      </c>
      <c r="EO9">
        <v>2.1010000000000001E-2</v>
      </c>
      <c r="EQ9">
        <v>1.7909999999999999E-2</v>
      </c>
      <c r="ER9">
        <v>3.1719999999999998E-2</v>
      </c>
      <c r="ES9">
        <v>3.0519999999999999E-2</v>
      </c>
      <c r="ET9">
        <v>2.963E-2</v>
      </c>
      <c r="EW9">
        <v>2.027E-2</v>
      </c>
      <c r="EY9">
        <v>1.034E-2</v>
      </c>
      <c r="EZ9">
        <v>1.0489999999999999E-2</v>
      </c>
      <c r="FB9">
        <v>2.0299999999999999E-2</v>
      </c>
      <c r="FD9">
        <v>1.805E-2</v>
      </c>
      <c r="FE9">
        <v>2.879E-2</v>
      </c>
      <c r="FF9">
        <v>1.704E-2</v>
      </c>
      <c r="FG9">
        <v>1.09E-2</v>
      </c>
      <c r="FH9">
        <v>1.6140000000000002E-2</v>
      </c>
      <c r="FI9">
        <v>1.234E-2</v>
      </c>
      <c r="FJ9">
        <v>1.1480000000000001E-2</v>
      </c>
      <c r="FK9">
        <v>1.5010000000000001E-2</v>
      </c>
      <c r="FL9">
        <v>1.5640000000000001E-2</v>
      </c>
      <c r="FN9">
        <v>2.758E-2</v>
      </c>
      <c r="FO9">
        <v>2.112E-2</v>
      </c>
      <c r="FP9">
        <v>2.0119999999999999E-2</v>
      </c>
      <c r="FS9">
        <v>2.1219999999999999E-2</v>
      </c>
      <c r="FU9">
        <v>2.7480000000000001E-2</v>
      </c>
      <c r="FV9">
        <v>2.4400000000000002E-2</v>
      </c>
      <c r="FW9">
        <v>2.3400000000000001E-2</v>
      </c>
      <c r="FX9">
        <v>2.4969999999999999E-2</v>
      </c>
      <c r="FZ9">
        <v>2.247E-2</v>
      </c>
      <c r="GA9">
        <v>2.3390000000000001E-2</v>
      </c>
      <c r="GB9">
        <v>2.0140000000000002E-2</v>
      </c>
      <c r="GC9">
        <v>2.1080000000000002E-2</v>
      </c>
      <c r="GE9">
        <v>2.002E-2</v>
      </c>
      <c r="GF9">
        <v>1.7260000000000001E-2</v>
      </c>
      <c r="GG9">
        <v>1.7319999999999999E-2</v>
      </c>
      <c r="GH9">
        <v>1.7600000000000001E-2</v>
      </c>
      <c r="GI9">
        <v>1.5769999999999999E-2</v>
      </c>
      <c r="GJ9">
        <v>1.6129999999999999E-2</v>
      </c>
      <c r="GK9">
        <v>1.6580000000000001E-2</v>
      </c>
      <c r="GL9">
        <v>1.762E-2</v>
      </c>
      <c r="GM9">
        <v>1.4880000000000001E-2</v>
      </c>
      <c r="GN9">
        <v>2.792E-2</v>
      </c>
      <c r="GP9">
        <v>2.1409999999999998E-2</v>
      </c>
      <c r="GS9">
        <v>2.3460000000000002E-2</v>
      </c>
      <c r="GT9">
        <v>3.0009999999999998E-2</v>
      </c>
      <c r="GV9">
        <v>1.6719999999999999E-2</v>
      </c>
      <c r="GW9">
        <v>1.84E-2</v>
      </c>
      <c r="GX9">
        <v>1.438E-2</v>
      </c>
      <c r="GY9">
        <v>3.2530000000000003E-2</v>
      </c>
      <c r="GZ9">
        <v>3.5830000000000001E-2</v>
      </c>
      <c r="HB9">
        <v>1.7170000000000001E-2</v>
      </c>
      <c r="HC9">
        <v>1.5469999999999999E-2</v>
      </c>
      <c r="HD9">
        <v>1.9900000000000001E-2</v>
      </c>
      <c r="HE9">
        <v>1.506E-2</v>
      </c>
      <c r="HF9">
        <v>1.4760000000000001E-2</v>
      </c>
      <c r="HG9">
        <v>1.453E-2</v>
      </c>
      <c r="HH9">
        <v>1.4619999999999999E-2</v>
      </c>
      <c r="HI9">
        <v>1.4579999999999999E-2</v>
      </c>
      <c r="HJ9">
        <v>1.4290000000000001E-2</v>
      </c>
      <c r="HK9">
        <v>2.1090000000000001E-2</v>
      </c>
      <c r="HL9">
        <v>3.6200000000000003E-2</v>
      </c>
      <c r="HM9">
        <v>3.4270000000000002E-2</v>
      </c>
      <c r="HN9">
        <v>3.4439999999999998E-2</v>
      </c>
      <c r="HO9">
        <v>3.3439999999999998E-2</v>
      </c>
      <c r="HP9">
        <v>1.6709999999999999E-2</v>
      </c>
      <c r="HQ9">
        <v>3.168E-2</v>
      </c>
      <c r="HR9">
        <v>3.4360000000000002E-2</v>
      </c>
      <c r="HU9">
        <v>1.6889999999999999E-2</v>
      </c>
      <c r="HW9">
        <v>1.753E-2</v>
      </c>
      <c r="HX9">
        <v>2.9389999999999999E-2</v>
      </c>
      <c r="HY9">
        <v>3.8100000000000002E-2</v>
      </c>
      <c r="HZ9">
        <v>1.553E-2</v>
      </c>
      <c r="IA9">
        <v>2.0070000000000001E-2</v>
      </c>
      <c r="IB9">
        <v>2.281E-2</v>
      </c>
      <c r="IC9">
        <v>1.525E-2</v>
      </c>
      <c r="ID9">
        <v>2.164E-2</v>
      </c>
      <c r="IE9">
        <v>1.866E-2</v>
      </c>
      <c r="IF9">
        <v>1.9529999999999999E-2</v>
      </c>
      <c r="IG9">
        <v>1.9740000000000001E-2</v>
      </c>
      <c r="IH9">
        <v>2.6800000000000001E-2</v>
      </c>
      <c r="II9">
        <v>1.6559999999999998E-2</v>
      </c>
      <c r="IJ9">
        <v>1.481E-2</v>
      </c>
      <c r="IK9">
        <v>1.4449999999999999E-2</v>
      </c>
      <c r="IL9">
        <v>1.6320000000000001E-2</v>
      </c>
      <c r="IM9">
        <v>1.8370000000000001E-2</v>
      </c>
      <c r="IN9">
        <v>2.0299999999999999E-2</v>
      </c>
      <c r="IO9">
        <v>2.248E-2</v>
      </c>
      <c r="IP9">
        <v>3.8109999999999998E-2</v>
      </c>
      <c r="IS9">
        <v>9.7000000000000003E-3</v>
      </c>
      <c r="IT9">
        <v>1.7139999999999999E-2</v>
      </c>
      <c r="IU9">
        <v>1.8350000000000002E-2</v>
      </c>
      <c r="IV9">
        <v>1.1900000000000001E-2</v>
      </c>
      <c r="IW9">
        <v>1.5720000000000001E-2</v>
      </c>
      <c r="IX9">
        <v>9.11E-3</v>
      </c>
      <c r="IY9">
        <v>1.0880000000000001E-2</v>
      </c>
      <c r="IZ9">
        <v>9.0299999999999998E-3</v>
      </c>
      <c r="JA9">
        <v>1.0200000000000001E-2</v>
      </c>
      <c r="JB9">
        <v>1.055E-2</v>
      </c>
      <c r="JC9">
        <v>1.2E-2</v>
      </c>
      <c r="JD9">
        <v>1.3860000000000001E-2</v>
      </c>
      <c r="JE9">
        <v>9.58E-3</v>
      </c>
      <c r="JF9">
        <v>1.244E-2</v>
      </c>
      <c r="JG9">
        <v>1.4279999999999999E-2</v>
      </c>
      <c r="JJ9">
        <v>3.4389999999999997E-2</v>
      </c>
      <c r="JM9">
        <v>2.7040000000000002E-2</v>
      </c>
      <c r="JO9">
        <v>5.0849999999999999E-2</v>
      </c>
      <c r="JP9">
        <v>3.4320000000000003E-2</v>
      </c>
      <c r="JQ9">
        <v>1.434E-2</v>
      </c>
      <c r="JR9">
        <v>1.406E-2</v>
      </c>
      <c r="JS9">
        <v>1.41E-2</v>
      </c>
      <c r="JT9">
        <v>1.4670000000000001E-2</v>
      </c>
      <c r="JU9">
        <v>1.4970000000000001E-2</v>
      </c>
      <c r="JV9">
        <v>2.785E-2</v>
      </c>
      <c r="JW9">
        <v>2.0389999999999998E-2</v>
      </c>
      <c r="JY9">
        <v>1.7899999999999999E-2</v>
      </c>
      <c r="JZ9">
        <v>2.273E-2</v>
      </c>
      <c r="KA9">
        <v>2.9329999999999998E-2</v>
      </c>
      <c r="KB9">
        <v>1.3559999999999999E-2</v>
      </c>
      <c r="KC9">
        <v>1.4250000000000001E-2</v>
      </c>
      <c r="KE9">
        <v>1.7919999999999998E-2</v>
      </c>
      <c r="KF9">
        <v>1.5970000000000002E-2</v>
      </c>
      <c r="KG9">
        <v>1.5140000000000001E-2</v>
      </c>
      <c r="KH9">
        <v>2.0490000000000001E-2</v>
      </c>
      <c r="KI9">
        <v>2.4E-2</v>
      </c>
      <c r="KJ9">
        <v>2.479E-2</v>
      </c>
      <c r="KK9">
        <v>2.4309999999999998E-2</v>
      </c>
      <c r="KM9">
        <v>2.3040000000000001E-2</v>
      </c>
      <c r="KN9">
        <v>1.0189999999999999E-2</v>
      </c>
      <c r="KO9">
        <v>1.1730000000000001E-2</v>
      </c>
      <c r="KP9">
        <v>1.932E-2</v>
      </c>
      <c r="KQ9">
        <v>2.068E-2</v>
      </c>
      <c r="KR9">
        <v>4.0219999999999999E-2</v>
      </c>
      <c r="KU9">
        <v>1.3339999999999999E-2</v>
      </c>
      <c r="KV9">
        <v>1.137E-2</v>
      </c>
      <c r="KW9">
        <v>1.1169999999999999E-2</v>
      </c>
      <c r="KX9">
        <v>2.6509999999999999E-2</v>
      </c>
      <c r="KY9">
        <v>1.055E-2</v>
      </c>
      <c r="KZ9">
        <v>1.1990000000000001E-2</v>
      </c>
      <c r="LA9">
        <v>2.1499999999999998E-2</v>
      </c>
      <c r="LB9">
        <v>2.017E-2</v>
      </c>
      <c r="LC9">
        <v>1.934E-2</v>
      </c>
      <c r="LD9">
        <v>1.934E-2</v>
      </c>
      <c r="LI9">
        <v>2.164E-2</v>
      </c>
      <c r="LJ9">
        <v>1.9769999999999999E-2</v>
      </c>
      <c r="LK9">
        <v>2.0160000000000001E-2</v>
      </c>
      <c r="LM9">
        <v>1.899E-2</v>
      </c>
      <c r="LS9">
        <v>2.3550000000000001E-2</v>
      </c>
      <c r="LT9">
        <v>2.3529999999999999E-2</v>
      </c>
      <c r="LW9">
        <v>1.2359999999999999E-2</v>
      </c>
      <c r="LX9">
        <v>1.328E-2</v>
      </c>
      <c r="LY9">
        <v>3.6700000000000003E-2</v>
      </c>
      <c r="MA9">
        <v>3.4509999999999999E-2</v>
      </c>
      <c r="MB9">
        <v>9.8700000000000003E-3</v>
      </c>
      <c r="MC9">
        <v>1.779E-2</v>
      </c>
      <c r="MD9">
        <v>1.9300000000000001E-2</v>
      </c>
      <c r="MH9">
        <v>3.916E-2</v>
      </c>
      <c r="MI9">
        <v>3.6479999999999999E-2</v>
      </c>
      <c r="MJ9">
        <v>4.2759999999999999E-2</v>
      </c>
      <c r="MK9">
        <v>3.6330000000000001E-2</v>
      </c>
      <c r="ML9">
        <v>4.2849999999999999E-2</v>
      </c>
      <c r="MM9">
        <v>2.5899999999999999E-2</v>
      </c>
      <c r="MN9">
        <v>1.102E-2</v>
      </c>
      <c r="MO9">
        <v>1.3129999999999999E-2</v>
      </c>
      <c r="MP9">
        <v>1.549E-2</v>
      </c>
      <c r="MQ9">
        <v>1.451E-2</v>
      </c>
      <c r="MS9">
        <v>3.0360000000000002E-2</v>
      </c>
      <c r="MU9">
        <v>1.1849999999999999E-2</v>
      </c>
      <c r="MV9">
        <v>1.5169999999999999E-2</v>
      </c>
      <c r="MW9">
        <v>1.755E-2</v>
      </c>
      <c r="NA9">
        <v>1.5740000000000001E-2</v>
      </c>
      <c r="NB9">
        <v>1.8579999999999999E-2</v>
      </c>
      <c r="NC9">
        <v>1.7479999999999999E-2</v>
      </c>
      <c r="ND9">
        <v>2.3099999999999999E-2</v>
      </c>
      <c r="NF9">
        <v>2.044E-2</v>
      </c>
      <c r="NG9">
        <v>1.2359999999999999E-2</v>
      </c>
      <c r="NH9">
        <v>9.0299999999999998E-3</v>
      </c>
      <c r="NI9">
        <v>1.073E-2</v>
      </c>
      <c r="NJ9">
        <v>1.248E-2</v>
      </c>
      <c r="NK9">
        <v>1.0749999999999999E-2</v>
      </c>
      <c r="NL9">
        <v>1.175E-2</v>
      </c>
      <c r="NN9">
        <v>1.354E-2</v>
      </c>
      <c r="NO9">
        <v>1.453E-2</v>
      </c>
      <c r="NP9">
        <v>1.0970000000000001E-2</v>
      </c>
      <c r="NQ9">
        <v>1.1520000000000001E-2</v>
      </c>
      <c r="NR9">
        <v>1.2E-2</v>
      </c>
      <c r="NS9">
        <v>1.306E-2</v>
      </c>
      <c r="NT9">
        <v>1.491E-2</v>
      </c>
      <c r="NU9">
        <v>1.188E-2</v>
      </c>
      <c r="NV9">
        <v>1.225E-2</v>
      </c>
      <c r="NW9">
        <v>1.238E-2</v>
      </c>
      <c r="NZ9">
        <v>1.4710000000000001E-2</v>
      </c>
      <c r="OA9">
        <v>1.537E-2</v>
      </c>
      <c r="OB9">
        <v>1.257E-2</v>
      </c>
      <c r="OC9">
        <v>1.281E-2</v>
      </c>
      <c r="OD9">
        <v>1.346E-2</v>
      </c>
      <c r="OE9">
        <v>1.346E-2</v>
      </c>
      <c r="OF9">
        <v>2.358E-2</v>
      </c>
      <c r="OG9">
        <v>1.4069999999999999E-2</v>
      </c>
      <c r="OH9">
        <v>1.503E-2</v>
      </c>
      <c r="OI9">
        <v>1.5939999999999999E-2</v>
      </c>
      <c r="OJ9">
        <v>1.6969999999999999E-2</v>
      </c>
      <c r="OK9">
        <v>1.814E-2</v>
      </c>
      <c r="OL9">
        <v>1.932E-2</v>
      </c>
      <c r="OM9">
        <v>1.3310000000000001E-2</v>
      </c>
      <c r="ON9">
        <v>1.354E-2</v>
      </c>
      <c r="OO9">
        <v>1.472E-2</v>
      </c>
      <c r="OP9">
        <v>1.6379999999999999E-2</v>
      </c>
      <c r="OR9">
        <v>1.8530000000000001E-2</v>
      </c>
      <c r="OT9">
        <v>1.4149999999999999E-2</v>
      </c>
      <c r="OU9">
        <v>1.444E-2</v>
      </c>
      <c r="OV9">
        <v>8.43E-3</v>
      </c>
      <c r="OW9">
        <v>7.9299999999999995E-3</v>
      </c>
      <c r="OX9">
        <v>7.7499999999999999E-3</v>
      </c>
      <c r="OY9">
        <v>7.7999999999999996E-3</v>
      </c>
      <c r="OZ9">
        <v>8.0400000000000003E-3</v>
      </c>
      <c r="PA9">
        <v>2.3359999999999999E-2</v>
      </c>
      <c r="PB9">
        <v>2.375E-2</v>
      </c>
      <c r="PC9">
        <v>1.5610000000000001E-2</v>
      </c>
      <c r="PD9">
        <v>1.468E-2</v>
      </c>
      <c r="PE9">
        <v>1.3220000000000001E-2</v>
      </c>
      <c r="PF9">
        <v>1.303E-2</v>
      </c>
      <c r="PG9">
        <v>1.206E-2</v>
      </c>
      <c r="PH9">
        <v>1.0880000000000001E-2</v>
      </c>
      <c r="PI9">
        <v>1.8880000000000001E-2</v>
      </c>
      <c r="PJ9">
        <v>1.7829999999999999E-2</v>
      </c>
      <c r="PK9">
        <v>1.414E-2</v>
      </c>
      <c r="PL9">
        <v>1.38E-2</v>
      </c>
      <c r="PM9">
        <v>1.116E-2</v>
      </c>
      <c r="PN9">
        <v>1.2279999999999999E-2</v>
      </c>
      <c r="PO9">
        <v>1.7840000000000002E-2</v>
      </c>
      <c r="PP9">
        <v>1.9980000000000001E-2</v>
      </c>
      <c r="PQ9">
        <v>1.5180000000000001E-2</v>
      </c>
      <c r="PR9">
        <v>1.17E-2</v>
      </c>
      <c r="PS9">
        <v>2.0660000000000001E-2</v>
      </c>
      <c r="PU9">
        <v>9.3799999999999994E-3</v>
      </c>
      <c r="PV9">
        <v>1.294E-2</v>
      </c>
      <c r="PW9">
        <v>1.528E-2</v>
      </c>
      <c r="PX9">
        <v>1.796E-2</v>
      </c>
      <c r="PY9">
        <v>2.1170000000000001E-2</v>
      </c>
      <c r="PZ9">
        <v>2.4840000000000001E-2</v>
      </c>
      <c r="QA9">
        <v>1.1520000000000001E-2</v>
      </c>
      <c r="QB9">
        <v>1.18E-2</v>
      </c>
      <c r="QC9">
        <v>1.29E-2</v>
      </c>
      <c r="QD9">
        <v>1.022E-2</v>
      </c>
      <c r="QE9">
        <v>1.0189999999999999E-2</v>
      </c>
      <c r="QF9">
        <v>1.065E-2</v>
      </c>
      <c r="QG9">
        <v>1.103E-2</v>
      </c>
      <c r="QH9">
        <v>1.0200000000000001E-2</v>
      </c>
      <c r="QI9">
        <v>1.133E-2</v>
      </c>
      <c r="QJ9">
        <v>1.206E-2</v>
      </c>
      <c r="QK9">
        <v>1.065E-2</v>
      </c>
      <c r="QL9">
        <v>1.0059999999999999E-2</v>
      </c>
      <c r="QM9">
        <v>1.1939999999999999E-2</v>
      </c>
      <c r="QN9">
        <v>1.721E-2</v>
      </c>
      <c r="QO9">
        <v>1.383E-2</v>
      </c>
      <c r="QP9">
        <v>1.37E-2</v>
      </c>
      <c r="QQ9">
        <v>1.375E-2</v>
      </c>
      <c r="QR9">
        <v>1.401E-2</v>
      </c>
      <c r="QS9">
        <v>1.533E-2</v>
      </c>
      <c r="QT9">
        <v>1.6119999999999999E-2</v>
      </c>
      <c r="QU9">
        <v>1.703E-2</v>
      </c>
      <c r="QV9">
        <v>1.7950000000000001E-2</v>
      </c>
      <c r="QW9">
        <v>1.7340000000000001E-2</v>
      </c>
      <c r="QY9">
        <v>1.448E-2</v>
      </c>
      <c r="RA9">
        <v>2.1700000000000001E-2</v>
      </c>
      <c r="RB9">
        <v>2.1059999999999999E-2</v>
      </c>
      <c r="RC9">
        <v>3.526E-2</v>
      </c>
      <c r="RD9">
        <v>2.972E-2</v>
      </c>
      <c r="RE9">
        <v>3.2219999999999999E-2</v>
      </c>
      <c r="RF9">
        <v>2.069E-2</v>
      </c>
      <c r="RG9">
        <v>1.553E-2</v>
      </c>
      <c r="RH9">
        <v>1.391E-2</v>
      </c>
      <c r="RI9">
        <v>5.9760000000000001E-2</v>
      </c>
      <c r="RK9">
        <v>2.7359999999999999E-2</v>
      </c>
      <c r="RL9">
        <v>2.2880000000000001E-2</v>
      </c>
      <c r="RM9">
        <v>1.273E-2</v>
      </c>
      <c r="RN9">
        <v>1.227E-2</v>
      </c>
      <c r="RO9">
        <v>1.227E-2</v>
      </c>
      <c r="RP9">
        <v>1.1599999999999999E-2</v>
      </c>
      <c r="RQ9">
        <v>1.242E-2</v>
      </c>
      <c r="RR9">
        <v>1.192E-2</v>
      </c>
      <c r="RS9">
        <v>1.2200000000000001E-2</v>
      </c>
      <c r="RT9">
        <v>1.023E-2</v>
      </c>
      <c r="RU9">
        <v>1.157E-2</v>
      </c>
      <c r="RV9">
        <v>1.286E-2</v>
      </c>
      <c r="RW9">
        <v>1.3809999999999999E-2</v>
      </c>
      <c r="RX9">
        <v>1.422E-2</v>
      </c>
      <c r="RY9">
        <v>8.8599999999999998E-3</v>
      </c>
      <c r="RZ9">
        <v>2.1940000000000001E-2</v>
      </c>
      <c r="SA9">
        <v>3.7780000000000001E-2</v>
      </c>
      <c r="SC9">
        <v>1.873E-2</v>
      </c>
      <c r="SD9">
        <v>1.5299999999999999E-2</v>
      </c>
      <c r="SE9">
        <v>1.307E-2</v>
      </c>
      <c r="SG9">
        <v>1.6979999999999999E-2</v>
      </c>
      <c r="SH9">
        <v>2.0080000000000001E-2</v>
      </c>
      <c r="SI9">
        <v>1.447E-2</v>
      </c>
      <c r="SJ9">
        <v>1.269E-2</v>
      </c>
      <c r="SK9">
        <v>1.3509999999999999E-2</v>
      </c>
      <c r="SL9">
        <v>1.163E-2</v>
      </c>
      <c r="SM9">
        <v>1.2829999999999999E-2</v>
      </c>
      <c r="SN9">
        <v>1.1820000000000001E-2</v>
      </c>
      <c r="SO9">
        <v>1.175E-2</v>
      </c>
      <c r="SP9">
        <v>1.191E-2</v>
      </c>
      <c r="SQ9">
        <v>1.2070000000000001E-2</v>
      </c>
      <c r="SR9">
        <v>1.081E-2</v>
      </c>
      <c r="SS9">
        <v>1.1730000000000001E-2</v>
      </c>
      <c r="ST9">
        <v>1.1259999999999999E-2</v>
      </c>
      <c r="SU9">
        <v>1.0749999999999999E-2</v>
      </c>
      <c r="SV9">
        <v>1.3939999999999999E-2</v>
      </c>
      <c r="SW9">
        <v>1.1089999999999999E-2</v>
      </c>
      <c r="SY9">
        <v>1.132E-2</v>
      </c>
      <c r="SZ9">
        <v>1.2789999999999999E-2</v>
      </c>
      <c r="TA9">
        <v>1.6469999999999999E-2</v>
      </c>
      <c r="TB9">
        <v>9.3299999999999998E-3</v>
      </c>
      <c r="TC9">
        <v>1.2579999999999999E-2</v>
      </c>
      <c r="TE9">
        <v>1.1379999999999999E-2</v>
      </c>
      <c r="TF9">
        <v>1.5350000000000001E-2</v>
      </c>
      <c r="TG9">
        <v>1.315E-2</v>
      </c>
      <c r="TH9">
        <v>1.226E-2</v>
      </c>
      <c r="TI9">
        <v>1.153E-2</v>
      </c>
      <c r="TJ9">
        <v>1.111E-2</v>
      </c>
      <c r="TK9">
        <v>1.09E-2</v>
      </c>
      <c r="TL9">
        <v>1.0460000000000001E-2</v>
      </c>
      <c r="TM9">
        <v>9.9900000000000006E-3</v>
      </c>
      <c r="TN9">
        <v>9.5600000000000008E-3</v>
      </c>
      <c r="TO9">
        <v>1.234E-2</v>
      </c>
      <c r="TQ9">
        <v>8.4499999999999992E-3</v>
      </c>
      <c r="TR9">
        <v>1.2659999999999999E-2</v>
      </c>
      <c r="TS9">
        <v>1.6959999999999999E-2</v>
      </c>
      <c r="TT9">
        <v>1.7500000000000002E-2</v>
      </c>
      <c r="TU9">
        <v>1.323E-2</v>
      </c>
      <c r="TV9">
        <v>1.6930000000000001E-2</v>
      </c>
      <c r="TW9">
        <v>1.1089999999999999E-2</v>
      </c>
      <c r="TX9">
        <v>1.0919999999999999E-2</v>
      </c>
      <c r="TY9">
        <v>8.9999999999999993E-3</v>
      </c>
      <c r="TZ9">
        <v>9.8399999999999998E-3</v>
      </c>
      <c r="UA9">
        <v>8.4600000000000005E-3</v>
      </c>
      <c r="UB9">
        <v>1.162E-2</v>
      </c>
      <c r="UC9">
        <v>1.1169999999999999E-2</v>
      </c>
      <c r="UD9">
        <v>1.1440000000000001E-2</v>
      </c>
      <c r="UE9">
        <v>1.187E-2</v>
      </c>
      <c r="UF9">
        <v>1.477E-2</v>
      </c>
      <c r="UG9">
        <v>1.4E-2</v>
      </c>
      <c r="UH9">
        <v>1.089E-2</v>
      </c>
      <c r="UI9">
        <v>1.2370000000000001E-2</v>
      </c>
      <c r="UJ9">
        <v>1.196E-2</v>
      </c>
      <c r="UK9">
        <v>9.3100000000000006E-3</v>
      </c>
      <c r="UL9">
        <v>1.179E-2</v>
      </c>
      <c r="UM9">
        <v>1.2160000000000001E-2</v>
      </c>
      <c r="UN9">
        <v>1.1820000000000001E-2</v>
      </c>
      <c r="UO9">
        <v>1.3050000000000001E-2</v>
      </c>
      <c r="UP9">
        <v>1.3350000000000001E-2</v>
      </c>
      <c r="UR9">
        <v>1.172E-2</v>
      </c>
      <c r="US9">
        <v>1.0710000000000001E-2</v>
      </c>
      <c r="UT9">
        <v>1.172E-2</v>
      </c>
      <c r="UU9">
        <v>1.244E-2</v>
      </c>
      <c r="UV9">
        <v>1.133E-2</v>
      </c>
      <c r="UW9">
        <v>1.8159999999999999E-2</v>
      </c>
      <c r="UY9">
        <v>1.7270000000000001E-2</v>
      </c>
      <c r="VA9">
        <v>1.668E-2</v>
      </c>
      <c r="VB9">
        <v>1.6109999999999999E-2</v>
      </c>
      <c r="VC9">
        <v>2.215E-2</v>
      </c>
      <c r="VD9">
        <v>3.058E-2</v>
      </c>
      <c r="VE9">
        <v>3.1539999999999999E-2</v>
      </c>
      <c r="VG9">
        <v>7.1319999999999995E-2</v>
      </c>
      <c r="VH9">
        <v>1.498E-2</v>
      </c>
      <c r="VI9">
        <v>1.9550000000000001E-2</v>
      </c>
    </row>
    <row r="10" spans="1:581" x14ac:dyDescent="0.25">
      <c r="A10">
        <v>175000</v>
      </c>
      <c r="B10">
        <v>8.3899999999999999E-3</v>
      </c>
      <c r="C10">
        <v>8.1499999999999993E-3</v>
      </c>
      <c r="D10">
        <v>7.9799999999999992E-3</v>
      </c>
      <c r="E10">
        <v>7.5599999999999999E-3</v>
      </c>
      <c r="F10">
        <v>7.5100000000000002E-3</v>
      </c>
      <c r="G10">
        <v>8.3499999999999998E-3</v>
      </c>
      <c r="H10">
        <v>7.8700000000000003E-3</v>
      </c>
      <c r="I10">
        <v>7.8100000000000001E-3</v>
      </c>
      <c r="J10">
        <v>7.6899999999999998E-3</v>
      </c>
      <c r="K10">
        <v>8.2699999999999996E-3</v>
      </c>
      <c r="L10">
        <v>8.2299999999999995E-3</v>
      </c>
      <c r="M10">
        <v>8.1499999999999993E-3</v>
      </c>
      <c r="N10">
        <v>8.0499999999999999E-3</v>
      </c>
      <c r="O10">
        <v>9.5499999999999995E-3</v>
      </c>
      <c r="P10">
        <v>9.2200000000000008E-3</v>
      </c>
      <c r="Q10">
        <v>8.8000000000000005E-3</v>
      </c>
      <c r="R10">
        <v>8.9899999999999997E-3</v>
      </c>
      <c r="S10">
        <v>8.0700000000000008E-3</v>
      </c>
      <c r="T10">
        <v>7.7000000000000002E-3</v>
      </c>
      <c r="U10">
        <v>7.79E-3</v>
      </c>
      <c r="V10">
        <v>7.9000000000000008E-3</v>
      </c>
      <c r="W10">
        <v>7.3800000000000003E-3</v>
      </c>
      <c r="X10">
        <v>7.6299999999999996E-3</v>
      </c>
      <c r="Y10">
        <v>7.1300000000000001E-3</v>
      </c>
      <c r="Z10">
        <v>7.2300000000000003E-3</v>
      </c>
      <c r="AA10">
        <v>2.128E-2</v>
      </c>
      <c r="AD10">
        <v>1.2489999999999999E-2</v>
      </c>
      <c r="AE10">
        <v>1.4030000000000001E-2</v>
      </c>
      <c r="AG10">
        <v>2.1590000000000002E-2</v>
      </c>
      <c r="AH10">
        <v>2.1760000000000002E-2</v>
      </c>
      <c r="AK10">
        <v>1.985E-2</v>
      </c>
      <c r="AL10">
        <v>1.7850000000000001E-2</v>
      </c>
      <c r="AM10">
        <v>2.5479999999999999E-2</v>
      </c>
      <c r="AP10">
        <v>2.4080000000000001E-2</v>
      </c>
      <c r="AQ10">
        <v>3.3930000000000002E-2</v>
      </c>
      <c r="AV10">
        <v>2.8209999999999999E-2</v>
      </c>
      <c r="AW10">
        <v>2.367E-2</v>
      </c>
      <c r="AX10">
        <v>2.0910000000000002E-2</v>
      </c>
      <c r="AY10">
        <v>2.6499999999999999E-2</v>
      </c>
      <c r="AZ10">
        <v>2.545E-2</v>
      </c>
      <c r="BA10">
        <v>2.7689999999999999E-2</v>
      </c>
      <c r="BB10">
        <v>1.519E-2</v>
      </c>
      <c r="BC10">
        <v>1.9019999999999999E-2</v>
      </c>
      <c r="BD10">
        <v>2.1270000000000001E-2</v>
      </c>
      <c r="BF10">
        <v>2.5760000000000002E-2</v>
      </c>
      <c r="BG10">
        <v>2.2870000000000001E-2</v>
      </c>
      <c r="BH10">
        <v>2.4969999999999999E-2</v>
      </c>
      <c r="BI10">
        <v>2.911E-2</v>
      </c>
      <c r="BN10">
        <v>1.1650000000000001E-2</v>
      </c>
      <c r="BO10">
        <v>2.094E-2</v>
      </c>
      <c r="BP10">
        <v>1.3429999999999999E-2</v>
      </c>
      <c r="BQ10">
        <v>1.0659999999999999E-2</v>
      </c>
      <c r="BR10">
        <v>1.2489999999999999E-2</v>
      </c>
      <c r="BS10">
        <v>1.2070000000000001E-2</v>
      </c>
      <c r="BT10">
        <v>3.7089999999999998E-2</v>
      </c>
      <c r="BU10">
        <v>1.6660000000000001E-2</v>
      </c>
      <c r="BV10">
        <v>1.7649999999999999E-2</v>
      </c>
      <c r="BW10">
        <v>1.668E-2</v>
      </c>
      <c r="BX10">
        <v>1.5890000000000001E-2</v>
      </c>
      <c r="BY10">
        <v>1.7270000000000001E-2</v>
      </c>
      <c r="BZ10">
        <v>1.499E-2</v>
      </c>
      <c r="CA10">
        <v>1.883E-2</v>
      </c>
      <c r="CB10">
        <v>1.1050000000000001E-2</v>
      </c>
      <c r="CC10">
        <v>1.2919999999999999E-2</v>
      </c>
      <c r="CD10">
        <v>1.2030000000000001E-2</v>
      </c>
      <c r="CE10">
        <v>1.06E-2</v>
      </c>
      <c r="CF10">
        <v>1.044E-2</v>
      </c>
      <c r="CG10">
        <v>1.0290000000000001E-2</v>
      </c>
      <c r="CH10">
        <v>1.0189999999999999E-2</v>
      </c>
      <c r="CI10">
        <v>1.022E-2</v>
      </c>
      <c r="CJ10">
        <v>1.034E-2</v>
      </c>
      <c r="CK10">
        <v>1.209E-2</v>
      </c>
      <c r="CL10">
        <v>1.0800000000000001E-2</v>
      </c>
      <c r="CM10">
        <v>1.153E-2</v>
      </c>
      <c r="CN10">
        <v>1.282E-2</v>
      </c>
      <c r="CO10">
        <v>1.1299999999999999E-2</v>
      </c>
      <c r="CP10">
        <v>1.298E-2</v>
      </c>
      <c r="CQ10">
        <v>1.0659999999999999E-2</v>
      </c>
      <c r="CR10">
        <v>1.1339999999999999E-2</v>
      </c>
      <c r="CS10">
        <v>1.23E-2</v>
      </c>
      <c r="CT10">
        <v>1.285E-2</v>
      </c>
      <c r="CU10">
        <v>1.192E-2</v>
      </c>
      <c r="CV10">
        <v>1.277E-2</v>
      </c>
      <c r="CX10">
        <v>1.6420000000000001E-2</v>
      </c>
      <c r="CY10">
        <v>1.366E-2</v>
      </c>
      <c r="CZ10">
        <v>9.9500000000000005E-3</v>
      </c>
      <c r="DA10">
        <v>1.103E-2</v>
      </c>
      <c r="DB10">
        <v>1.057E-2</v>
      </c>
      <c r="DC10">
        <v>1.047E-2</v>
      </c>
      <c r="DD10">
        <v>1.0670000000000001E-2</v>
      </c>
      <c r="DE10">
        <v>1.1270000000000001E-2</v>
      </c>
      <c r="DF10">
        <v>2.5600000000000001E-2</v>
      </c>
      <c r="DG10">
        <v>1.553E-2</v>
      </c>
      <c r="DH10">
        <v>1.8100000000000002E-2</v>
      </c>
      <c r="DI10">
        <v>1.7270000000000001E-2</v>
      </c>
      <c r="DJ10">
        <v>1.668E-2</v>
      </c>
      <c r="DK10">
        <v>1.5970000000000002E-2</v>
      </c>
      <c r="DL10">
        <v>1.542E-2</v>
      </c>
      <c r="DM10">
        <v>1.4189999999999999E-2</v>
      </c>
      <c r="DN10">
        <v>1.3729999999999999E-2</v>
      </c>
      <c r="DO10">
        <v>1.338E-2</v>
      </c>
      <c r="DP10">
        <v>1.3220000000000001E-2</v>
      </c>
      <c r="DQ10">
        <v>1.3050000000000001E-2</v>
      </c>
      <c r="DR10">
        <v>1.5890000000000001E-2</v>
      </c>
      <c r="DS10">
        <v>1.5299999999999999E-2</v>
      </c>
      <c r="DT10">
        <v>1.507E-2</v>
      </c>
      <c r="DU10">
        <v>1.481E-2</v>
      </c>
      <c r="DV10">
        <v>1.472E-2</v>
      </c>
      <c r="DW10">
        <v>1.6670000000000001E-2</v>
      </c>
      <c r="DX10">
        <v>1.6330000000000001E-2</v>
      </c>
      <c r="DY10">
        <v>1.609E-2</v>
      </c>
      <c r="DZ10">
        <v>1.602E-2</v>
      </c>
      <c r="EA10">
        <v>1.4489999999999999E-2</v>
      </c>
      <c r="EB10">
        <v>1.4370000000000001E-2</v>
      </c>
      <c r="EC10">
        <v>1.162E-2</v>
      </c>
      <c r="ED10">
        <v>3.261E-2</v>
      </c>
      <c r="EG10">
        <v>2.9270000000000001E-2</v>
      </c>
      <c r="EH10">
        <v>2.945E-2</v>
      </c>
      <c r="EI10">
        <v>1.14E-2</v>
      </c>
      <c r="EJ10">
        <v>1.059E-2</v>
      </c>
      <c r="EK10">
        <v>1.086E-2</v>
      </c>
      <c r="EL10">
        <v>1.209E-2</v>
      </c>
      <c r="EM10">
        <v>1.482E-2</v>
      </c>
      <c r="EO10">
        <v>1.704E-2</v>
      </c>
      <c r="EP10">
        <v>1.542E-2</v>
      </c>
      <c r="EQ10">
        <v>1.585E-2</v>
      </c>
      <c r="ER10">
        <v>2.904E-2</v>
      </c>
      <c r="ES10">
        <v>2.7900000000000001E-2</v>
      </c>
      <c r="ET10">
        <v>2.733E-2</v>
      </c>
      <c r="EU10">
        <v>2.3130000000000001E-2</v>
      </c>
      <c r="EW10">
        <v>1.8519999999999998E-2</v>
      </c>
      <c r="EY10">
        <v>9.7099999999999999E-3</v>
      </c>
      <c r="EZ10">
        <v>9.8899999999999995E-3</v>
      </c>
      <c r="FB10">
        <v>1.8319999999999999E-2</v>
      </c>
      <c r="FC10">
        <v>2.3009999999999999E-2</v>
      </c>
      <c r="FD10">
        <v>1.575E-2</v>
      </c>
      <c r="FF10">
        <v>1.529E-2</v>
      </c>
      <c r="FG10">
        <v>1.078E-2</v>
      </c>
      <c r="FH10">
        <v>1.524E-2</v>
      </c>
      <c r="FI10">
        <v>1.196E-2</v>
      </c>
      <c r="FJ10">
        <v>1.0970000000000001E-2</v>
      </c>
      <c r="FK10">
        <v>1.3950000000000001E-2</v>
      </c>
      <c r="FL10">
        <v>1.422E-2</v>
      </c>
      <c r="FO10">
        <v>1.873E-2</v>
      </c>
      <c r="FP10">
        <v>1.7780000000000001E-2</v>
      </c>
      <c r="FU10">
        <v>2.496E-2</v>
      </c>
      <c r="FV10">
        <v>2.1219999999999999E-2</v>
      </c>
      <c r="FW10">
        <v>2.1309999999999999E-2</v>
      </c>
      <c r="FX10">
        <v>2.265E-2</v>
      </c>
      <c r="FY10">
        <v>2.3460000000000002E-2</v>
      </c>
      <c r="FZ10">
        <v>1.9699999999999999E-2</v>
      </c>
      <c r="GA10">
        <v>2.078E-2</v>
      </c>
      <c r="GB10">
        <v>1.7809999999999999E-2</v>
      </c>
      <c r="GC10">
        <v>1.8870000000000001E-2</v>
      </c>
      <c r="GE10">
        <v>1.804E-2</v>
      </c>
      <c r="GF10">
        <v>1.54E-2</v>
      </c>
      <c r="GG10">
        <v>1.5469999999999999E-2</v>
      </c>
      <c r="GH10">
        <v>1.5679999999999999E-2</v>
      </c>
      <c r="GI10">
        <v>1.4590000000000001E-2</v>
      </c>
      <c r="GJ10">
        <v>1.4919999999999999E-2</v>
      </c>
      <c r="GK10">
        <v>1.5299999999999999E-2</v>
      </c>
      <c r="GL10">
        <v>1.6219999999999998E-2</v>
      </c>
      <c r="GM10">
        <v>1.372E-2</v>
      </c>
      <c r="GN10">
        <v>2.6089999999999999E-2</v>
      </c>
      <c r="GO10">
        <v>1.7309999999999999E-2</v>
      </c>
      <c r="GP10">
        <v>1.949E-2</v>
      </c>
      <c r="GQ10">
        <v>2.1489999999999999E-2</v>
      </c>
      <c r="GU10">
        <v>1.8970000000000001E-2</v>
      </c>
      <c r="GV10">
        <v>1.5429999999999999E-2</v>
      </c>
      <c r="GW10">
        <v>1.644E-2</v>
      </c>
      <c r="GX10">
        <v>1.302E-2</v>
      </c>
      <c r="GY10">
        <v>2.9510000000000002E-2</v>
      </c>
      <c r="HB10">
        <v>1.5129999999999999E-2</v>
      </c>
      <c r="HC10">
        <v>1.464E-2</v>
      </c>
      <c r="HE10">
        <v>1.414E-2</v>
      </c>
      <c r="HF10">
        <v>1.383E-2</v>
      </c>
      <c r="HG10">
        <v>1.357E-2</v>
      </c>
      <c r="HH10">
        <v>1.359E-2</v>
      </c>
      <c r="HI10">
        <v>1.3520000000000001E-2</v>
      </c>
      <c r="HJ10">
        <v>1.26E-2</v>
      </c>
      <c r="HK10">
        <v>2.0289999999999999E-2</v>
      </c>
      <c r="HO10">
        <v>3.0130000000000001E-2</v>
      </c>
      <c r="HP10">
        <v>1.418E-2</v>
      </c>
      <c r="HQ10">
        <v>2.9569999999999999E-2</v>
      </c>
      <c r="HR10">
        <v>2.9520000000000001E-2</v>
      </c>
      <c r="HS10">
        <v>2.5440000000000001E-2</v>
      </c>
      <c r="HU10">
        <v>1.4330000000000001E-2</v>
      </c>
      <c r="HY10">
        <v>3.551E-2</v>
      </c>
      <c r="HZ10">
        <v>1.4579999999999999E-2</v>
      </c>
      <c r="IA10">
        <v>1.8149999999999999E-2</v>
      </c>
      <c r="IB10">
        <v>2.0719999999999999E-2</v>
      </c>
      <c r="IC10">
        <v>1.41E-2</v>
      </c>
      <c r="ID10">
        <v>2.0420000000000001E-2</v>
      </c>
      <c r="IE10">
        <v>1.7860000000000001E-2</v>
      </c>
      <c r="IF10">
        <v>1.6969999999999999E-2</v>
      </c>
      <c r="IG10">
        <v>1.7229999999999999E-2</v>
      </c>
      <c r="IH10">
        <v>2.2599999999999999E-2</v>
      </c>
      <c r="II10">
        <v>1.5769999999999999E-2</v>
      </c>
      <c r="IJ10">
        <v>1.302E-2</v>
      </c>
      <c r="IK10">
        <v>1.3220000000000001E-2</v>
      </c>
      <c r="IL10">
        <v>1.4930000000000001E-2</v>
      </c>
      <c r="IM10">
        <v>1.6799999999999999E-2</v>
      </c>
      <c r="IN10">
        <v>1.8530000000000001E-2</v>
      </c>
      <c r="IO10">
        <v>2.0449999999999999E-2</v>
      </c>
      <c r="IP10">
        <v>3.193E-2</v>
      </c>
      <c r="IS10">
        <v>8.9200000000000008E-3</v>
      </c>
      <c r="IT10">
        <v>1.678E-2</v>
      </c>
      <c r="IU10">
        <v>1.7579999999999998E-2</v>
      </c>
      <c r="IV10">
        <v>1.0800000000000001E-2</v>
      </c>
      <c r="IW10">
        <v>1.422E-2</v>
      </c>
      <c r="IX10">
        <v>8.5400000000000007E-3</v>
      </c>
      <c r="IY10">
        <v>1.023E-2</v>
      </c>
      <c r="IZ10">
        <v>8.3300000000000006E-3</v>
      </c>
      <c r="JA10">
        <v>9.5899999999999996E-3</v>
      </c>
      <c r="JB10">
        <v>9.9699999999999997E-3</v>
      </c>
      <c r="JC10">
        <v>1.1339999999999999E-2</v>
      </c>
      <c r="JD10">
        <v>1.3390000000000001E-2</v>
      </c>
      <c r="JE10">
        <v>9.0299999999999998E-3</v>
      </c>
      <c r="JF10">
        <v>1.17E-2</v>
      </c>
      <c r="JG10">
        <v>1.3480000000000001E-2</v>
      </c>
      <c r="JM10">
        <v>2.443E-2</v>
      </c>
      <c r="JO10">
        <v>4.8719999999999999E-2</v>
      </c>
      <c r="JQ10">
        <v>1.2630000000000001E-2</v>
      </c>
      <c r="JR10">
        <v>1.2500000000000001E-2</v>
      </c>
      <c r="JS10">
        <v>1.2460000000000001E-2</v>
      </c>
      <c r="JT10">
        <v>1.3140000000000001E-2</v>
      </c>
      <c r="JU10">
        <v>1.3509999999999999E-2</v>
      </c>
      <c r="JV10">
        <v>2.4639999999999999E-2</v>
      </c>
      <c r="JW10">
        <v>1.7840000000000002E-2</v>
      </c>
      <c r="JX10">
        <v>2.5250000000000002E-2</v>
      </c>
      <c r="JY10">
        <v>1.6539999999999999E-2</v>
      </c>
      <c r="JZ10">
        <v>2.0480000000000002E-2</v>
      </c>
      <c r="KA10">
        <v>2.5100000000000001E-2</v>
      </c>
      <c r="KB10">
        <v>1.209E-2</v>
      </c>
      <c r="KC10">
        <v>1.2749999999999999E-2</v>
      </c>
      <c r="KD10">
        <v>1.414E-2</v>
      </c>
      <c r="KE10">
        <v>1.5869999999999999E-2</v>
      </c>
      <c r="KF10">
        <v>1.35E-2</v>
      </c>
      <c r="KG10">
        <v>1.391E-2</v>
      </c>
      <c r="KH10">
        <v>1.8409999999999999E-2</v>
      </c>
      <c r="KI10">
        <v>2.1399999999999999E-2</v>
      </c>
      <c r="KJ10">
        <v>2.1989999999999999E-2</v>
      </c>
      <c r="KK10">
        <v>2.1360000000000001E-2</v>
      </c>
      <c r="KL10">
        <v>2.247E-2</v>
      </c>
      <c r="KM10">
        <v>2.0639999999999999E-2</v>
      </c>
      <c r="KN10">
        <v>9.7099999999999999E-3</v>
      </c>
      <c r="KO10">
        <v>1.094E-2</v>
      </c>
      <c r="KP10">
        <v>1.7440000000000001E-2</v>
      </c>
      <c r="KQ10">
        <v>1.8579999999999999E-2</v>
      </c>
      <c r="KR10">
        <v>2.6509999999999999E-2</v>
      </c>
      <c r="KU10">
        <v>1.1990000000000001E-2</v>
      </c>
      <c r="KV10">
        <v>1.0279999999999999E-2</v>
      </c>
      <c r="KW10">
        <v>1.0120000000000001E-2</v>
      </c>
      <c r="KX10">
        <v>2.3789999999999999E-2</v>
      </c>
      <c r="KY10">
        <v>9.9900000000000006E-3</v>
      </c>
      <c r="KZ10">
        <v>1.039E-2</v>
      </c>
      <c r="LA10">
        <v>1.9E-2</v>
      </c>
      <c r="LB10">
        <v>1.7979999999999999E-2</v>
      </c>
      <c r="LC10">
        <v>1.7590000000000001E-2</v>
      </c>
      <c r="LD10">
        <v>1.7590000000000001E-2</v>
      </c>
      <c r="LG10">
        <v>4.1140000000000003E-2</v>
      </c>
      <c r="LI10">
        <v>1.9640000000000001E-2</v>
      </c>
      <c r="LJ10">
        <v>1.8450000000000001E-2</v>
      </c>
      <c r="LK10">
        <v>1.873E-2</v>
      </c>
      <c r="LL10">
        <v>3.356E-2</v>
      </c>
      <c r="LM10">
        <v>1.6459999999999999E-2</v>
      </c>
      <c r="LP10">
        <v>1.9470000000000001E-2</v>
      </c>
      <c r="LS10">
        <v>2.1680000000000001E-2</v>
      </c>
      <c r="LU10">
        <v>4.2229999999999997E-2</v>
      </c>
      <c r="LV10">
        <v>3.7879999999999997E-2</v>
      </c>
      <c r="LW10">
        <v>1.145E-2</v>
      </c>
      <c r="LX10">
        <v>1.157E-2</v>
      </c>
      <c r="LZ10">
        <v>3.3169999999999998E-2</v>
      </c>
      <c r="MB10">
        <v>9.2899999999999996E-3</v>
      </c>
      <c r="MC10">
        <v>1.61E-2</v>
      </c>
      <c r="MD10">
        <v>1.7639999999999999E-2</v>
      </c>
      <c r="ME10">
        <v>7.1760000000000004E-2</v>
      </c>
      <c r="MG10">
        <v>0.10569000000000001</v>
      </c>
      <c r="MH10">
        <v>3.3399999999999999E-2</v>
      </c>
      <c r="MI10">
        <v>3.1640000000000001E-2</v>
      </c>
      <c r="MM10">
        <v>2.4369999999999999E-2</v>
      </c>
      <c r="MN10">
        <v>1.0200000000000001E-2</v>
      </c>
      <c r="MO10">
        <v>1.208E-2</v>
      </c>
      <c r="MP10">
        <v>1.4160000000000001E-2</v>
      </c>
      <c r="MQ10">
        <v>1.3089999999999999E-2</v>
      </c>
      <c r="MS10">
        <v>2.6020000000000001E-2</v>
      </c>
      <c r="MT10">
        <v>1.8919999999999999E-2</v>
      </c>
      <c r="MU10">
        <v>1.0659999999999999E-2</v>
      </c>
      <c r="MV10">
        <v>1.3509999999999999E-2</v>
      </c>
      <c r="NA10">
        <v>1.447E-2</v>
      </c>
      <c r="NB10">
        <v>1.6629999999999999E-2</v>
      </c>
      <c r="NC10">
        <v>1.6840000000000001E-2</v>
      </c>
      <c r="ND10">
        <v>1.917E-2</v>
      </c>
      <c r="NE10">
        <v>2.7400000000000001E-2</v>
      </c>
      <c r="NF10">
        <v>1.8669999999999999E-2</v>
      </c>
      <c r="NG10">
        <v>1.0970000000000001E-2</v>
      </c>
      <c r="NH10">
        <v>8.5100000000000002E-3</v>
      </c>
      <c r="NI10">
        <v>9.8600000000000007E-3</v>
      </c>
      <c r="NJ10">
        <v>1.111E-2</v>
      </c>
      <c r="NK10">
        <v>9.8300000000000002E-3</v>
      </c>
      <c r="NL10">
        <v>1.044E-2</v>
      </c>
      <c r="NM10">
        <v>1.1270000000000001E-2</v>
      </c>
      <c r="NN10">
        <v>1.204E-2</v>
      </c>
      <c r="NO10">
        <v>1.29E-2</v>
      </c>
      <c r="NP10">
        <v>9.7000000000000003E-3</v>
      </c>
      <c r="NQ10">
        <v>1.035E-2</v>
      </c>
      <c r="NR10">
        <v>1.065E-2</v>
      </c>
      <c r="NS10">
        <v>1.155E-2</v>
      </c>
      <c r="NT10">
        <v>1.32E-2</v>
      </c>
      <c r="NU10">
        <v>1.043E-2</v>
      </c>
      <c r="NV10">
        <v>1.082E-2</v>
      </c>
      <c r="NX10">
        <v>1.187E-2</v>
      </c>
      <c r="NY10">
        <v>1.188E-2</v>
      </c>
      <c r="NZ10">
        <v>1.282E-2</v>
      </c>
      <c r="OA10">
        <v>1.354E-2</v>
      </c>
      <c r="OB10">
        <v>1.093E-2</v>
      </c>
      <c r="OC10">
        <v>1.1180000000000001E-2</v>
      </c>
      <c r="OD10">
        <v>1.1820000000000001E-2</v>
      </c>
      <c r="OE10">
        <v>1.1820000000000001E-2</v>
      </c>
      <c r="OF10">
        <v>2.0709999999999999E-2</v>
      </c>
      <c r="OG10">
        <v>1.244E-2</v>
      </c>
      <c r="OH10">
        <v>1.312E-2</v>
      </c>
      <c r="OI10">
        <v>1.3990000000000001E-2</v>
      </c>
      <c r="OJ10">
        <v>1.478E-2</v>
      </c>
      <c r="OK10">
        <v>1.553E-2</v>
      </c>
      <c r="OL10">
        <v>1.653E-2</v>
      </c>
      <c r="ON10">
        <v>1.166E-2</v>
      </c>
      <c r="OO10">
        <v>1.2659999999999999E-2</v>
      </c>
      <c r="OP10">
        <v>1.3990000000000001E-2</v>
      </c>
      <c r="OQ10">
        <v>1.478E-2</v>
      </c>
      <c r="OR10">
        <v>1.5800000000000002E-2</v>
      </c>
      <c r="OT10">
        <v>1.2120000000000001E-2</v>
      </c>
      <c r="OU10">
        <v>1.208E-2</v>
      </c>
      <c r="OV10">
        <v>7.8499999999999993E-3</v>
      </c>
      <c r="OW10">
        <v>7.3600000000000002E-3</v>
      </c>
      <c r="OX10">
        <v>7.1799999999999998E-3</v>
      </c>
      <c r="OY10">
        <v>7.2199999999999999E-3</v>
      </c>
      <c r="OZ10">
        <v>7.45E-3</v>
      </c>
      <c r="PA10">
        <v>2.07E-2</v>
      </c>
      <c r="PB10">
        <v>2.1700000000000001E-2</v>
      </c>
      <c r="PC10">
        <v>1.443E-2</v>
      </c>
      <c r="PD10">
        <v>1.321E-2</v>
      </c>
      <c r="PE10">
        <v>1.196E-2</v>
      </c>
      <c r="PF10">
        <v>1.193E-2</v>
      </c>
      <c r="PG10">
        <v>1.1429999999999999E-2</v>
      </c>
      <c r="PH10">
        <v>1.021E-2</v>
      </c>
      <c r="PI10">
        <v>1.626E-2</v>
      </c>
      <c r="PJ10">
        <v>1.498E-2</v>
      </c>
      <c r="PK10">
        <v>1.225E-2</v>
      </c>
      <c r="PL10">
        <v>1.189E-2</v>
      </c>
      <c r="PM10">
        <v>9.9900000000000006E-3</v>
      </c>
      <c r="PN10">
        <v>1.1259999999999999E-2</v>
      </c>
      <c r="PO10">
        <v>1.685E-2</v>
      </c>
      <c r="PP10">
        <v>1.8620000000000001E-2</v>
      </c>
      <c r="PQ10">
        <v>1.3469999999999999E-2</v>
      </c>
      <c r="PR10">
        <v>1.0710000000000001E-2</v>
      </c>
      <c r="PS10">
        <v>1.7840000000000002E-2</v>
      </c>
      <c r="PT10">
        <v>1.651E-2</v>
      </c>
      <c r="PU10">
        <v>8.7200000000000003E-3</v>
      </c>
      <c r="PV10">
        <v>1.26E-2</v>
      </c>
      <c r="PW10">
        <v>1.478E-2</v>
      </c>
      <c r="PX10">
        <v>1.7250000000000001E-2</v>
      </c>
      <c r="PY10">
        <v>2.0279999999999999E-2</v>
      </c>
      <c r="QA10">
        <v>1.039E-2</v>
      </c>
      <c r="QB10">
        <v>1.039E-2</v>
      </c>
      <c r="QC10">
        <v>1.146E-2</v>
      </c>
      <c r="QD10">
        <v>9.3600000000000003E-3</v>
      </c>
      <c r="QE10">
        <v>9.3500000000000007E-3</v>
      </c>
      <c r="QF10">
        <v>9.7699999999999992E-3</v>
      </c>
      <c r="QG10">
        <v>1.008E-2</v>
      </c>
      <c r="QH10">
        <v>9.3799999999999994E-3</v>
      </c>
      <c r="QI10">
        <v>1.03E-2</v>
      </c>
      <c r="QJ10">
        <v>1.0970000000000001E-2</v>
      </c>
      <c r="QK10">
        <v>9.7300000000000008E-3</v>
      </c>
      <c r="QL10">
        <v>9.2300000000000004E-3</v>
      </c>
      <c r="QM10">
        <v>1.078E-2</v>
      </c>
      <c r="QN10">
        <v>1.6129999999999999E-2</v>
      </c>
      <c r="QO10">
        <v>1.2880000000000001E-2</v>
      </c>
      <c r="QP10">
        <v>1.2699999999999999E-2</v>
      </c>
      <c r="QQ10">
        <v>1.265E-2</v>
      </c>
      <c r="QR10">
        <v>1.32E-2</v>
      </c>
      <c r="QS10">
        <v>1.4279999999999999E-2</v>
      </c>
      <c r="QT10">
        <v>1.4409999999999999E-2</v>
      </c>
      <c r="QU10">
        <v>1.511E-2</v>
      </c>
      <c r="QV10">
        <v>1.5959999999999998E-2</v>
      </c>
      <c r="QW10">
        <v>1.477E-2</v>
      </c>
      <c r="QX10">
        <v>1.7569999999999999E-2</v>
      </c>
      <c r="QY10">
        <v>1.321E-2</v>
      </c>
      <c r="RA10">
        <v>1.8870000000000001E-2</v>
      </c>
      <c r="RB10">
        <v>1.9460000000000002E-2</v>
      </c>
      <c r="RE10">
        <v>3.3259999999999998E-2</v>
      </c>
      <c r="RF10">
        <v>1.915E-2</v>
      </c>
      <c r="RG10">
        <v>1.358E-2</v>
      </c>
      <c r="RH10">
        <v>1.2149999999999999E-2</v>
      </c>
      <c r="RK10">
        <v>2.4389999999999998E-2</v>
      </c>
      <c r="RL10">
        <v>2.061E-2</v>
      </c>
      <c r="RM10">
        <v>1.162E-2</v>
      </c>
      <c r="RO10">
        <v>1.116E-2</v>
      </c>
      <c r="RQ10">
        <v>1.11E-2</v>
      </c>
      <c r="RR10">
        <v>1.073E-2</v>
      </c>
      <c r="RS10">
        <v>1.094E-2</v>
      </c>
      <c r="RT10">
        <v>9.5700000000000004E-3</v>
      </c>
      <c r="RU10">
        <v>1.044E-2</v>
      </c>
      <c r="RW10">
        <v>1.2330000000000001E-2</v>
      </c>
      <c r="RX10">
        <v>1.2579999999999999E-2</v>
      </c>
      <c r="RY10">
        <v>8.2900000000000005E-3</v>
      </c>
      <c r="RZ10">
        <v>2.0379999999999999E-2</v>
      </c>
      <c r="SA10">
        <v>3.5299999999999998E-2</v>
      </c>
      <c r="SB10">
        <v>3.4450000000000001E-2</v>
      </c>
      <c r="SD10">
        <v>1.389E-2</v>
      </c>
      <c r="SE10">
        <v>1.201E-2</v>
      </c>
      <c r="SF10">
        <v>1.3679999999999999E-2</v>
      </c>
      <c r="SG10">
        <v>1.5939999999999999E-2</v>
      </c>
      <c r="SH10">
        <v>1.8939999999999999E-2</v>
      </c>
      <c r="SI10">
        <v>1.303E-2</v>
      </c>
      <c r="SJ10">
        <v>1.1270000000000001E-2</v>
      </c>
      <c r="SK10">
        <v>1.227E-2</v>
      </c>
      <c r="SL10">
        <v>1.056E-2</v>
      </c>
      <c r="SM10">
        <v>1.1769999999999999E-2</v>
      </c>
      <c r="SN10">
        <v>1.0710000000000001E-2</v>
      </c>
      <c r="SO10">
        <v>1.068E-2</v>
      </c>
      <c r="SP10">
        <v>1.0670000000000001E-2</v>
      </c>
      <c r="SQ10">
        <v>1.098E-2</v>
      </c>
      <c r="SR10">
        <v>9.8399999999999998E-3</v>
      </c>
      <c r="SS10">
        <v>1.047E-2</v>
      </c>
      <c r="ST10">
        <v>1.0120000000000001E-2</v>
      </c>
      <c r="SU10">
        <v>9.8399999999999998E-3</v>
      </c>
      <c r="SV10">
        <v>1.214E-2</v>
      </c>
      <c r="SW10">
        <v>1.0019999999999999E-2</v>
      </c>
      <c r="SX10">
        <v>1.4409999999999999E-2</v>
      </c>
      <c r="SY10">
        <v>1.0019999999999999E-2</v>
      </c>
      <c r="SZ10">
        <v>1.132E-2</v>
      </c>
      <c r="TA10">
        <v>1.3860000000000001E-2</v>
      </c>
      <c r="TB10">
        <v>8.7899999999999992E-3</v>
      </c>
      <c r="TC10">
        <v>1.081E-2</v>
      </c>
      <c r="TD10">
        <v>1.813E-2</v>
      </c>
      <c r="TE10">
        <v>1.0410000000000001E-2</v>
      </c>
      <c r="TF10">
        <v>1.346E-2</v>
      </c>
      <c r="TG10">
        <v>1.1639999999999999E-2</v>
      </c>
      <c r="TH10">
        <v>1.1010000000000001E-2</v>
      </c>
      <c r="TI10">
        <v>1.055E-2</v>
      </c>
      <c r="TJ10">
        <v>1.0189999999999999E-2</v>
      </c>
      <c r="TK10">
        <v>9.8300000000000002E-3</v>
      </c>
      <c r="TL10">
        <v>9.3100000000000006E-3</v>
      </c>
      <c r="TM10">
        <v>9.0600000000000003E-3</v>
      </c>
      <c r="TN10">
        <v>8.6999999999999994E-3</v>
      </c>
      <c r="TO10">
        <v>1.098E-2</v>
      </c>
      <c r="TP10">
        <v>1.2880000000000001E-2</v>
      </c>
      <c r="TQ10">
        <v>7.8300000000000002E-3</v>
      </c>
      <c r="TR10">
        <v>1.145E-2</v>
      </c>
      <c r="TS10">
        <v>1.494E-2</v>
      </c>
      <c r="TT10">
        <v>1.519E-2</v>
      </c>
      <c r="TU10">
        <v>1.1860000000000001E-2</v>
      </c>
      <c r="TV10">
        <v>1.512E-2</v>
      </c>
      <c r="TW10">
        <v>9.7099999999999999E-3</v>
      </c>
      <c r="TX10">
        <v>9.8799999999999999E-3</v>
      </c>
      <c r="TY10">
        <v>8.4100000000000008E-3</v>
      </c>
      <c r="TZ10">
        <v>9.2700000000000005E-3</v>
      </c>
      <c r="UA10">
        <v>7.8799999999999999E-3</v>
      </c>
      <c r="UB10">
        <v>1.0240000000000001E-2</v>
      </c>
      <c r="UC10">
        <v>9.8600000000000007E-3</v>
      </c>
      <c r="UD10">
        <v>1.0019999999999999E-2</v>
      </c>
      <c r="UE10">
        <v>1.04E-2</v>
      </c>
      <c r="UF10">
        <v>1.3440000000000001E-2</v>
      </c>
      <c r="UG10">
        <v>1.214E-2</v>
      </c>
      <c r="UH10">
        <v>9.7800000000000005E-3</v>
      </c>
      <c r="UI10">
        <v>1.1440000000000001E-2</v>
      </c>
      <c r="UJ10">
        <v>1.069E-2</v>
      </c>
      <c r="UK10">
        <v>8.4200000000000004E-3</v>
      </c>
      <c r="UL10">
        <v>1.0359999999999999E-2</v>
      </c>
      <c r="UM10">
        <v>1.0880000000000001E-2</v>
      </c>
      <c r="UN10">
        <v>1.031E-2</v>
      </c>
      <c r="UO10">
        <v>1.129E-2</v>
      </c>
      <c r="UP10">
        <v>1.223E-2</v>
      </c>
      <c r="UQ10">
        <v>1.0330000000000001E-2</v>
      </c>
      <c r="UR10">
        <v>1.0370000000000001E-2</v>
      </c>
      <c r="US10">
        <v>9.6500000000000006E-3</v>
      </c>
      <c r="UU10">
        <v>1.125E-2</v>
      </c>
      <c r="UV10">
        <v>1.005E-2</v>
      </c>
      <c r="UW10">
        <v>1.601E-2</v>
      </c>
      <c r="UX10">
        <v>1.4069999999999999E-2</v>
      </c>
      <c r="UY10">
        <v>1.473E-2</v>
      </c>
      <c r="VA10">
        <v>1.507E-2</v>
      </c>
      <c r="VB10">
        <v>1.3849999999999999E-2</v>
      </c>
      <c r="VC10">
        <v>1.8089999999999998E-2</v>
      </c>
      <c r="VD10">
        <v>2.777E-2</v>
      </c>
      <c r="VG10">
        <v>6.411E-2</v>
      </c>
      <c r="VH10">
        <v>1.5049999999999999E-2</v>
      </c>
      <c r="VI10">
        <v>1.839E-2</v>
      </c>
    </row>
    <row r="11" spans="1:581" x14ac:dyDescent="0.25">
      <c r="A11">
        <v>200000</v>
      </c>
      <c r="B11">
        <v>7.7200000000000003E-3</v>
      </c>
      <c r="C11">
        <v>7.5500000000000003E-3</v>
      </c>
      <c r="D11">
        <v>7.5199999999999998E-3</v>
      </c>
      <c r="E11">
        <v>7.0899999999999999E-3</v>
      </c>
      <c r="F11">
        <v>7.0499999999999998E-3</v>
      </c>
      <c r="G11">
        <v>7.6899999999999998E-3</v>
      </c>
      <c r="H11">
        <v>7.3400000000000002E-3</v>
      </c>
      <c r="I11">
        <v>7.3400000000000002E-3</v>
      </c>
      <c r="J11">
        <v>7.2300000000000003E-3</v>
      </c>
      <c r="K11">
        <v>7.6E-3</v>
      </c>
      <c r="L11">
        <v>7.5799999999999999E-3</v>
      </c>
      <c r="M11">
        <v>7.5500000000000003E-3</v>
      </c>
      <c r="N11">
        <v>7.5100000000000002E-3</v>
      </c>
      <c r="O11">
        <v>8.9599999999999992E-3</v>
      </c>
      <c r="P11">
        <v>8.6700000000000006E-3</v>
      </c>
      <c r="Q11">
        <v>8.3199999999999993E-3</v>
      </c>
      <c r="R11">
        <v>8.2400000000000008E-3</v>
      </c>
      <c r="S11">
        <v>7.5700000000000003E-3</v>
      </c>
      <c r="T11">
        <v>7.2100000000000003E-3</v>
      </c>
      <c r="U11">
        <v>7.45E-3</v>
      </c>
      <c r="V11">
        <v>7.4599999999999996E-3</v>
      </c>
      <c r="W11">
        <v>6.9100000000000003E-3</v>
      </c>
      <c r="X11">
        <v>7.1000000000000004E-3</v>
      </c>
      <c r="Y11">
        <v>6.6699999999999997E-3</v>
      </c>
      <c r="Z11">
        <v>6.77E-3</v>
      </c>
      <c r="AC11">
        <v>1.8339999999999999E-2</v>
      </c>
      <c r="AD11">
        <v>1.1379999999999999E-2</v>
      </c>
      <c r="AG11">
        <v>1.992E-2</v>
      </c>
      <c r="AI11">
        <v>2.3970000000000002E-2</v>
      </c>
      <c r="AK11">
        <v>1.7659999999999999E-2</v>
      </c>
      <c r="AL11">
        <v>1.6219999999999998E-2</v>
      </c>
      <c r="AM11">
        <v>2.3179999999999999E-2</v>
      </c>
      <c r="AO11">
        <v>4.8800000000000003E-2</v>
      </c>
      <c r="AP11">
        <v>2.0820000000000002E-2</v>
      </c>
      <c r="AV11">
        <v>2.5700000000000001E-2</v>
      </c>
      <c r="AW11">
        <v>2.2290000000000001E-2</v>
      </c>
      <c r="AX11">
        <v>1.9789999999999999E-2</v>
      </c>
      <c r="AY11">
        <v>2.3900000000000001E-2</v>
      </c>
      <c r="AZ11">
        <v>2.2700000000000001E-2</v>
      </c>
      <c r="BA11">
        <v>2.5100000000000001E-2</v>
      </c>
      <c r="BB11">
        <v>1.406E-2</v>
      </c>
      <c r="BC11">
        <v>1.7139999999999999E-2</v>
      </c>
      <c r="BD11">
        <v>1.8700000000000001E-2</v>
      </c>
      <c r="BE11">
        <v>2.8979999999999999E-2</v>
      </c>
      <c r="BF11">
        <v>2.2800000000000001E-2</v>
      </c>
      <c r="BG11">
        <v>1.8679999999999999E-2</v>
      </c>
      <c r="BH11">
        <v>2.2159999999999999E-2</v>
      </c>
      <c r="BI11">
        <v>2.5590000000000002E-2</v>
      </c>
      <c r="BJ11">
        <v>2.1000000000000001E-2</v>
      </c>
      <c r="BN11">
        <v>1.051E-2</v>
      </c>
      <c r="BO11">
        <v>1.8489999999999999E-2</v>
      </c>
      <c r="BP11">
        <v>1.243E-2</v>
      </c>
      <c r="BQ11">
        <v>0.01</v>
      </c>
      <c r="BR11">
        <v>1.1039999999999999E-2</v>
      </c>
      <c r="BS11">
        <v>1.37E-2</v>
      </c>
      <c r="BU11">
        <v>1.5740000000000001E-2</v>
      </c>
      <c r="BV11">
        <v>1.669E-2</v>
      </c>
      <c r="BW11">
        <v>1.5730000000000001E-2</v>
      </c>
      <c r="BX11">
        <v>1.499E-2</v>
      </c>
      <c r="BY11">
        <v>1.61E-2</v>
      </c>
      <c r="BZ11">
        <v>1.417E-2</v>
      </c>
      <c r="CA11">
        <v>1.7409999999999998E-2</v>
      </c>
      <c r="CB11">
        <v>1.0460000000000001E-2</v>
      </c>
      <c r="CC11">
        <v>1.217E-2</v>
      </c>
      <c r="CD11">
        <v>1.12E-2</v>
      </c>
      <c r="CE11">
        <v>9.8300000000000002E-3</v>
      </c>
      <c r="CF11">
        <v>9.6900000000000007E-3</v>
      </c>
      <c r="CG11">
        <v>9.5399999999999999E-3</v>
      </c>
      <c r="CH11">
        <v>9.4599999999999997E-3</v>
      </c>
      <c r="CI11">
        <v>9.5099999999999994E-3</v>
      </c>
      <c r="CJ11">
        <v>9.6600000000000002E-3</v>
      </c>
      <c r="CK11">
        <v>1.1390000000000001E-2</v>
      </c>
      <c r="CL11">
        <v>1.0019999999999999E-2</v>
      </c>
      <c r="CM11">
        <v>1.072E-2</v>
      </c>
      <c r="CN11">
        <v>1.1849999999999999E-2</v>
      </c>
      <c r="CO11">
        <v>1.051E-2</v>
      </c>
      <c r="CP11">
        <v>1.209E-2</v>
      </c>
      <c r="CQ11">
        <v>1.001E-2</v>
      </c>
      <c r="CR11">
        <v>1.06E-2</v>
      </c>
      <c r="CS11">
        <v>1.157E-2</v>
      </c>
      <c r="CT11">
        <v>1.21E-2</v>
      </c>
      <c r="CU11">
        <v>1.0749999999999999E-2</v>
      </c>
      <c r="CV11">
        <v>1.1440000000000001E-2</v>
      </c>
      <c r="CW11">
        <v>1.11E-2</v>
      </c>
      <c r="CY11">
        <v>1.261E-2</v>
      </c>
      <c r="CZ11">
        <v>9.3799999999999994E-3</v>
      </c>
      <c r="DA11">
        <v>9.9399999999999992E-3</v>
      </c>
      <c r="DB11">
        <v>9.5499999999999995E-3</v>
      </c>
      <c r="DC11">
        <v>9.4999999999999998E-3</v>
      </c>
      <c r="DD11">
        <v>9.7400000000000004E-3</v>
      </c>
      <c r="DE11">
        <v>1.0319999999999999E-2</v>
      </c>
      <c r="DF11">
        <v>2.3439999999999999E-2</v>
      </c>
      <c r="DG11">
        <v>1.3979999999999999E-2</v>
      </c>
      <c r="DH11">
        <v>1.821E-2</v>
      </c>
      <c r="DI11">
        <v>1.702E-2</v>
      </c>
      <c r="DJ11">
        <v>1.6389999999999998E-2</v>
      </c>
      <c r="DK11">
        <v>1.5869999999999999E-2</v>
      </c>
      <c r="DL11">
        <v>1.5270000000000001E-2</v>
      </c>
      <c r="DM11">
        <v>1.358E-2</v>
      </c>
      <c r="DN11">
        <v>1.3089999999999999E-2</v>
      </c>
      <c r="DO11">
        <v>1.274E-2</v>
      </c>
      <c r="DP11">
        <v>1.2540000000000001E-2</v>
      </c>
      <c r="DQ11">
        <v>1.235E-2</v>
      </c>
      <c r="DR11">
        <v>1.52E-2</v>
      </c>
      <c r="DS11">
        <v>1.4590000000000001E-2</v>
      </c>
      <c r="DT11">
        <v>1.436E-2</v>
      </c>
      <c r="DU11">
        <v>1.406E-2</v>
      </c>
      <c r="DV11">
        <v>1.4E-2</v>
      </c>
      <c r="DW11">
        <v>1.5910000000000001E-2</v>
      </c>
      <c r="DX11">
        <v>1.553E-2</v>
      </c>
      <c r="DY11">
        <v>1.5259999999999999E-2</v>
      </c>
      <c r="DZ11">
        <v>1.521E-2</v>
      </c>
      <c r="EA11">
        <v>1.3390000000000001E-2</v>
      </c>
      <c r="EB11">
        <v>1.3310000000000001E-2</v>
      </c>
      <c r="EC11">
        <v>1.0959999999999999E-2</v>
      </c>
      <c r="ED11">
        <v>2.9329999999999998E-2</v>
      </c>
      <c r="EH11">
        <v>2.911E-2</v>
      </c>
      <c r="EI11">
        <v>1.051E-2</v>
      </c>
      <c r="EJ11">
        <v>9.8300000000000002E-3</v>
      </c>
      <c r="EK11">
        <v>1.0070000000000001E-2</v>
      </c>
      <c r="EL11">
        <v>1.125E-2</v>
      </c>
      <c r="EM11">
        <v>1.3390000000000001E-2</v>
      </c>
      <c r="EN11">
        <v>1.421E-2</v>
      </c>
      <c r="EO11">
        <v>1.523E-2</v>
      </c>
      <c r="EP11">
        <v>1.4109999999999999E-2</v>
      </c>
      <c r="EQ11">
        <v>1.447E-2</v>
      </c>
      <c r="ER11">
        <v>2.6669999999999999E-2</v>
      </c>
      <c r="ES11">
        <v>2.5420000000000002E-2</v>
      </c>
      <c r="ET11">
        <v>2.5180000000000001E-2</v>
      </c>
      <c r="EU11">
        <v>2.1069999999999998E-2</v>
      </c>
      <c r="EW11">
        <v>1.7129999999999999E-2</v>
      </c>
      <c r="EY11">
        <v>9.2599999999999991E-3</v>
      </c>
      <c r="EZ11">
        <v>9.4400000000000005E-3</v>
      </c>
      <c r="FA11">
        <v>1.763E-2</v>
      </c>
      <c r="FB11">
        <v>1.694E-2</v>
      </c>
      <c r="FD11">
        <v>1.44E-2</v>
      </c>
      <c r="FF11">
        <v>1.37E-2</v>
      </c>
      <c r="FG11">
        <v>1.068E-2</v>
      </c>
      <c r="FH11">
        <v>1.457E-2</v>
      </c>
      <c r="FI11">
        <v>1.1650000000000001E-2</v>
      </c>
      <c r="FJ11">
        <v>1.0710000000000001E-2</v>
      </c>
      <c r="FK11">
        <v>1.316E-2</v>
      </c>
      <c r="FL11">
        <v>1.294E-2</v>
      </c>
      <c r="FN11">
        <v>2.2509999999999999E-2</v>
      </c>
      <c r="FO11">
        <v>1.687E-2</v>
      </c>
      <c r="FP11">
        <v>1.5890000000000001E-2</v>
      </c>
      <c r="FS11">
        <v>2.2620000000000001E-2</v>
      </c>
      <c r="FT11">
        <v>2.384E-2</v>
      </c>
      <c r="FU11">
        <v>2.2599999999999999E-2</v>
      </c>
      <c r="FV11">
        <v>1.8929999999999999E-2</v>
      </c>
      <c r="FW11">
        <v>1.9349999999999999E-2</v>
      </c>
      <c r="FX11">
        <v>2.0490000000000001E-2</v>
      </c>
      <c r="FY11">
        <v>2.1309999999999999E-2</v>
      </c>
      <c r="FZ11">
        <v>1.7690000000000001E-2</v>
      </c>
      <c r="GA11">
        <v>1.8769999999999998E-2</v>
      </c>
      <c r="GB11">
        <v>1.6150000000000001E-2</v>
      </c>
      <c r="GC11">
        <v>1.7309999999999999E-2</v>
      </c>
      <c r="GE11">
        <v>1.6580000000000001E-2</v>
      </c>
      <c r="GF11">
        <v>1.4080000000000001E-2</v>
      </c>
      <c r="GG11">
        <v>1.418E-2</v>
      </c>
      <c r="GH11">
        <v>1.434E-2</v>
      </c>
      <c r="GI11">
        <v>1.37E-2</v>
      </c>
      <c r="GJ11">
        <v>1.3990000000000001E-2</v>
      </c>
      <c r="GK11">
        <v>1.436E-2</v>
      </c>
      <c r="GL11">
        <v>1.5180000000000001E-2</v>
      </c>
      <c r="GM11">
        <v>1.2869999999999999E-2</v>
      </c>
      <c r="GN11">
        <v>2.4209999999999999E-2</v>
      </c>
      <c r="GO11">
        <v>1.5740000000000001E-2</v>
      </c>
      <c r="GP11">
        <v>1.7659999999999999E-2</v>
      </c>
      <c r="GQ11">
        <v>1.9349999999999999E-2</v>
      </c>
      <c r="GR11">
        <v>1.9189999999999999E-2</v>
      </c>
      <c r="GS11">
        <v>1.729E-2</v>
      </c>
      <c r="GU11">
        <v>1.771E-2</v>
      </c>
      <c r="GV11">
        <v>1.4500000000000001E-2</v>
      </c>
      <c r="GW11">
        <v>1.502E-2</v>
      </c>
      <c r="GX11">
        <v>1.201E-2</v>
      </c>
      <c r="GY11">
        <v>2.6599999999999999E-2</v>
      </c>
      <c r="GZ11">
        <v>2.2780000000000002E-2</v>
      </c>
      <c r="HB11">
        <v>1.35E-2</v>
      </c>
      <c r="HC11">
        <v>1.401E-2</v>
      </c>
      <c r="HE11">
        <v>1.3429999999999999E-2</v>
      </c>
      <c r="HF11">
        <v>1.308E-2</v>
      </c>
      <c r="HG11">
        <v>1.285E-2</v>
      </c>
      <c r="HH11">
        <v>1.2789999999999999E-2</v>
      </c>
      <c r="HI11">
        <v>1.2749999999999999E-2</v>
      </c>
      <c r="HJ11">
        <v>1.111E-2</v>
      </c>
      <c r="HK11">
        <v>1.9390000000000001E-2</v>
      </c>
      <c r="HQ11">
        <v>2.7400000000000001E-2</v>
      </c>
      <c r="HR11">
        <v>2.5819999999999999E-2</v>
      </c>
      <c r="HS11">
        <v>2.3640000000000001E-2</v>
      </c>
      <c r="HU11">
        <v>1.2460000000000001E-2</v>
      </c>
      <c r="HW11">
        <v>1.2789999999999999E-2</v>
      </c>
      <c r="HX11">
        <v>2.4649999999999998E-2</v>
      </c>
      <c r="HY11">
        <v>3.3300000000000003E-2</v>
      </c>
      <c r="HZ11">
        <v>1.3559999999999999E-2</v>
      </c>
      <c r="IA11">
        <v>1.6760000000000001E-2</v>
      </c>
      <c r="IB11">
        <v>1.915E-2</v>
      </c>
      <c r="IC11">
        <v>1.321E-2</v>
      </c>
      <c r="ID11">
        <v>1.9290000000000002E-2</v>
      </c>
      <c r="IE11">
        <v>1.702E-2</v>
      </c>
      <c r="IF11">
        <v>1.503E-2</v>
      </c>
      <c r="IG11">
        <v>1.5440000000000001E-2</v>
      </c>
      <c r="IH11">
        <v>1.9380000000000001E-2</v>
      </c>
      <c r="II11">
        <v>1.4840000000000001E-2</v>
      </c>
      <c r="IJ11">
        <v>1.188E-2</v>
      </c>
      <c r="IK11">
        <v>1.2319999999999999E-2</v>
      </c>
      <c r="IL11">
        <v>1.389E-2</v>
      </c>
      <c r="IM11">
        <v>1.5650000000000001E-2</v>
      </c>
      <c r="IN11">
        <v>1.7170000000000001E-2</v>
      </c>
      <c r="IO11">
        <v>1.8939999999999999E-2</v>
      </c>
      <c r="IP11">
        <v>2.8410000000000001E-2</v>
      </c>
      <c r="IQ11">
        <v>3.4270000000000002E-2</v>
      </c>
      <c r="IS11">
        <v>8.2799999999999992E-3</v>
      </c>
      <c r="IT11">
        <v>1.5890000000000001E-2</v>
      </c>
      <c r="IU11">
        <v>1.6590000000000001E-2</v>
      </c>
      <c r="IV11">
        <v>1.0019999999999999E-2</v>
      </c>
      <c r="IW11">
        <v>1.308E-2</v>
      </c>
      <c r="IX11">
        <v>8.09E-3</v>
      </c>
      <c r="IY11">
        <v>9.3699999999999999E-3</v>
      </c>
      <c r="IZ11">
        <v>7.79E-3</v>
      </c>
      <c r="JA11">
        <v>9.2399999999999999E-3</v>
      </c>
      <c r="JB11">
        <v>9.5300000000000003E-3</v>
      </c>
      <c r="JC11">
        <v>1.082E-2</v>
      </c>
      <c r="JD11">
        <v>1.272E-2</v>
      </c>
      <c r="JE11">
        <v>8.6E-3</v>
      </c>
      <c r="JF11">
        <v>1.108E-2</v>
      </c>
      <c r="JG11">
        <v>1.299E-2</v>
      </c>
      <c r="JL11">
        <v>2.2100000000000002E-2</v>
      </c>
      <c r="JM11">
        <v>2.2179999999999998E-2</v>
      </c>
      <c r="JQ11">
        <v>1.137E-2</v>
      </c>
      <c r="JR11">
        <v>1.146E-2</v>
      </c>
      <c r="JS11">
        <v>1.1270000000000001E-2</v>
      </c>
      <c r="JT11">
        <v>1.206E-2</v>
      </c>
      <c r="JU11">
        <v>1.242E-2</v>
      </c>
      <c r="JW11">
        <v>1.5980000000000001E-2</v>
      </c>
      <c r="JY11">
        <v>1.5429999999999999E-2</v>
      </c>
      <c r="JZ11">
        <v>1.8780000000000002E-2</v>
      </c>
      <c r="KA11">
        <v>2.213E-2</v>
      </c>
      <c r="KB11">
        <v>1.11E-2</v>
      </c>
      <c r="KC11">
        <v>1.17E-2</v>
      </c>
      <c r="KD11">
        <v>1.2869999999999999E-2</v>
      </c>
      <c r="KE11">
        <v>1.438E-2</v>
      </c>
      <c r="KF11">
        <v>1.188E-2</v>
      </c>
      <c r="KG11">
        <v>1.298E-2</v>
      </c>
      <c r="KH11">
        <v>1.669E-2</v>
      </c>
      <c r="KI11">
        <v>1.95E-2</v>
      </c>
      <c r="KJ11">
        <v>1.9970000000000002E-2</v>
      </c>
      <c r="KK11">
        <v>1.9539999999999998E-2</v>
      </c>
      <c r="KL11">
        <v>2.0070000000000001E-2</v>
      </c>
      <c r="KM11">
        <v>1.8970000000000001E-2</v>
      </c>
      <c r="KN11">
        <v>9.3200000000000002E-3</v>
      </c>
      <c r="KO11">
        <v>1.0319999999999999E-2</v>
      </c>
      <c r="KP11">
        <v>1.61E-2</v>
      </c>
      <c r="KQ11">
        <v>1.7049999999999999E-2</v>
      </c>
      <c r="KR11">
        <v>2.2720000000000001E-2</v>
      </c>
      <c r="KT11">
        <v>3.4660000000000003E-2</v>
      </c>
      <c r="KU11">
        <v>1.0959999999999999E-2</v>
      </c>
      <c r="KV11">
        <v>9.4500000000000001E-3</v>
      </c>
      <c r="KW11">
        <v>9.3399999999999993E-3</v>
      </c>
      <c r="KY11">
        <v>9.2800000000000001E-3</v>
      </c>
      <c r="KZ11">
        <v>9.4199999999999996E-3</v>
      </c>
      <c r="LA11">
        <v>1.7010000000000001E-2</v>
      </c>
      <c r="LB11">
        <v>1.6289999999999999E-2</v>
      </c>
      <c r="LC11">
        <v>1.6209999999999999E-2</v>
      </c>
      <c r="LD11">
        <v>1.6209999999999999E-2</v>
      </c>
      <c r="LG11">
        <v>3.6499999999999998E-2</v>
      </c>
      <c r="LI11">
        <v>1.8239999999999999E-2</v>
      </c>
      <c r="LJ11">
        <v>1.753E-2</v>
      </c>
      <c r="LK11">
        <v>1.7559999999999999E-2</v>
      </c>
      <c r="LP11">
        <v>1.8010000000000002E-2</v>
      </c>
      <c r="LR11">
        <v>1.898E-2</v>
      </c>
      <c r="LS11">
        <v>2.0219999999999998E-2</v>
      </c>
      <c r="LT11">
        <v>1.8249999999999999E-2</v>
      </c>
      <c r="LU11">
        <v>3.9190000000000003E-2</v>
      </c>
      <c r="LV11">
        <v>3.5000000000000003E-2</v>
      </c>
      <c r="LW11">
        <v>1.043E-2</v>
      </c>
      <c r="LX11">
        <v>1.0330000000000001E-2</v>
      </c>
      <c r="MA11">
        <v>2.5360000000000001E-2</v>
      </c>
      <c r="MB11">
        <v>8.8299999999999993E-3</v>
      </c>
      <c r="MC11">
        <v>1.486E-2</v>
      </c>
      <c r="MD11">
        <v>1.6379999999999999E-2</v>
      </c>
      <c r="MF11">
        <v>3.8710000000000001E-2</v>
      </c>
      <c r="MI11">
        <v>2.7E-2</v>
      </c>
      <c r="MK11">
        <v>3.2120000000000003E-2</v>
      </c>
      <c r="MM11">
        <v>2.2939999999999999E-2</v>
      </c>
      <c r="MN11">
        <v>9.5999999999999992E-3</v>
      </c>
      <c r="MO11">
        <v>1.129E-2</v>
      </c>
      <c r="MP11">
        <v>1.298E-2</v>
      </c>
      <c r="MR11">
        <v>1.366E-2</v>
      </c>
      <c r="MT11">
        <v>1.6830000000000001E-2</v>
      </c>
      <c r="MU11">
        <v>9.7900000000000001E-3</v>
      </c>
      <c r="MV11">
        <v>1.227E-2</v>
      </c>
      <c r="MW11">
        <v>1.3559999999999999E-2</v>
      </c>
      <c r="MX11">
        <v>1.436E-2</v>
      </c>
      <c r="MY11">
        <v>1.661E-2</v>
      </c>
      <c r="NA11">
        <v>1.341E-2</v>
      </c>
      <c r="NB11">
        <v>1.5140000000000001E-2</v>
      </c>
      <c r="NC11">
        <v>1.6879999999999999E-2</v>
      </c>
      <c r="ND11">
        <v>1.6650000000000002E-2</v>
      </c>
      <c r="NE11">
        <v>2.358E-2</v>
      </c>
      <c r="NF11">
        <v>1.7340000000000001E-2</v>
      </c>
      <c r="NG11">
        <v>1.0030000000000001E-2</v>
      </c>
      <c r="NH11">
        <v>8.1200000000000005E-3</v>
      </c>
      <c r="NI11">
        <v>8.9200000000000008E-3</v>
      </c>
      <c r="NJ11">
        <v>1.014E-2</v>
      </c>
      <c r="NK11">
        <v>8.9800000000000001E-3</v>
      </c>
      <c r="NL11">
        <v>9.4699999999999993E-3</v>
      </c>
      <c r="NM11">
        <v>1.025E-2</v>
      </c>
      <c r="NN11">
        <v>1.098E-2</v>
      </c>
      <c r="NO11">
        <v>1.1730000000000001E-2</v>
      </c>
      <c r="NP11">
        <v>8.7799999999999996E-3</v>
      </c>
      <c r="NQ11">
        <v>9.4400000000000005E-3</v>
      </c>
      <c r="NR11">
        <v>9.6100000000000005E-3</v>
      </c>
      <c r="NS11">
        <v>1.047E-2</v>
      </c>
      <c r="NT11">
        <v>1.1979999999999999E-2</v>
      </c>
      <c r="NU11">
        <v>9.1900000000000003E-3</v>
      </c>
      <c r="NV11">
        <v>9.7999999999999997E-3</v>
      </c>
      <c r="NW11">
        <v>9.9699999999999997E-3</v>
      </c>
      <c r="NX11">
        <v>1.068E-2</v>
      </c>
      <c r="NZ11">
        <v>1.155E-2</v>
      </c>
      <c r="OA11">
        <v>1.217E-2</v>
      </c>
      <c r="OB11">
        <v>9.7400000000000004E-3</v>
      </c>
      <c r="OC11">
        <v>1.0109999999999999E-2</v>
      </c>
      <c r="OD11">
        <v>1.064E-2</v>
      </c>
      <c r="OE11">
        <v>1.064E-2</v>
      </c>
      <c r="OH11">
        <v>1.18E-2</v>
      </c>
      <c r="OI11">
        <v>1.251E-2</v>
      </c>
      <c r="OJ11">
        <v>1.319E-2</v>
      </c>
      <c r="OL11">
        <v>1.472E-2</v>
      </c>
      <c r="ON11">
        <v>1.034E-2</v>
      </c>
      <c r="OO11">
        <v>1.1180000000000001E-2</v>
      </c>
      <c r="OP11">
        <v>1.255E-2</v>
      </c>
      <c r="OQ11">
        <v>1.3259999999999999E-2</v>
      </c>
      <c r="OR11">
        <v>1.404E-2</v>
      </c>
      <c r="OS11">
        <v>1.668E-2</v>
      </c>
      <c r="OT11">
        <v>1.0500000000000001E-2</v>
      </c>
      <c r="OU11">
        <v>1.06E-2</v>
      </c>
      <c r="OV11">
        <v>7.3899999999999999E-3</v>
      </c>
      <c r="OW11">
        <v>6.8900000000000003E-3</v>
      </c>
      <c r="OX11">
        <v>6.7200000000000003E-3</v>
      </c>
      <c r="OY11">
        <v>6.7600000000000004E-3</v>
      </c>
      <c r="OZ11">
        <v>6.9800000000000001E-3</v>
      </c>
      <c r="PA11">
        <v>1.908E-2</v>
      </c>
      <c r="PB11">
        <v>1.9990000000000001E-2</v>
      </c>
      <c r="PC11">
        <v>1.357E-2</v>
      </c>
      <c r="PD11">
        <v>1.2149999999999999E-2</v>
      </c>
      <c r="PE11">
        <v>1.1039999999999999E-2</v>
      </c>
      <c r="PF11">
        <v>1.102E-2</v>
      </c>
      <c r="PG11">
        <v>1.098E-2</v>
      </c>
      <c r="PH11">
        <v>9.7000000000000003E-3</v>
      </c>
      <c r="PI11">
        <v>1.444E-2</v>
      </c>
      <c r="PK11">
        <v>1.108E-2</v>
      </c>
      <c r="PL11">
        <v>1.059E-2</v>
      </c>
      <c r="PM11">
        <v>9.1800000000000007E-3</v>
      </c>
      <c r="PN11">
        <v>1.061E-2</v>
      </c>
      <c r="PO11">
        <v>1.5740000000000001E-2</v>
      </c>
      <c r="PP11">
        <v>1.721E-2</v>
      </c>
      <c r="PQ11">
        <v>1.226E-2</v>
      </c>
      <c r="PR11">
        <v>9.9399999999999992E-3</v>
      </c>
      <c r="PS11">
        <v>1.592E-2</v>
      </c>
      <c r="PU11">
        <v>8.2100000000000003E-3</v>
      </c>
      <c r="PV11">
        <v>1.206E-2</v>
      </c>
      <c r="PW11">
        <v>1.4160000000000001E-2</v>
      </c>
      <c r="PX11">
        <v>1.6469999999999999E-2</v>
      </c>
      <c r="PY11">
        <v>1.9279999999999999E-2</v>
      </c>
      <c r="PZ11">
        <v>2.2409999999999999E-2</v>
      </c>
      <c r="QA11">
        <v>9.3399999999999993E-3</v>
      </c>
      <c r="QB11">
        <v>9.3299999999999998E-3</v>
      </c>
      <c r="QC11">
        <v>1.0449999999999999E-2</v>
      </c>
      <c r="QD11">
        <v>8.7100000000000007E-3</v>
      </c>
      <c r="QE11">
        <v>8.6999999999999994E-3</v>
      </c>
      <c r="QF11">
        <v>9.0900000000000009E-3</v>
      </c>
      <c r="QG11">
        <v>9.3399999999999993E-3</v>
      </c>
      <c r="QH11">
        <v>8.7399999999999995E-3</v>
      </c>
      <c r="QI11">
        <v>9.5200000000000007E-3</v>
      </c>
      <c r="QJ11">
        <v>1.0120000000000001E-2</v>
      </c>
      <c r="QK11">
        <v>9.0200000000000002E-3</v>
      </c>
      <c r="QL11">
        <v>8.5699999999999995E-3</v>
      </c>
      <c r="QM11">
        <v>9.9299999999999996E-3</v>
      </c>
      <c r="QN11">
        <v>1.499E-2</v>
      </c>
      <c r="QO11">
        <v>1.217E-2</v>
      </c>
      <c r="QP11">
        <v>1.193E-2</v>
      </c>
      <c r="QQ11">
        <v>1.1849999999999999E-2</v>
      </c>
      <c r="QR11">
        <v>1.2659999999999999E-2</v>
      </c>
      <c r="QS11">
        <v>1.346E-2</v>
      </c>
      <c r="QT11">
        <v>1.3050000000000001E-2</v>
      </c>
      <c r="QU11">
        <v>1.3639999999999999E-2</v>
      </c>
      <c r="QV11">
        <v>1.4319999999999999E-2</v>
      </c>
      <c r="QW11">
        <v>1.299E-2</v>
      </c>
      <c r="QY11">
        <v>1.217E-2</v>
      </c>
      <c r="QZ11">
        <v>1.406E-2</v>
      </c>
      <c r="RA11">
        <v>1.687E-2</v>
      </c>
      <c r="RB11">
        <v>1.839E-2</v>
      </c>
      <c r="RC11">
        <v>2.5999999999999999E-2</v>
      </c>
      <c r="RE11">
        <v>3.1579999999999997E-2</v>
      </c>
      <c r="RF11">
        <v>1.788E-2</v>
      </c>
      <c r="RG11">
        <v>1.2200000000000001E-2</v>
      </c>
      <c r="RH11">
        <v>1.091E-2</v>
      </c>
      <c r="RK11">
        <v>2.2089999999999999E-2</v>
      </c>
      <c r="RM11">
        <v>1.052E-2</v>
      </c>
      <c r="RN11">
        <v>1.021E-2</v>
      </c>
      <c r="RO11">
        <v>1.021E-2</v>
      </c>
      <c r="RP11">
        <v>9.6100000000000005E-3</v>
      </c>
      <c r="RQ11">
        <v>1.0359999999999999E-2</v>
      </c>
      <c r="RR11">
        <v>9.8200000000000006E-3</v>
      </c>
      <c r="RS11">
        <v>9.9900000000000006E-3</v>
      </c>
      <c r="RT11">
        <v>8.8999999999999999E-3</v>
      </c>
      <c r="RU11">
        <v>9.4999999999999998E-3</v>
      </c>
      <c r="RV11">
        <v>1.022E-2</v>
      </c>
      <c r="RW11">
        <v>1.128E-2</v>
      </c>
      <c r="RX11">
        <v>1.1270000000000001E-2</v>
      </c>
      <c r="RY11">
        <v>7.8399999999999997E-3</v>
      </c>
      <c r="RZ11">
        <v>1.8270000000000002E-2</v>
      </c>
      <c r="SA11">
        <v>3.2930000000000001E-2</v>
      </c>
      <c r="SB11">
        <v>3.1859999999999999E-2</v>
      </c>
      <c r="SD11">
        <v>1.2880000000000001E-2</v>
      </c>
      <c r="SE11">
        <v>1.1220000000000001E-2</v>
      </c>
      <c r="SF11">
        <v>1.2370000000000001E-2</v>
      </c>
      <c r="SG11">
        <v>1.5129999999999999E-2</v>
      </c>
      <c r="SH11">
        <v>1.8010000000000002E-2</v>
      </c>
      <c r="SI11">
        <v>1.201E-2</v>
      </c>
      <c r="SJ11">
        <v>1.027E-2</v>
      </c>
      <c r="SK11">
        <v>1.106E-2</v>
      </c>
      <c r="SL11">
        <v>9.7199999999999995E-3</v>
      </c>
      <c r="SM11">
        <v>1.0699999999999999E-2</v>
      </c>
      <c r="SP11">
        <v>9.7800000000000005E-3</v>
      </c>
      <c r="SQ11">
        <v>1.0200000000000001E-2</v>
      </c>
      <c r="SR11">
        <v>9.1299999999999992E-3</v>
      </c>
      <c r="SS11">
        <v>9.5499999999999995E-3</v>
      </c>
      <c r="ST11">
        <v>9.2800000000000001E-3</v>
      </c>
      <c r="SV11">
        <v>1.081E-2</v>
      </c>
      <c r="SW11">
        <v>9.2800000000000001E-3</v>
      </c>
      <c r="SY11">
        <v>9.1800000000000007E-3</v>
      </c>
      <c r="SZ11">
        <v>1.027E-2</v>
      </c>
      <c r="TA11">
        <v>1.2239999999999999E-2</v>
      </c>
      <c r="TB11">
        <v>8.3999999999999995E-3</v>
      </c>
      <c r="TC11">
        <v>9.5600000000000008E-3</v>
      </c>
      <c r="TD11">
        <v>1.6029999999999999E-2</v>
      </c>
      <c r="TE11">
        <v>9.7000000000000003E-3</v>
      </c>
      <c r="TF11">
        <v>1.2200000000000001E-2</v>
      </c>
      <c r="TG11">
        <v>1.0580000000000001E-2</v>
      </c>
      <c r="TH11">
        <v>1.0120000000000001E-2</v>
      </c>
      <c r="TI11">
        <v>9.7999999999999997E-3</v>
      </c>
      <c r="TJ11">
        <v>9.4900000000000002E-3</v>
      </c>
      <c r="TK11">
        <v>9.0699999999999999E-3</v>
      </c>
      <c r="TL11">
        <v>8.5000000000000006E-3</v>
      </c>
      <c r="TM11">
        <v>8.2400000000000008E-3</v>
      </c>
      <c r="TN11">
        <v>8.1600000000000006E-3</v>
      </c>
      <c r="TO11">
        <v>1.0030000000000001E-2</v>
      </c>
      <c r="TQ11">
        <v>7.3600000000000002E-3</v>
      </c>
      <c r="TR11">
        <v>1.0580000000000001E-2</v>
      </c>
      <c r="TS11">
        <v>1.3559999999999999E-2</v>
      </c>
      <c r="TT11">
        <v>1.353E-2</v>
      </c>
      <c r="TU11">
        <v>1.0919999999999999E-2</v>
      </c>
      <c r="TV11">
        <v>1.354E-2</v>
      </c>
      <c r="TW11">
        <v>8.77E-3</v>
      </c>
      <c r="TX11">
        <v>8.9200000000000008E-3</v>
      </c>
      <c r="TY11">
        <v>7.9399999999999991E-3</v>
      </c>
      <c r="TZ11">
        <v>8.5299999999999994E-3</v>
      </c>
      <c r="UA11">
        <v>7.4099999999999999E-3</v>
      </c>
      <c r="UB11">
        <v>9.2599999999999991E-3</v>
      </c>
      <c r="UC11">
        <v>8.9300000000000004E-3</v>
      </c>
      <c r="UD11">
        <v>9.0299999999999998E-3</v>
      </c>
      <c r="UE11">
        <v>9.3399999999999993E-3</v>
      </c>
      <c r="UF11">
        <v>1.2200000000000001E-2</v>
      </c>
      <c r="UG11">
        <v>1.072E-2</v>
      </c>
      <c r="UH11">
        <v>8.9700000000000005E-3</v>
      </c>
      <c r="UI11">
        <v>1.0699999999999999E-2</v>
      </c>
      <c r="UJ11">
        <v>9.7599999999999996E-3</v>
      </c>
      <c r="UK11">
        <v>7.77E-3</v>
      </c>
      <c r="UL11">
        <v>9.3500000000000007E-3</v>
      </c>
      <c r="UM11">
        <v>9.9600000000000001E-3</v>
      </c>
      <c r="UN11">
        <v>9.2800000000000001E-3</v>
      </c>
      <c r="UO11">
        <v>1.0070000000000001E-2</v>
      </c>
      <c r="UP11">
        <v>1.142E-2</v>
      </c>
      <c r="UQ11">
        <v>9.2800000000000001E-3</v>
      </c>
      <c r="UR11">
        <v>9.3900000000000008E-3</v>
      </c>
      <c r="US11">
        <v>8.9800000000000001E-3</v>
      </c>
      <c r="UT11">
        <v>9.3299999999999998E-3</v>
      </c>
      <c r="UU11">
        <v>1.008E-2</v>
      </c>
      <c r="UV11">
        <v>9.1400000000000006E-3</v>
      </c>
      <c r="UW11">
        <v>1.447E-2</v>
      </c>
      <c r="UX11">
        <v>1.2670000000000001E-2</v>
      </c>
      <c r="VA11">
        <v>1.393E-2</v>
      </c>
      <c r="VB11">
        <v>1.2460000000000001E-2</v>
      </c>
      <c r="VD11">
        <v>2.6599999999999999E-2</v>
      </c>
      <c r="VF11">
        <v>3.4840000000000003E-2</v>
      </c>
      <c r="VG11">
        <v>5.4059999999999997E-2</v>
      </c>
      <c r="VH11">
        <v>1.511E-2</v>
      </c>
      <c r="VI11">
        <v>1.7219999999999999E-2</v>
      </c>
    </row>
    <row r="12" spans="1:581" x14ac:dyDescent="0.25">
      <c r="A12">
        <v>225000</v>
      </c>
      <c r="B12">
        <v>7.1799999999999998E-3</v>
      </c>
      <c r="C12">
        <v>7.0400000000000003E-3</v>
      </c>
      <c r="D12">
        <v>7.1199999999999996E-3</v>
      </c>
      <c r="E12">
        <v>6.7099999999999998E-3</v>
      </c>
      <c r="F12">
        <v>6.6600000000000001E-3</v>
      </c>
      <c r="G12">
        <v>7.1599999999999997E-3</v>
      </c>
      <c r="H12">
        <v>6.8700000000000002E-3</v>
      </c>
      <c r="I12">
        <v>6.8900000000000003E-3</v>
      </c>
      <c r="J12">
        <v>6.8399999999999997E-3</v>
      </c>
      <c r="K12">
        <v>7.0699999999999999E-3</v>
      </c>
      <c r="L12">
        <v>7.0499999999999998E-3</v>
      </c>
      <c r="M12">
        <v>7.0299999999999998E-3</v>
      </c>
      <c r="N12">
        <v>7.0200000000000002E-3</v>
      </c>
      <c r="O12">
        <v>8.5000000000000006E-3</v>
      </c>
      <c r="P12">
        <v>8.2400000000000008E-3</v>
      </c>
      <c r="Q12">
        <v>7.9399999999999991E-3</v>
      </c>
      <c r="R12">
        <v>7.6400000000000001E-3</v>
      </c>
      <c r="S12">
        <v>7.2100000000000003E-3</v>
      </c>
      <c r="T12">
        <v>6.8799999999999998E-3</v>
      </c>
      <c r="U12">
        <v>7.1900000000000002E-3</v>
      </c>
      <c r="V12">
        <v>7.1500000000000001E-3</v>
      </c>
      <c r="W12">
        <v>6.5300000000000002E-3</v>
      </c>
      <c r="X12">
        <v>6.6600000000000001E-3</v>
      </c>
      <c r="Y12">
        <v>6.2899999999999996E-3</v>
      </c>
      <c r="Z12">
        <v>6.3899999999999998E-3</v>
      </c>
      <c r="AA12">
        <v>1.823E-2</v>
      </c>
      <c r="AB12">
        <v>1.0659999999999999E-2</v>
      </c>
      <c r="AC12">
        <v>1.653E-2</v>
      </c>
      <c r="AD12">
        <v>1.051E-2</v>
      </c>
      <c r="AE12">
        <v>1.188E-2</v>
      </c>
      <c r="AG12">
        <v>1.891E-2</v>
      </c>
      <c r="AI12">
        <v>2.2710000000000001E-2</v>
      </c>
      <c r="AJ12">
        <v>1.538E-2</v>
      </c>
      <c r="AK12">
        <v>1.567E-2</v>
      </c>
      <c r="AL12">
        <v>1.491E-2</v>
      </c>
      <c r="AM12">
        <v>2.1090000000000001E-2</v>
      </c>
      <c r="AQ12">
        <v>2.963E-2</v>
      </c>
      <c r="AS12">
        <v>2.2179999999999998E-2</v>
      </c>
      <c r="AT12">
        <v>1.7590000000000001E-2</v>
      </c>
      <c r="AV12">
        <v>2.4060000000000002E-2</v>
      </c>
      <c r="AW12">
        <v>2.0109999999999999E-2</v>
      </c>
      <c r="AX12">
        <v>1.831E-2</v>
      </c>
      <c r="AY12">
        <v>2.2200000000000001E-2</v>
      </c>
      <c r="BA12">
        <v>2.3480000000000001E-2</v>
      </c>
      <c r="BB12">
        <v>1.325E-2</v>
      </c>
      <c r="BC12">
        <v>1.5689999999999999E-2</v>
      </c>
      <c r="BD12">
        <v>1.712E-2</v>
      </c>
      <c r="BF12">
        <v>2.0619999999999999E-2</v>
      </c>
      <c r="BG12">
        <v>1.7229999999999999E-2</v>
      </c>
      <c r="BH12">
        <v>2.0080000000000001E-2</v>
      </c>
      <c r="BI12">
        <v>2.3189999999999999E-2</v>
      </c>
      <c r="BJ12">
        <v>1.9269999999999999E-2</v>
      </c>
      <c r="BM12">
        <v>1.7309999999999999E-2</v>
      </c>
      <c r="BN12">
        <v>9.6299999999999997E-3</v>
      </c>
      <c r="BO12">
        <v>1.7090000000000001E-2</v>
      </c>
      <c r="BP12">
        <v>1.153E-2</v>
      </c>
      <c r="BQ12">
        <v>9.4599999999999997E-3</v>
      </c>
      <c r="BR12">
        <v>1.035E-2</v>
      </c>
      <c r="BS12">
        <v>1.311E-2</v>
      </c>
      <c r="BU12">
        <v>1.4919999999999999E-2</v>
      </c>
      <c r="BV12">
        <v>1.566E-2</v>
      </c>
      <c r="BW12">
        <v>1.486E-2</v>
      </c>
      <c r="BX12">
        <v>1.4200000000000001E-2</v>
      </c>
      <c r="BY12">
        <v>1.533E-2</v>
      </c>
      <c r="BZ12">
        <v>1.345E-2</v>
      </c>
      <c r="CA12">
        <v>1.6209999999999999E-2</v>
      </c>
      <c r="CB12">
        <v>0.01</v>
      </c>
      <c r="CC12">
        <v>1.157E-2</v>
      </c>
      <c r="CD12">
        <v>1.0540000000000001E-2</v>
      </c>
      <c r="CE12">
        <v>9.2300000000000004E-3</v>
      </c>
      <c r="CF12">
        <v>9.1000000000000004E-3</v>
      </c>
      <c r="CG12">
        <v>8.9599999999999992E-3</v>
      </c>
      <c r="CH12">
        <v>8.8900000000000003E-3</v>
      </c>
      <c r="CI12">
        <v>8.9499999999999996E-3</v>
      </c>
      <c r="CJ12">
        <v>9.11E-3</v>
      </c>
      <c r="CK12">
        <v>1.0840000000000001E-2</v>
      </c>
      <c r="CL12">
        <v>9.4299999999999991E-3</v>
      </c>
      <c r="CM12">
        <v>1.0120000000000001E-2</v>
      </c>
      <c r="CN12">
        <v>1.1140000000000001E-2</v>
      </c>
      <c r="CO12">
        <v>9.8799999999999999E-3</v>
      </c>
      <c r="CP12">
        <v>1.141E-2</v>
      </c>
      <c r="CQ12">
        <v>9.4900000000000002E-3</v>
      </c>
      <c r="CR12">
        <v>9.9799999999999993E-3</v>
      </c>
      <c r="CS12">
        <v>1.098E-2</v>
      </c>
      <c r="CT12">
        <v>1.1509999999999999E-2</v>
      </c>
      <c r="CV12">
        <v>1.0330000000000001E-2</v>
      </c>
      <c r="CW12">
        <v>1.021E-2</v>
      </c>
      <c r="CX12">
        <v>1.2619999999999999E-2</v>
      </c>
      <c r="CY12">
        <v>1.176E-2</v>
      </c>
      <c r="CZ12">
        <v>8.9200000000000008E-3</v>
      </c>
      <c r="DA12">
        <v>9.0799999999999995E-3</v>
      </c>
      <c r="DB12">
        <v>8.7799999999999996E-3</v>
      </c>
      <c r="DC12">
        <v>8.7500000000000008E-3</v>
      </c>
      <c r="DD12">
        <v>8.9899999999999997E-3</v>
      </c>
      <c r="DE12">
        <v>9.5099999999999994E-3</v>
      </c>
      <c r="DG12">
        <v>1.277E-2</v>
      </c>
      <c r="DH12">
        <v>1.7690000000000001E-2</v>
      </c>
      <c r="DI12">
        <v>1.6639999999999999E-2</v>
      </c>
      <c r="DK12">
        <v>1.5440000000000001E-2</v>
      </c>
      <c r="DL12">
        <v>1.49E-2</v>
      </c>
      <c r="DM12">
        <v>1.307E-2</v>
      </c>
      <c r="DN12">
        <v>1.259E-2</v>
      </c>
      <c r="DO12">
        <v>1.221E-2</v>
      </c>
      <c r="DP12">
        <v>1.2E-2</v>
      </c>
      <c r="DQ12">
        <v>1.18E-2</v>
      </c>
      <c r="DR12">
        <v>1.536E-2</v>
      </c>
      <c r="DS12">
        <v>1.4019999999999999E-2</v>
      </c>
      <c r="DT12">
        <v>1.375E-2</v>
      </c>
      <c r="DU12">
        <v>1.3480000000000001E-2</v>
      </c>
      <c r="DV12">
        <v>1.3299999999999999E-2</v>
      </c>
      <c r="DW12">
        <v>1.6129999999999999E-2</v>
      </c>
      <c r="DX12">
        <v>1.5570000000000001E-2</v>
      </c>
      <c r="DY12">
        <v>1.477E-2</v>
      </c>
      <c r="DZ12">
        <v>1.444E-2</v>
      </c>
      <c r="EA12">
        <v>1.24E-2</v>
      </c>
      <c r="EB12">
        <v>1.2330000000000001E-2</v>
      </c>
      <c r="EC12">
        <v>1.061E-2</v>
      </c>
      <c r="ED12">
        <v>2.895E-2</v>
      </c>
      <c r="EH12">
        <v>2.7980000000000001E-2</v>
      </c>
      <c r="EI12">
        <v>9.8399999999999998E-3</v>
      </c>
      <c r="EJ12">
        <v>9.2399999999999999E-3</v>
      </c>
      <c r="EK12">
        <v>9.4500000000000001E-3</v>
      </c>
      <c r="EL12">
        <v>1.0630000000000001E-2</v>
      </c>
      <c r="EM12">
        <v>1.2330000000000001E-2</v>
      </c>
      <c r="EN12">
        <v>1.298E-2</v>
      </c>
      <c r="EO12">
        <v>1.3780000000000001E-2</v>
      </c>
      <c r="EP12">
        <v>1.3129999999999999E-2</v>
      </c>
      <c r="EQ12">
        <v>1.3440000000000001E-2</v>
      </c>
      <c r="ER12">
        <v>2.4549999999999999E-2</v>
      </c>
      <c r="EU12">
        <v>1.9720000000000001E-2</v>
      </c>
      <c r="EV12">
        <v>1.7749999999999998E-2</v>
      </c>
      <c r="EW12">
        <v>1.6199999999999999E-2</v>
      </c>
      <c r="EY12">
        <v>8.9200000000000008E-3</v>
      </c>
      <c r="EZ12">
        <v>9.0900000000000009E-3</v>
      </c>
      <c r="FA12">
        <v>1.6199999999999999E-2</v>
      </c>
      <c r="FB12">
        <v>1.576E-2</v>
      </c>
      <c r="FC12">
        <v>1.763E-2</v>
      </c>
      <c r="FD12">
        <v>1.3520000000000001E-2</v>
      </c>
      <c r="FG12">
        <v>1.059E-2</v>
      </c>
      <c r="FH12">
        <v>1.3979999999999999E-2</v>
      </c>
      <c r="FI12">
        <v>1.14E-2</v>
      </c>
      <c r="FJ12">
        <v>1.055E-2</v>
      </c>
      <c r="FK12">
        <v>1.2500000000000001E-2</v>
      </c>
      <c r="FL12">
        <v>1.188E-2</v>
      </c>
      <c r="FM12">
        <v>1.9550000000000001E-2</v>
      </c>
      <c r="FN12">
        <v>2.0119999999999999E-2</v>
      </c>
      <c r="FO12">
        <v>1.533E-2</v>
      </c>
      <c r="FP12">
        <v>1.4500000000000001E-2</v>
      </c>
      <c r="FR12">
        <v>2.315E-2</v>
      </c>
      <c r="FT12">
        <v>2.2239999999999999E-2</v>
      </c>
      <c r="FU12">
        <v>2.052E-2</v>
      </c>
      <c r="FV12">
        <v>1.728E-2</v>
      </c>
      <c r="FW12">
        <v>1.77E-2</v>
      </c>
      <c r="FX12">
        <v>1.8530000000000001E-2</v>
      </c>
      <c r="FY12">
        <v>1.9279999999999999E-2</v>
      </c>
      <c r="FZ12">
        <v>1.6140000000000002E-2</v>
      </c>
      <c r="GA12">
        <v>1.7170000000000001E-2</v>
      </c>
      <c r="GB12">
        <v>1.494E-2</v>
      </c>
      <c r="GC12">
        <v>1.6119999999999999E-2</v>
      </c>
      <c r="GE12">
        <v>1.553E-2</v>
      </c>
      <c r="GF12">
        <v>1.3129999999999999E-2</v>
      </c>
      <c r="GG12">
        <v>1.321E-2</v>
      </c>
      <c r="GH12">
        <v>1.332E-2</v>
      </c>
      <c r="GI12">
        <v>1.299E-2</v>
      </c>
      <c r="GJ12">
        <v>1.325E-2</v>
      </c>
      <c r="GK12">
        <v>1.359E-2</v>
      </c>
      <c r="GL12">
        <v>1.4330000000000001E-2</v>
      </c>
      <c r="GM12">
        <v>1.2189999999999999E-2</v>
      </c>
      <c r="GN12">
        <v>2.2620000000000001E-2</v>
      </c>
      <c r="GO12">
        <v>1.4500000000000001E-2</v>
      </c>
      <c r="GP12">
        <v>1.6310000000000002E-2</v>
      </c>
      <c r="GQ12">
        <v>1.7999999999999999E-2</v>
      </c>
      <c r="GR12">
        <v>1.8370000000000001E-2</v>
      </c>
      <c r="GT12">
        <v>1.78E-2</v>
      </c>
      <c r="GU12">
        <v>1.6480000000000002E-2</v>
      </c>
      <c r="GV12">
        <v>1.374E-2</v>
      </c>
      <c r="GX12">
        <v>1.123E-2</v>
      </c>
      <c r="GY12">
        <v>2.4250000000000001E-2</v>
      </c>
      <c r="GZ12">
        <v>2.0029999999999999E-2</v>
      </c>
      <c r="HB12">
        <v>1.206E-2</v>
      </c>
      <c r="HC12">
        <v>1.406E-2</v>
      </c>
      <c r="HE12">
        <v>1.2880000000000001E-2</v>
      </c>
      <c r="HF12">
        <v>1.251E-2</v>
      </c>
      <c r="HG12">
        <v>1.223E-2</v>
      </c>
      <c r="HH12">
        <v>1.2189999999999999E-2</v>
      </c>
      <c r="HI12">
        <v>1.208E-2</v>
      </c>
      <c r="HJ12">
        <v>9.8899999999999995E-3</v>
      </c>
      <c r="HK12">
        <v>1.8339999999999999E-2</v>
      </c>
      <c r="HL12">
        <v>2.0129999999999999E-2</v>
      </c>
      <c r="HO12">
        <v>2.349E-2</v>
      </c>
      <c r="HP12">
        <v>1.081E-2</v>
      </c>
      <c r="HQ12">
        <v>2.52E-2</v>
      </c>
      <c r="HR12">
        <v>2.4330000000000001E-2</v>
      </c>
      <c r="HS12">
        <v>2.2290000000000001E-2</v>
      </c>
      <c r="HT12">
        <v>2.164E-2</v>
      </c>
      <c r="HU12">
        <v>1.1089999999999999E-2</v>
      </c>
      <c r="HW12">
        <v>1.1429999999999999E-2</v>
      </c>
      <c r="HY12">
        <v>3.0849999999999999E-2</v>
      </c>
      <c r="HZ12">
        <v>1.26E-2</v>
      </c>
      <c r="IA12">
        <v>1.5599999999999999E-2</v>
      </c>
      <c r="IB12">
        <v>1.7770000000000001E-2</v>
      </c>
      <c r="IC12">
        <v>1.252E-2</v>
      </c>
      <c r="ID12">
        <v>1.8159999999999999E-2</v>
      </c>
      <c r="IE12">
        <v>1.6140000000000002E-2</v>
      </c>
      <c r="IF12">
        <v>1.362E-2</v>
      </c>
      <c r="IG12">
        <v>1.418E-2</v>
      </c>
      <c r="IH12">
        <v>1.7590000000000001E-2</v>
      </c>
      <c r="II12">
        <v>1.3809999999999999E-2</v>
      </c>
      <c r="IJ12">
        <v>1.107E-2</v>
      </c>
      <c r="IK12">
        <v>1.163E-2</v>
      </c>
      <c r="IL12">
        <v>1.3100000000000001E-2</v>
      </c>
      <c r="IM12">
        <v>1.468E-2</v>
      </c>
      <c r="IN12">
        <v>1.617E-2</v>
      </c>
      <c r="IO12">
        <v>1.78E-2</v>
      </c>
      <c r="IP12">
        <v>2.5389999999999999E-2</v>
      </c>
      <c r="IQ12">
        <v>3.0609999999999998E-2</v>
      </c>
      <c r="IS12">
        <v>7.7600000000000004E-3</v>
      </c>
      <c r="IT12">
        <v>1.4959999999999999E-2</v>
      </c>
      <c r="IU12">
        <v>1.5679999999999999E-2</v>
      </c>
      <c r="IV12">
        <v>9.4199999999999996E-3</v>
      </c>
      <c r="IW12">
        <v>1.218E-2</v>
      </c>
      <c r="IX12">
        <v>7.7200000000000003E-3</v>
      </c>
      <c r="IY12">
        <v>8.5599999999999999E-3</v>
      </c>
      <c r="IZ12">
        <v>7.3600000000000002E-3</v>
      </c>
      <c r="JA12">
        <v>8.9200000000000008E-3</v>
      </c>
      <c r="JB12">
        <v>9.1800000000000007E-3</v>
      </c>
      <c r="JC12">
        <v>1.0540000000000001E-2</v>
      </c>
      <c r="JD12">
        <v>1.193E-2</v>
      </c>
      <c r="JE12">
        <v>8.2500000000000004E-3</v>
      </c>
      <c r="JF12">
        <v>1.06E-2</v>
      </c>
      <c r="JG12">
        <v>1.213E-2</v>
      </c>
      <c r="JI12">
        <v>2.1160000000000002E-2</v>
      </c>
      <c r="JL12">
        <v>2.036E-2</v>
      </c>
      <c r="JM12">
        <v>2.0160000000000001E-2</v>
      </c>
      <c r="JQ12">
        <v>1.051E-2</v>
      </c>
      <c r="JR12">
        <v>1.0699999999999999E-2</v>
      </c>
      <c r="JS12">
        <v>1.0359999999999999E-2</v>
      </c>
      <c r="JT12">
        <v>1.125E-2</v>
      </c>
      <c r="JU12">
        <v>1.1560000000000001E-2</v>
      </c>
      <c r="JV12">
        <v>1.9279999999999999E-2</v>
      </c>
      <c r="JW12">
        <v>1.4659999999999999E-2</v>
      </c>
      <c r="JY12">
        <v>1.4500000000000001E-2</v>
      </c>
      <c r="JZ12">
        <v>1.7330000000000002E-2</v>
      </c>
      <c r="KA12">
        <v>1.9990000000000001E-2</v>
      </c>
      <c r="KB12">
        <v>1.0359999999999999E-2</v>
      </c>
      <c r="KC12">
        <v>1.0919999999999999E-2</v>
      </c>
      <c r="KD12">
        <v>1.1950000000000001E-2</v>
      </c>
      <c r="KE12">
        <v>1.323E-2</v>
      </c>
      <c r="KF12">
        <v>1.2279999999999999E-2</v>
      </c>
      <c r="KG12">
        <v>1.2239999999999999E-2</v>
      </c>
      <c r="KH12">
        <v>1.5270000000000001E-2</v>
      </c>
      <c r="KI12">
        <v>1.7850000000000001E-2</v>
      </c>
      <c r="KJ12">
        <v>1.821E-2</v>
      </c>
      <c r="KK12">
        <v>1.8020000000000001E-2</v>
      </c>
      <c r="KL12">
        <v>1.8159999999999999E-2</v>
      </c>
      <c r="KM12">
        <v>1.7659999999999999E-2</v>
      </c>
      <c r="KN12">
        <v>8.9999999999999993E-3</v>
      </c>
      <c r="KO12">
        <v>9.8300000000000002E-3</v>
      </c>
      <c r="KP12">
        <v>1.5049999999999999E-2</v>
      </c>
      <c r="KQ12">
        <v>1.5779999999999999E-2</v>
      </c>
      <c r="KR12">
        <v>2.0289999999999999E-2</v>
      </c>
      <c r="KT12">
        <v>3.2579999999999998E-2</v>
      </c>
      <c r="KU12">
        <v>1.031E-2</v>
      </c>
      <c r="KV12">
        <v>8.8100000000000001E-3</v>
      </c>
      <c r="KW12">
        <v>8.7399999999999995E-3</v>
      </c>
      <c r="KX12">
        <v>2.0480000000000002E-2</v>
      </c>
      <c r="KY12">
        <v>8.4600000000000005E-3</v>
      </c>
      <c r="KZ12">
        <v>8.7899999999999992E-3</v>
      </c>
      <c r="LA12">
        <v>1.553E-2</v>
      </c>
      <c r="LB12">
        <v>1.4760000000000001E-2</v>
      </c>
      <c r="LC12">
        <v>1.502E-2</v>
      </c>
      <c r="LD12">
        <v>1.502E-2</v>
      </c>
      <c r="LG12">
        <v>3.4290000000000001E-2</v>
      </c>
      <c r="LI12">
        <v>1.7090000000000001E-2</v>
      </c>
      <c r="LJ12">
        <v>1.6570000000000001E-2</v>
      </c>
      <c r="LK12">
        <v>1.6799999999999999E-2</v>
      </c>
      <c r="LP12">
        <v>1.636E-2</v>
      </c>
      <c r="LQ12">
        <v>2.4469999999999999E-2</v>
      </c>
      <c r="LR12">
        <v>1.7500000000000002E-2</v>
      </c>
      <c r="LS12">
        <v>1.9269999999999999E-2</v>
      </c>
      <c r="LT12">
        <v>1.6559999999999998E-2</v>
      </c>
      <c r="LV12">
        <v>3.2779999999999997E-2</v>
      </c>
      <c r="LW12">
        <v>9.4999999999999998E-3</v>
      </c>
      <c r="LX12">
        <v>9.3900000000000008E-3</v>
      </c>
      <c r="MB12">
        <v>8.4600000000000005E-3</v>
      </c>
      <c r="MC12">
        <v>1.3820000000000001E-2</v>
      </c>
      <c r="MD12">
        <v>1.5259999999999999E-2</v>
      </c>
      <c r="ME12">
        <v>3.2340000000000001E-2</v>
      </c>
      <c r="MH12">
        <v>2.6689999999999998E-2</v>
      </c>
      <c r="MI12">
        <v>2.4989999999999998E-2</v>
      </c>
      <c r="MJ12">
        <v>3.048E-2</v>
      </c>
      <c r="ML12">
        <v>3.5029999999999999E-2</v>
      </c>
      <c r="MM12">
        <v>2.1590000000000002E-2</v>
      </c>
      <c r="MN12">
        <v>9.1299999999999992E-3</v>
      </c>
      <c r="MO12">
        <v>1.068E-2</v>
      </c>
      <c r="MP12">
        <v>1.1990000000000001E-2</v>
      </c>
      <c r="MR12">
        <v>1.222E-2</v>
      </c>
      <c r="MT12">
        <v>1.54E-2</v>
      </c>
      <c r="MU12">
        <v>9.1299999999999992E-3</v>
      </c>
      <c r="MV12">
        <v>1.1310000000000001E-2</v>
      </c>
      <c r="MW12">
        <v>1.239E-2</v>
      </c>
      <c r="MX12">
        <v>1.294E-2</v>
      </c>
      <c r="NA12">
        <v>1.255E-2</v>
      </c>
      <c r="NB12">
        <v>1.391E-2</v>
      </c>
      <c r="NC12">
        <v>1.6500000000000001E-2</v>
      </c>
      <c r="ND12">
        <v>1.494E-2</v>
      </c>
      <c r="NE12">
        <v>2.0389999999999998E-2</v>
      </c>
      <c r="NF12">
        <v>1.6240000000000001E-2</v>
      </c>
      <c r="NG12">
        <v>9.3600000000000003E-3</v>
      </c>
      <c r="NH12">
        <v>7.7499999999999999E-3</v>
      </c>
      <c r="NI12">
        <v>8.2199999999999999E-3</v>
      </c>
      <c r="NJ12">
        <v>9.4299999999999991E-3</v>
      </c>
      <c r="NK12">
        <v>8.2400000000000008E-3</v>
      </c>
      <c r="NL12">
        <v>8.7600000000000004E-3</v>
      </c>
      <c r="NM12">
        <v>9.5200000000000007E-3</v>
      </c>
      <c r="NN12">
        <v>1.0189999999999999E-2</v>
      </c>
      <c r="NO12">
        <v>1.086E-2</v>
      </c>
      <c r="NP12">
        <v>8.09E-3</v>
      </c>
      <c r="NQ12">
        <v>8.7500000000000008E-3</v>
      </c>
      <c r="NR12">
        <v>8.8699999999999994E-3</v>
      </c>
      <c r="NS12">
        <v>9.7000000000000003E-3</v>
      </c>
      <c r="NT12">
        <v>1.107E-2</v>
      </c>
      <c r="NU12">
        <v>8.3700000000000007E-3</v>
      </c>
      <c r="NV12">
        <v>9.0200000000000002E-3</v>
      </c>
      <c r="NW12">
        <v>9.1699999999999993E-3</v>
      </c>
      <c r="NX12">
        <v>9.8499999999999994E-3</v>
      </c>
      <c r="NY12">
        <v>9.9100000000000004E-3</v>
      </c>
      <c r="NZ12">
        <v>1.068E-2</v>
      </c>
      <c r="OA12">
        <v>1.123E-2</v>
      </c>
      <c r="OB12">
        <v>8.8100000000000001E-3</v>
      </c>
      <c r="OC12">
        <v>9.2899999999999996E-3</v>
      </c>
      <c r="OD12">
        <v>9.7999999999999997E-3</v>
      </c>
      <c r="OE12">
        <v>9.7999999999999997E-3</v>
      </c>
      <c r="OF12">
        <v>1.738E-2</v>
      </c>
      <c r="OG12">
        <v>1.039E-2</v>
      </c>
      <c r="OH12">
        <v>1.0789999999999999E-2</v>
      </c>
      <c r="OJ12">
        <v>1.2120000000000001E-2</v>
      </c>
      <c r="OK12">
        <v>1.274E-2</v>
      </c>
      <c r="OL12">
        <v>1.332E-2</v>
      </c>
      <c r="OM12">
        <v>9.1400000000000006E-3</v>
      </c>
      <c r="ON12">
        <v>9.5499999999999995E-3</v>
      </c>
      <c r="OO12">
        <v>1.0319999999999999E-2</v>
      </c>
      <c r="OP12">
        <v>1.1480000000000001E-2</v>
      </c>
      <c r="OQ12">
        <v>1.21E-2</v>
      </c>
      <c r="OR12">
        <v>1.2670000000000001E-2</v>
      </c>
      <c r="OS12">
        <v>1.5180000000000001E-2</v>
      </c>
      <c r="OT12">
        <v>9.3900000000000008E-3</v>
      </c>
      <c r="OU12">
        <v>9.6200000000000001E-3</v>
      </c>
      <c r="OV12">
        <v>7.0000000000000001E-3</v>
      </c>
      <c r="OW12">
        <v>6.5100000000000002E-3</v>
      </c>
      <c r="OX12">
        <v>6.3400000000000001E-3</v>
      </c>
      <c r="OY12">
        <v>6.3800000000000003E-3</v>
      </c>
      <c r="OZ12">
        <v>6.5900000000000004E-3</v>
      </c>
      <c r="PA12">
        <v>1.753E-2</v>
      </c>
      <c r="PB12">
        <v>1.89E-2</v>
      </c>
      <c r="PC12">
        <v>1.291E-2</v>
      </c>
      <c r="PD12">
        <v>1.136E-2</v>
      </c>
      <c r="PE12">
        <v>1.0330000000000001E-2</v>
      </c>
      <c r="PF12">
        <v>1.0279999999999999E-2</v>
      </c>
      <c r="PG12">
        <v>1.057E-2</v>
      </c>
      <c r="PH12">
        <v>9.2700000000000005E-3</v>
      </c>
      <c r="PI12">
        <v>1.34E-2</v>
      </c>
      <c r="PJ12">
        <v>1.2370000000000001E-2</v>
      </c>
      <c r="PK12">
        <v>1.022E-2</v>
      </c>
      <c r="PL12">
        <v>9.6100000000000005E-3</v>
      </c>
      <c r="PM12">
        <v>8.5800000000000008E-3</v>
      </c>
      <c r="PN12">
        <v>1.0109999999999999E-2</v>
      </c>
      <c r="PP12">
        <v>1.584E-2</v>
      </c>
      <c r="PQ12">
        <v>1.1339999999999999E-2</v>
      </c>
      <c r="PR12">
        <v>9.3299999999999998E-3</v>
      </c>
      <c r="PS12">
        <v>1.4189999999999999E-2</v>
      </c>
      <c r="PT12">
        <v>1.324E-2</v>
      </c>
      <c r="PU12">
        <v>7.7999999999999996E-3</v>
      </c>
      <c r="PV12">
        <v>1.15E-2</v>
      </c>
      <c r="PW12">
        <v>1.3440000000000001E-2</v>
      </c>
      <c r="PZ12">
        <v>2.1420000000000002E-2</v>
      </c>
      <c r="QA12">
        <v>8.5100000000000002E-3</v>
      </c>
      <c r="QB12">
        <v>8.5199999999999998E-3</v>
      </c>
      <c r="QC12">
        <v>9.7000000000000003E-3</v>
      </c>
      <c r="QD12">
        <v>8.2100000000000003E-3</v>
      </c>
      <c r="QE12">
        <v>8.1799999999999998E-3</v>
      </c>
      <c r="QF12">
        <v>8.5500000000000003E-3</v>
      </c>
      <c r="QG12">
        <v>8.7500000000000008E-3</v>
      </c>
      <c r="QH12">
        <v>8.2400000000000008E-3</v>
      </c>
      <c r="QI12">
        <v>8.9099999999999995E-3</v>
      </c>
      <c r="QJ12">
        <v>9.4500000000000001E-3</v>
      </c>
      <c r="QK12">
        <v>8.4499999999999992E-3</v>
      </c>
      <c r="QL12">
        <v>8.0499999999999999E-3</v>
      </c>
      <c r="QM12">
        <v>9.2800000000000001E-3</v>
      </c>
      <c r="QN12">
        <v>1.4030000000000001E-2</v>
      </c>
      <c r="QO12">
        <v>1.1639999999999999E-2</v>
      </c>
      <c r="QP12">
        <v>1.133E-2</v>
      </c>
      <c r="QQ12">
        <v>1.1209999999999999E-2</v>
      </c>
      <c r="QR12">
        <v>1.2189999999999999E-2</v>
      </c>
      <c r="QS12">
        <v>1.286E-2</v>
      </c>
      <c r="QT12">
        <v>1.2019999999999999E-2</v>
      </c>
      <c r="QU12">
        <v>1.255E-2</v>
      </c>
      <c r="QV12">
        <v>1.303E-2</v>
      </c>
      <c r="QW12">
        <v>1.18E-2</v>
      </c>
      <c r="QY12">
        <v>1.129E-2</v>
      </c>
      <c r="QZ12">
        <v>1.2449999999999999E-2</v>
      </c>
      <c r="RA12">
        <v>1.542E-2</v>
      </c>
      <c r="RB12">
        <v>1.7500000000000002E-2</v>
      </c>
      <c r="RC12">
        <v>2.1350000000000001E-2</v>
      </c>
      <c r="RD12">
        <v>2.8799999999999999E-2</v>
      </c>
      <c r="RE12">
        <v>3.0949999999999998E-2</v>
      </c>
      <c r="RF12">
        <v>1.6820000000000002E-2</v>
      </c>
      <c r="RG12">
        <v>1.1140000000000001E-2</v>
      </c>
      <c r="RH12">
        <v>9.9900000000000006E-3</v>
      </c>
      <c r="RJ12">
        <v>2.3060000000000001E-2</v>
      </c>
      <c r="RK12">
        <v>1.9939999999999999E-2</v>
      </c>
      <c r="RL12">
        <v>1.728E-2</v>
      </c>
      <c r="RM12">
        <v>9.4599999999999997E-3</v>
      </c>
      <c r="RN12">
        <v>9.2599999999999991E-3</v>
      </c>
      <c r="RO12">
        <v>9.2599999999999991E-3</v>
      </c>
      <c r="RP12">
        <v>8.8900000000000003E-3</v>
      </c>
      <c r="RQ12">
        <v>9.5999999999999992E-3</v>
      </c>
      <c r="RR12">
        <v>9.1000000000000004E-3</v>
      </c>
      <c r="RS12">
        <v>9.3900000000000008E-3</v>
      </c>
      <c r="RT12">
        <v>8.3099999999999997E-3</v>
      </c>
      <c r="RU12">
        <v>8.7200000000000003E-3</v>
      </c>
      <c r="RV12">
        <v>9.4599999999999997E-3</v>
      </c>
      <c r="RW12">
        <v>1.0500000000000001E-2</v>
      </c>
      <c r="RY12">
        <v>7.4700000000000001E-3</v>
      </c>
      <c r="RZ12">
        <v>1.6549999999999999E-2</v>
      </c>
      <c r="SA12">
        <v>3.0880000000000001E-2</v>
      </c>
      <c r="SD12">
        <v>1.206E-2</v>
      </c>
      <c r="SE12">
        <v>1.059E-2</v>
      </c>
      <c r="SF12">
        <v>1.136E-2</v>
      </c>
      <c r="SG12">
        <v>1.447E-2</v>
      </c>
      <c r="SH12">
        <v>1.7420000000000001E-2</v>
      </c>
      <c r="SI12">
        <v>1.125E-2</v>
      </c>
      <c r="SJ12">
        <v>9.4999999999999998E-3</v>
      </c>
      <c r="SL12">
        <v>8.9999999999999993E-3</v>
      </c>
      <c r="SM12">
        <v>9.6900000000000007E-3</v>
      </c>
      <c r="SN12">
        <v>8.8199999999999997E-3</v>
      </c>
      <c r="SP12">
        <v>9.1000000000000004E-3</v>
      </c>
      <c r="SQ12">
        <v>9.5999999999999992E-3</v>
      </c>
      <c r="SR12">
        <v>8.5699999999999995E-3</v>
      </c>
      <c r="SS12">
        <v>8.8500000000000002E-3</v>
      </c>
      <c r="ST12">
        <v>8.6400000000000001E-3</v>
      </c>
      <c r="SU12">
        <v>8.6400000000000001E-3</v>
      </c>
      <c r="SV12">
        <v>9.7900000000000001E-3</v>
      </c>
      <c r="SW12">
        <v>8.7100000000000007E-3</v>
      </c>
      <c r="SX12">
        <v>1.1469999999999999E-2</v>
      </c>
      <c r="SY12">
        <v>8.5599999999999999E-3</v>
      </c>
      <c r="SZ12">
        <v>9.4699999999999993E-3</v>
      </c>
      <c r="TA12">
        <v>1.102E-2</v>
      </c>
      <c r="TB12">
        <v>8.0999999999999996E-3</v>
      </c>
      <c r="TC12">
        <v>8.6899999999999998E-3</v>
      </c>
      <c r="TD12">
        <v>1.418E-2</v>
      </c>
      <c r="TE12">
        <v>9.1599999999999997E-3</v>
      </c>
      <c r="TF12">
        <v>1.132E-2</v>
      </c>
      <c r="TG12">
        <v>9.7999999999999997E-3</v>
      </c>
      <c r="TH12">
        <v>9.4400000000000005E-3</v>
      </c>
      <c r="TI12">
        <v>9.2200000000000008E-3</v>
      </c>
      <c r="TJ12">
        <v>8.9200000000000008E-3</v>
      </c>
      <c r="TK12">
        <v>8.5100000000000002E-3</v>
      </c>
      <c r="TL12">
        <v>7.8899999999999994E-3</v>
      </c>
      <c r="TM12">
        <v>7.5799999999999999E-3</v>
      </c>
      <c r="TN12">
        <v>7.7499999999999999E-3</v>
      </c>
      <c r="TO12">
        <v>9.3100000000000006E-3</v>
      </c>
      <c r="TP12">
        <v>1.026E-2</v>
      </c>
      <c r="TQ12">
        <v>7.0000000000000001E-3</v>
      </c>
      <c r="TR12">
        <v>9.9399999999999992E-3</v>
      </c>
      <c r="TS12">
        <v>1.2529999999999999E-2</v>
      </c>
      <c r="TT12">
        <v>1.243E-2</v>
      </c>
      <c r="TU12">
        <v>1.022E-2</v>
      </c>
      <c r="TW12">
        <v>8.0800000000000004E-3</v>
      </c>
      <c r="TX12">
        <v>8.1799999999999998E-3</v>
      </c>
      <c r="TY12">
        <v>7.5500000000000003E-3</v>
      </c>
      <c r="TZ12">
        <v>7.8499999999999993E-3</v>
      </c>
      <c r="UA12">
        <v>7.0200000000000002E-3</v>
      </c>
      <c r="UB12">
        <v>8.5500000000000003E-3</v>
      </c>
      <c r="UC12">
        <v>8.2299999999999995E-3</v>
      </c>
      <c r="UD12">
        <v>8.3099999999999997E-3</v>
      </c>
      <c r="UE12">
        <v>8.5199999999999998E-3</v>
      </c>
      <c r="UG12">
        <v>9.7199999999999995E-3</v>
      </c>
      <c r="UH12">
        <v>8.3499999999999998E-3</v>
      </c>
      <c r="UI12">
        <v>0.01</v>
      </c>
      <c r="UJ12">
        <v>9.0799999999999995E-3</v>
      </c>
      <c r="UK12">
        <v>7.3000000000000001E-3</v>
      </c>
      <c r="UL12">
        <v>8.6499999999999997E-3</v>
      </c>
      <c r="UM12">
        <v>9.2700000000000005E-3</v>
      </c>
      <c r="UN12">
        <v>8.4899999999999993E-3</v>
      </c>
      <c r="UO12">
        <v>9.1900000000000003E-3</v>
      </c>
      <c r="UP12">
        <v>1.0800000000000001E-2</v>
      </c>
      <c r="UQ12">
        <v>8.5000000000000006E-3</v>
      </c>
      <c r="UR12">
        <v>8.6499999999999997E-3</v>
      </c>
      <c r="US12">
        <v>8.43E-3</v>
      </c>
      <c r="UT12">
        <v>8.5299999999999994E-3</v>
      </c>
      <c r="UU12">
        <v>9.0799999999999995E-3</v>
      </c>
      <c r="UV12">
        <v>8.4499999999999992E-3</v>
      </c>
      <c r="UW12">
        <v>1.3259999999999999E-2</v>
      </c>
      <c r="UX12">
        <v>1.1350000000000001E-2</v>
      </c>
      <c r="VA12">
        <v>1.302E-2</v>
      </c>
      <c r="VB12">
        <v>1.141E-2</v>
      </c>
      <c r="VC12">
        <v>1.43E-2</v>
      </c>
      <c r="VE12">
        <v>2.529E-2</v>
      </c>
      <c r="VF12">
        <v>3.3079999999999998E-2</v>
      </c>
      <c r="VG12">
        <v>4.752E-2</v>
      </c>
      <c r="VH12">
        <v>1.477E-2</v>
      </c>
      <c r="VI12">
        <v>1.5990000000000001E-2</v>
      </c>
    </row>
    <row r="13" spans="1:581" x14ac:dyDescent="0.25">
      <c r="A13">
        <v>250000</v>
      </c>
      <c r="B13">
        <v>6.7400000000000003E-3</v>
      </c>
      <c r="C13">
        <v>6.62E-3</v>
      </c>
      <c r="D13">
        <v>6.7200000000000003E-3</v>
      </c>
      <c r="E13">
        <v>6.3800000000000003E-3</v>
      </c>
      <c r="F13">
        <v>6.3299999999999997E-3</v>
      </c>
      <c r="G13">
        <v>6.7299999999999999E-3</v>
      </c>
      <c r="H13">
        <v>6.4700000000000001E-3</v>
      </c>
      <c r="I13">
        <v>6.4999999999999997E-3</v>
      </c>
      <c r="J13">
        <v>6.4799999999999996E-3</v>
      </c>
      <c r="K13">
        <v>6.6400000000000001E-3</v>
      </c>
      <c r="L13">
        <v>6.62E-3</v>
      </c>
      <c r="M13">
        <v>6.6E-3</v>
      </c>
      <c r="N13">
        <v>6.5900000000000004E-3</v>
      </c>
      <c r="O13">
        <v>8.1200000000000005E-3</v>
      </c>
      <c r="P13">
        <v>7.8799999999999999E-3</v>
      </c>
      <c r="Q13">
        <v>7.6400000000000001E-3</v>
      </c>
      <c r="R13">
        <v>7.1599999999999997E-3</v>
      </c>
      <c r="S13">
        <v>6.9300000000000004E-3</v>
      </c>
      <c r="T13">
        <v>6.6400000000000001E-3</v>
      </c>
      <c r="U13">
        <v>6.9800000000000001E-3</v>
      </c>
      <c r="V13">
        <v>6.8900000000000003E-3</v>
      </c>
      <c r="W13">
        <v>6.1999999999999998E-3</v>
      </c>
      <c r="X13">
        <v>6.3299999999999997E-3</v>
      </c>
      <c r="Y13">
        <v>5.9699999999999996E-3</v>
      </c>
      <c r="Z13">
        <v>6.0600000000000003E-3</v>
      </c>
      <c r="AA13">
        <v>1.7170000000000001E-2</v>
      </c>
      <c r="AB13">
        <v>1.018E-2</v>
      </c>
      <c r="AD13">
        <v>9.8399999999999998E-3</v>
      </c>
      <c r="AE13">
        <v>1.115E-2</v>
      </c>
      <c r="AG13">
        <v>1.7649999999999999E-2</v>
      </c>
      <c r="AH13">
        <v>1.7770000000000001E-2</v>
      </c>
      <c r="AI13">
        <v>2.1260000000000001E-2</v>
      </c>
      <c r="AJ13">
        <v>1.383E-2</v>
      </c>
      <c r="AK13">
        <v>1.452E-2</v>
      </c>
      <c r="AM13">
        <v>1.9939999999999999E-2</v>
      </c>
      <c r="AN13">
        <v>2.1219999999999999E-2</v>
      </c>
      <c r="AO13">
        <v>4.165E-2</v>
      </c>
      <c r="AQ13">
        <v>2.8060000000000002E-2</v>
      </c>
      <c r="AS13">
        <v>1.9769999999999999E-2</v>
      </c>
      <c r="AT13">
        <v>1.6369999999999999E-2</v>
      </c>
      <c r="AV13">
        <v>2.2370000000000001E-2</v>
      </c>
      <c r="AW13">
        <v>1.8960000000000001E-2</v>
      </c>
      <c r="AX13">
        <v>1.7330000000000002E-2</v>
      </c>
      <c r="AY13">
        <v>2.0469999999999999E-2</v>
      </c>
      <c r="AZ13">
        <v>1.9099999999999999E-2</v>
      </c>
      <c r="BA13">
        <v>2.1649999999999999E-2</v>
      </c>
      <c r="BB13">
        <v>1.2579999999999999E-2</v>
      </c>
      <c r="BC13">
        <v>1.461E-2</v>
      </c>
      <c r="BD13">
        <v>1.584E-2</v>
      </c>
      <c r="BF13">
        <v>1.9470000000000001E-2</v>
      </c>
      <c r="BG13">
        <v>1.5520000000000001E-2</v>
      </c>
      <c r="BH13">
        <v>1.8610000000000002E-2</v>
      </c>
      <c r="BJ13">
        <v>1.7000000000000001E-2</v>
      </c>
      <c r="BK13">
        <v>1.627E-2</v>
      </c>
      <c r="BN13">
        <v>8.9599999999999992E-3</v>
      </c>
      <c r="BO13">
        <v>1.5970000000000002E-2</v>
      </c>
      <c r="BP13">
        <v>1.068E-2</v>
      </c>
      <c r="BQ13">
        <v>8.9999999999999993E-3</v>
      </c>
      <c r="BR13">
        <v>1.0019999999999999E-2</v>
      </c>
      <c r="BS13">
        <v>1.2579999999999999E-2</v>
      </c>
      <c r="BT13">
        <v>1.9939999999999999E-2</v>
      </c>
      <c r="BU13">
        <v>1.4370000000000001E-2</v>
      </c>
      <c r="BV13">
        <v>1.499E-2</v>
      </c>
      <c r="BW13">
        <v>1.431E-2</v>
      </c>
      <c r="BX13">
        <v>1.367E-2</v>
      </c>
      <c r="BY13">
        <v>1.452E-2</v>
      </c>
      <c r="BZ13">
        <v>1.2970000000000001E-2</v>
      </c>
      <c r="CA13">
        <v>1.532E-2</v>
      </c>
      <c r="CB13">
        <v>9.6299999999999997E-3</v>
      </c>
      <c r="CC13">
        <v>1.112E-2</v>
      </c>
      <c r="CD13">
        <v>0.01</v>
      </c>
      <c r="CE13">
        <v>8.7500000000000008E-3</v>
      </c>
      <c r="CF13">
        <v>8.6099999999999996E-3</v>
      </c>
      <c r="CG13">
        <v>8.4799999999999997E-3</v>
      </c>
      <c r="CH13">
        <v>8.4200000000000004E-3</v>
      </c>
      <c r="CI13">
        <v>8.5000000000000006E-3</v>
      </c>
      <c r="CJ13">
        <v>8.6599999999999993E-3</v>
      </c>
      <c r="CK13">
        <v>1.0370000000000001E-2</v>
      </c>
      <c r="CL13">
        <v>8.9499999999999996E-3</v>
      </c>
      <c r="CM13">
        <v>9.6100000000000005E-3</v>
      </c>
      <c r="CN13">
        <v>1.057E-2</v>
      </c>
      <c r="CO13">
        <v>9.3900000000000008E-3</v>
      </c>
      <c r="CP13">
        <v>1.0880000000000001E-2</v>
      </c>
      <c r="CQ13">
        <v>9.0799999999999995E-3</v>
      </c>
      <c r="CR13">
        <v>9.4699999999999993E-3</v>
      </c>
      <c r="CS13">
        <v>1.052E-2</v>
      </c>
      <c r="CT13">
        <v>1.1039999999999999E-2</v>
      </c>
      <c r="CU13">
        <v>9.1699999999999993E-3</v>
      </c>
      <c r="CV13">
        <v>9.4599999999999997E-3</v>
      </c>
      <c r="CW13">
        <v>9.5499999999999995E-3</v>
      </c>
      <c r="CY13">
        <v>1.112E-2</v>
      </c>
      <c r="CZ13">
        <v>8.5299999999999994E-3</v>
      </c>
      <c r="DA13">
        <v>8.4799999999999997E-3</v>
      </c>
      <c r="DB13">
        <v>8.1899999999999994E-3</v>
      </c>
      <c r="DC13">
        <v>8.1600000000000006E-3</v>
      </c>
      <c r="DD13">
        <v>8.3599999999999994E-3</v>
      </c>
      <c r="DF13">
        <v>2.036E-2</v>
      </c>
      <c r="DG13">
        <v>1.1809999999999999E-2</v>
      </c>
      <c r="DH13">
        <v>1.694E-2</v>
      </c>
      <c r="DI13">
        <v>1.6109999999999999E-2</v>
      </c>
      <c r="DJ13">
        <v>1.559E-2</v>
      </c>
      <c r="DK13">
        <v>1.504E-2</v>
      </c>
      <c r="DL13">
        <v>1.4409999999999999E-2</v>
      </c>
      <c r="DM13">
        <v>1.319E-2</v>
      </c>
      <c r="DN13">
        <v>1.217E-2</v>
      </c>
      <c r="DO13">
        <v>1.1769999999999999E-2</v>
      </c>
      <c r="DP13">
        <v>1.158E-2</v>
      </c>
      <c r="DQ13">
        <v>1.137E-2</v>
      </c>
      <c r="DR13">
        <v>1.5640000000000001E-2</v>
      </c>
      <c r="DS13">
        <v>1.4290000000000001E-2</v>
      </c>
      <c r="DT13">
        <v>1.3820000000000001E-2</v>
      </c>
      <c r="DU13">
        <v>1.3050000000000001E-2</v>
      </c>
      <c r="DV13">
        <v>1.281E-2</v>
      </c>
      <c r="DW13">
        <v>1.6240000000000001E-2</v>
      </c>
      <c r="DX13">
        <v>1.5699999999999999E-2</v>
      </c>
      <c r="DY13">
        <v>1.487E-2</v>
      </c>
      <c r="DZ13">
        <v>1.448E-2</v>
      </c>
      <c r="EA13">
        <v>1.1469999999999999E-2</v>
      </c>
      <c r="EB13">
        <v>1.145E-2</v>
      </c>
      <c r="EC13">
        <v>1.018E-2</v>
      </c>
      <c r="ED13">
        <v>3.0550000000000001E-2</v>
      </c>
      <c r="EH13">
        <v>2.7470000000000001E-2</v>
      </c>
      <c r="EI13">
        <v>9.3200000000000002E-3</v>
      </c>
      <c r="EJ13">
        <v>8.77E-3</v>
      </c>
      <c r="EK13">
        <v>8.9499999999999996E-3</v>
      </c>
      <c r="EL13">
        <v>1.0120000000000001E-2</v>
      </c>
      <c r="EM13">
        <v>1.1520000000000001E-2</v>
      </c>
      <c r="EN13">
        <v>1.2160000000000001E-2</v>
      </c>
      <c r="EO13">
        <v>1.282E-2</v>
      </c>
      <c r="EP13">
        <v>1.234E-2</v>
      </c>
      <c r="EQ13">
        <v>1.2619999999999999E-2</v>
      </c>
      <c r="ER13">
        <v>2.2689999999999998E-2</v>
      </c>
      <c r="ES13">
        <v>2.1090000000000001E-2</v>
      </c>
      <c r="ET13">
        <v>2.1680000000000001E-2</v>
      </c>
      <c r="EV13">
        <v>1.6820000000000002E-2</v>
      </c>
      <c r="EW13">
        <v>1.532E-2</v>
      </c>
      <c r="EY13">
        <v>8.6300000000000005E-3</v>
      </c>
      <c r="EZ13">
        <v>8.8199999999999997E-3</v>
      </c>
      <c r="FA13">
        <v>1.4919999999999999E-2</v>
      </c>
      <c r="FB13">
        <v>1.4829999999999999E-2</v>
      </c>
      <c r="FD13">
        <v>1.2840000000000001E-2</v>
      </c>
      <c r="FE13">
        <v>1.542E-2</v>
      </c>
      <c r="FF13">
        <v>1.09E-2</v>
      </c>
      <c r="FG13">
        <v>1.0489999999999999E-2</v>
      </c>
      <c r="FH13">
        <v>1.3469999999999999E-2</v>
      </c>
      <c r="FI13">
        <v>1.1169999999999999E-2</v>
      </c>
      <c r="FJ13">
        <v>1.044E-2</v>
      </c>
      <c r="FK13">
        <v>1.197E-2</v>
      </c>
      <c r="FL13">
        <v>1.093E-2</v>
      </c>
      <c r="FM13">
        <v>1.9109999999999999E-2</v>
      </c>
      <c r="FN13">
        <v>1.83E-2</v>
      </c>
      <c r="FO13">
        <v>1.422E-2</v>
      </c>
      <c r="FP13">
        <v>1.3390000000000001E-2</v>
      </c>
      <c r="FT13">
        <v>2.087E-2</v>
      </c>
      <c r="FU13">
        <v>1.848E-2</v>
      </c>
      <c r="FV13">
        <v>1.601E-2</v>
      </c>
      <c r="FW13">
        <v>1.61E-2</v>
      </c>
      <c r="FX13">
        <v>1.702E-2</v>
      </c>
      <c r="FY13">
        <v>1.8030000000000001E-2</v>
      </c>
      <c r="FZ13">
        <v>1.494E-2</v>
      </c>
      <c r="GA13">
        <v>1.6029999999999999E-2</v>
      </c>
      <c r="GB13">
        <v>1.4030000000000001E-2</v>
      </c>
      <c r="GC13">
        <v>1.507E-2</v>
      </c>
      <c r="GD13">
        <v>1.3639999999999999E-2</v>
      </c>
      <c r="GE13">
        <v>1.46E-2</v>
      </c>
      <c r="GF13">
        <v>1.235E-2</v>
      </c>
      <c r="GG13">
        <v>1.242E-2</v>
      </c>
      <c r="GH13">
        <v>1.257E-2</v>
      </c>
      <c r="GI13">
        <v>1.242E-2</v>
      </c>
      <c r="GJ13">
        <v>1.2710000000000001E-2</v>
      </c>
      <c r="GK13">
        <v>1.299E-2</v>
      </c>
      <c r="GL13">
        <v>1.372E-2</v>
      </c>
      <c r="GM13">
        <v>1.167E-2</v>
      </c>
      <c r="GO13">
        <v>1.362E-2</v>
      </c>
      <c r="GP13">
        <v>1.515E-2</v>
      </c>
      <c r="GQ13">
        <v>1.6650000000000002E-2</v>
      </c>
      <c r="GR13">
        <v>1.7340000000000001E-2</v>
      </c>
      <c r="GS13">
        <v>1.448E-2</v>
      </c>
      <c r="GT13">
        <v>1.6070000000000001E-2</v>
      </c>
      <c r="GU13">
        <v>1.549E-2</v>
      </c>
      <c r="GV13">
        <v>1.3169999999999999E-2</v>
      </c>
      <c r="GW13">
        <v>1.4630000000000001E-2</v>
      </c>
      <c r="GX13">
        <v>1.0580000000000001E-2</v>
      </c>
      <c r="GY13">
        <v>2.247E-2</v>
      </c>
      <c r="GZ13">
        <v>1.848E-2</v>
      </c>
      <c r="HB13">
        <v>1.081E-2</v>
      </c>
      <c r="HC13">
        <v>1.406E-2</v>
      </c>
      <c r="HE13">
        <v>1.24E-2</v>
      </c>
      <c r="HF13">
        <v>1.206E-2</v>
      </c>
      <c r="HG13">
        <v>1.1769999999999999E-2</v>
      </c>
      <c r="HH13">
        <v>1.167E-2</v>
      </c>
      <c r="HI13">
        <v>1.159E-2</v>
      </c>
      <c r="HJ13">
        <v>8.9200000000000008E-3</v>
      </c>
      <c r="HK13">
        <v>1.7420000000000001E-2</v>
      </c>
      <c r="HL13">
        <v>1.813E-2</v>
      </c>
      <c r="HO13">
        <v>2.0330000000000001E-2</v>
      </c>
      <c r="HR13">
        <v>2.2290000000000001E-2</v>
      </c>
      <c r="HS13">
        <v>2.1059999999999999E-2</v>
      </c>
      <c r="HU13">
        <v>1.021E-2</v>
      </c>
      <c r="HV13">
        <v>1.2840000000000001E-2</v>
      </c>
      <c r="HW13">
        <v>1.059E-2</v>
      </c>
      <c r="HX13">
        <v>2.1389999999999999E-2</v>
      </c>
      <c r="HY13">
        <v>2.8479999999999998E-2</v>
      </c>
      <c r="IA13">
        <v>1.4659999999999999E-2</v>
      </c>
      <c r="IB13">
        <v>1.686E-2</v>
      </c>
      <c r="IC13">
        <v>1.201E-2</v>
      </c>
      <c r="ID13">
        <v>1.7100000000000001E-2</v>
      </c>
      <c r="IE13">
        <v>1.5219999999999999E-2</v>
      </c>
      <c r="IF13">
        <v>1.251E-2</v>
      </c>
      <c r="IG13">
        <v>1.315E-2</v>
      </c>
      <c r="IH13">
        <v>1.5890000000000001E-2</v>
      </c>
      <c r="II13">
        <v>1.29E-2</v>
      </c>
      <c r="IJ13">
        <v>1.0449999999999999E-2</v>
      </c>
      <c r="IK13">
        <v>1.1050000000000001E-2</v>
      </c>
      <c r="IL13">
        <v>1.2460000000000001E-2</v>
      </c>
      <c r="IM13">
        <v>1.4E-2</v>
      </c>
      <c r="IN13">
        <v>1.532E-2</v>
      </c>
      <c r="IO13">
        <v>1.6760000000000001E-2</v>
      </c>
      <c r="IQ13">
        <v>2.75E-2</v>
      </c>
      <c r="IS13">
        <v>7.3299999999999997E-3</v>
      </c>
      <c r="IT13">
        <v>1.396E-2</v>
      </c>
      <c r="IV13">
        <v>8.9300000000000004E-3</v>
      </c>
      <c r="IW13">
        <v>1.1440000000000001E-2</v>
      </c>
      <c r="IX13">
        <v>7.4099999999999999E-3</v>
      </c>
      <c r="IY13">
        <v>7.9100000000000004E-3</v>
      </c>
      <c r="IZ13">
        <v>7.0099999999999997E-3</v>
      </c>
      <c r="JA13">
        <v>8.5100000000000002E-3</v>
      </c>
      <c r="JB13">
        <v>8.9599999999999992E-3</v>
      </c>
      <c r="JC13">
        <v>1.023E-2</v>
      </c>
      <c r="JD13">
        <v>1.102E-2</v>
      </c>
      <c r="JE13">
        <v>7.9600000000000001E-3</v>
      </c>
      <c r="JF13">
        <v>1.031E-2</v>
      </c>
      <c r="JG13">
        <v>1.1350000000000001E-2</v>
      </c>
      <c r="JH13">
        <v>2.2599999999999999E-2</v>
      </c>
      <c r="JJ13">
        <v>1.7860000000000001E-2</v>
      </c>
      <c r="JL13">
        <v>1.7749999999999998E-2</v>
      </c>
      <c r="JM13">
        <v>1.857E-2</v>
      </c>
      <c r="JO13">
        <v>4.0660000000000002E-2</v>
      </c>
      <c r="JQ13">
        <v>9.8099999999999993E-3</v>
      </c>
      <c r="JR13">
        <v>1.0109999999999999E-2</v>
      </c>
      <c r="JS13">
        <v>9.7099999999999999E-3</v>
      </c>
      <c r="JT13">
        <v>1.057E-2</v>
      </c>
      <c r="JU13">
        <v>1.0869999999999999E-2</v>
      </c>
      <c r="JW13">
        <v>1.3679999999999999E-2</v>
      </c>
      <c r="JX13">
        <v>1.6310000000000002E-2</v>
      </c>
      <c r="JY13">
        <v>1.366E-2</v>
      </c>
      <c r="JZ13">
        <v>1.6150000000000001E-2</v>
      </c>
      <c r="KA13">
        <v>1.813E-2</v>
      </c>
      <c r="KB13">
        <v>9.7800000000000005E-3</v>
      </c>
      <c r="KC13">
        <v>1.031E-2</v>
      </c>
      <c r="KD13">
        <v>1.125E-2</v>
      </c>
      <c r="KE13">
        <v>1.234E-2</v>
      </c>
      <c r="KF13">
        <v>1.2880000000000001E-2</v>
      </c>
      <c r="KG13">
        <v>1.17E-2</v>
      </c>
      <c r="KH13">
        <v>1.422E-2</v>
      </c>
      <c r="KI13">
        <v>1.678E-2</v>
      </c>
      <c r="KJ13">
        <v>1.7049999999999999E-2</v>
      </c>
      <c r="KK13">
        <v>1.687E-2</v>
      </c>
      <c r="KL13">
        <v>1.694E-2</v>
      </c>
      <c r="KM13">
        <v>1.6570000000000001E-2</v>
      </c>
      <c r="KN13">
        <v>8.7200000000000003E-3</v>
      </c>
      <c r="KO13">
        <v>9.4199999999999996E-3</v>
      </c>
      <c r="KP13">
        <v>1.413E-2</v>
      </c>
      <c r="KQ13">
        <v>1.49E-2</v>
      </c>
      <c r="KR13">
        <v>1.8669999999999999E-2</v>
      </c>
      <c r="KT13">
        <v>2.8969999999999999E-2</v>
      </c>
      <c r="KU13">
        <v>9.7099999999999999E-3</v>
      </c>
      <c r="KV13">
        <v>8.3000000000000001E-3</v>
      </c>
      <c r="KW13">
        <v>8.2699999999999996E-3</v>
      </c>
      <c r="KX13">
        <v>1.925E-2</v>
      </c>
      <c r="KY13">
        <v>7.7400000000000004E-3</v>
      </c>
      <c r="KZ13">
        <v>8.3499999999999998E-3</v>
      </c>
      <c r="LA13">
        <v>1.4290000000000001E-2</v>
      </c>
      <c r="LB13">
        <v>1.3650000000000001E-2</v>
      </c>
      <c r="LC13">
        <v>1.3990000000000001E-2</v>
      </c>
      <c r="LD13">
        <v>1.3990000000000001E-2</v>
      </c>
      <c r="LG13">
        <v>3.023E-2</v>
      </c>
      <c r="LI13">
        <v>1.6310000000000002E-2</v>
      </c>
      <c r="LJ13">
        <v>1.6080000000000001E-2</v>
      </c>
      <c r="LK13">
        <v>1.5959999999999998E-2</v>
      </c>
      <c r="LM13">
        <v>1.141E-2</v>
      </c>
      <c r="LO13">
        <v>2.1989999999999999E-2</v>
      </c>
      <c r="LP13">
        <v>1.536E-2</v>
      </c>
      <c r="LR13">
        <v>1.66E-2</v>
      </c>
      <c r="LS13">
        <v>1.831E-2</v>
      </c>
      <c r="LT13">
        <v>1.519E-2</v>
      </c>
      <c r="LV13">
        <v>3.1029999999999999E-2</v>
      </c>
      <c r="LW13">
        <v>8.6800000000000002E-3</v>
      </c>
      <c r="LX13">
        <v>8.6800000000000002E-3</v>
      </c>
      <c r="MB13">
        <v>8.1399999999999997E-3</v>
      </c>
      <c r="MC13">
        <v>1.311E-2</v>
      </c>
      <c r="MD13">
        <v>1.438E-2</v>
      </c>
      <c r="ME13">
        <v>2.8420000000000001E-2</v>
      </c>
      <c r="MF13">
        <v>3.099E-2</v>
      </c>
      <c r="MH13">
        <v>2.349E-2</v>
      </c>
      <c r="MI13">
        <v>2.2630000000000001E-2</v>
      </c>
      <c r="MK13">
        <v>2.7449999999999999E-2</v>
      </c>
      <c r="ML13">
        <v>3.286E-2</v>
      </c>
      <c r="MM13">
        <v>2.0039999999999999E-2</v>
      </c>
      <c r="MN13">
        <v>8.7600000000000004E-3</v>
      </c>
      <c r="MO13">
        <v>1.021E-2</v>
      </c>
      <c r="MP13">
        <v>1.12E-2</v>
      </c>
      <c r="MR13">
        <v>1.14E-2</v>
      </c>
      <c r="MT13">
        <v>1.4290000000000001E-2</v>
      </c>
      <c r="MU13">
        <v>8.6099999999999996E-3</v>
      </c>
      <c r="MV13">
        <v>1.0489999999999999E-2</v>
      </c>
      <c r="MW13">
        <v>1.1429999999999999E-2</v>
      </c>
      <c r="MX13">
        <v>1.201E-2</v>
      </c>
      <c r="NA13">
        <v>1.1849999999999999E-2</v>
      </c>
      <c r="NB13">
        <v>1.303E-2</v>
      </c>
      <c r="ND13">
        <v>1.384E-2</v>
      </c>
      <c r="NE13">
        <v>1.8440000000000002E-2</v>
      </c>
      <c r="NF13">
        <v>1.5350000000000001E-2</v>
      </c>
      <c r="NG13">
        <v>8.8500000000000002E-3</v>
      </c>
      <c r="NH13">
        <v>7.26E-3</v>
      </c>
      <c r="NI13">
        <v>7.6899999999999998E-3</v>
      </c>
      <c r="NJ13">
        <v>8.8900000000000003E-3</v>
      </c>
      <c r="NK13">
        <v>7.6800000000000002E-3</v>
      </c>
      <c r="NL13">
        <v>8.2400000000000008E-3</v>
      </c>
      <c r="NM13">
        <v>8.9700000000000005E-3</v>
      </c>
      <c r="NN13">
        <v>9.5899999999999996E-3</v>
      </c>
      <c r="NO13">
        <v>1.018E-2</v>
      </c>
      <c r="NP13">
        <v>7.5700000000000003E-3</v>
      </c>
      <c r="NQ13">
        <v>8.2400000000000008E-3</v>
      </c>
      <c r="NR13">
        <v>8.3499999999999998E-3</v>
      </c>
      <c r="NS13">
        <v>9.1500000000000001E-3</v>
      </c>
      <c r="NT13">
        <v>1.035E-2</v>
      </c>
      <c r="NU13">
        <v>7.8200000000000006E-3</v>
      </c>
      <c r="NV13">
        <v>8.4799999999999997E-3</v>
      </c>
      <c r="NW13">
        <v>8.5400000000000007E-3</v>
      </c>
      <c r="NX13">
        <v>9.2099999999999994E-3</v>
      </c>
      <c r="NY13">
        <v>9.3100000000000006E-3</v>
      </c>
      <c r="NZ13">
        <v>9.9799999999999993E-3</v>
      </c>
      <c r="OA13">
        <v>1.0489999999999999E-2</v>
      </c>
      <c r="OB13">
        <v>8.0700000000000008E-3</v>
      </c>
      <c r="OC13">
        <v>8.6599999999999993E-3</v>
      </c>
      <c r="OD13">
        <v>9.1000000000000004E-3</v>
      </c>
      <c r="OE13">
        <v>9.1000000000000004E-3</v>
      </c>
      <c r="OF13">
        <v>1.602E-2</v>
      </c>
      <c r="OG13">
        <v>9.6900000000000007E-3</v>
      </c>
      <c r="OH13">
        <v>9.9299999999999996E-3</v>
      </c>
      <c r="OI13">
        <v>1.074E-2</v>
      </c>
      <c r="OJ13">
        <v>1.123E-2</v>
      </c>
      <c r="OK13">
        <v>1.1780000000000001E-2</v>
      </c>
      <c r="OL13">
        <v>1.231E-2</v>
      </c>
      <c r="OM13">
        <v>8.3999999999999995E-3</v>
      </c>
      <c r="ON13">
        <v>8.9200000000000008E-3</v>
      </c>
      <c r="OO13">
        <v>9.6399999999999993E-3</v>
      </c>
      <c r="OP13">
        <v>1.068E-2</v>
      </c>
      <c r="OQ13">
        <v>1.124E-2</v>
      </c>
      <c r="OR13">
        <v>1.1769999999999999E-2</v>
      </c>
      <c r="OT13">
        <v>8.7299999999999999E-3</v>
      </c>
      <c r="OU13">
        <v>8.9599999999999992E-3</v>
      </c>
      <c r="OV13">
        <v>6.6699999999999997E-3</v>
      </c>
      <c r="OW13">
        <v>6.1799999999999997E-3</v>
      </c>
      <c r="OX13">
        <v>6.0200000000000002E-3</v>
      </c>
      <c r="OY13">
        <v>6.0499999999999998E-3</v>
      </c>
      <c r="OZ13">
        <v>6.28E-3</v>
      </c>
      <c r="PA13">
        <v>1.6580000000000001E-2</v>
      </c>
      <c r="PB13">
        <v>1.7860000000000001E-2</v>
      </c>
      <c r="PC13">
        <v>1.234E-2</v>
      </c>
      <c r="PD13">
        <v>1.073E-2</v>
      </c>
      <c r="PE13">
        <v>9.7699999999999992E-3</v>
      </c>
      <c r="PF13">
        <v>9.6900000000000007E-3</v>
      </c>
      <c r="PG13">
        <v>1.017E-2</v>
      </c>
      <c r="PH13">
        <v>8.94E-3</v>
      </c>
      <c r="PI13">
        <v>1.2489999999999999E-2</v>
      </c>
      <c r="PJ13">
        <v>1.163E-2</v>
      </c>
      <c r="PK13">
        <v>9.6600000000000002E-3</v>
      </c>
      <c r="PL13">
        <v>8.9499999999999996E-3</v>
      </c>
      <c r="PM13">
        <v>8.0999999999999996E-3</v>
      </c>
      <c r="PN13">
        <v>9.6100000000000005E-3</v>
      </c>
      <c r="PO13">
        <v>1.346E-2</v>
      </c>
      <c r="PQ13">
        <v>1.057E-2</v>
      </c>
      <c r="PR13">
        <v>8.8400000000000006E-3</v>
      </c>
      <c r="PS13">
        <v>1.304E-2</v>
      </c>
      <c r="PT13">
        <v>1.221E-2</v>
      </c>
      <c r="PU13">
        <v>7.4599999999999996E-3</v>
      </c>
      <c r="PV13">
        <v>1.0919999999999999E-2</v>
      </c>
      <c r="PW13">
        <v>1.2760000000000001E-2</v>
      </c>
      <c r="PX13">
        <v>1.486E-2</v>
      </c>
      <c r="PZ13">
        <v>2.0449999999999999E-2</v>
      </c>
      <c r="QA13">
        <v>7.8200000000000006E-3</v>
      </c>
      <c r="QB13">
        <v>7.9000000000000008E-3</v>
      </c>
      <c r="QC13">
        <v>9.1000000000000004E-3</v>
      </c>
      <c r="QD13">
        <v>7.7999999999999996E-3</v>
      </c>
      <c r="QE13">
        <v>7.7600000000000004E-3</v>
      </c>
      <c r="QF13">
        <v>8.1099999999999992E-3</v>
      </c>
      <c r="QG13">
        <v>8.2699999999999996E-3</v>
      </c>
      <c r="QH13">
        <v>7.8399999999999997E-3</v>
      </c>
      <c r="QI13">
        <v>8.4200000000000004E-3</v>
      </c>
      <c r="QJ13">
        <v>8.9300000000000004E-3</v>
      </c>
      <c r="QK13">
        <v>7.9900000000000006E-3</v>
      </c>
      <c r="QL13">
        <v>7.62E-3</v>
      </c>
      <c r="QM13">
        <v>8.7600000000000004E-3</v>
      </c>
      <c r="QN13">
        <v>1.3220000000000001E-2</v>
      </c>
      <c r="QO13">
        <v>1.1180000000000001E-2</v>
      </c>
      <c r="QP13">
        <v>1.086E-2</v>
      </c>
      <c r="QQ13">
        <v>1.069E-2</v>
      </c>
      <c r="QR13">
        <v>1.18E-2</v>
      </c>
      <c r="QS13">
        <v>1.2330000000000001E-2</v>
      </c>
      <c r="QT13">
        <v>1.1209999999999999E-2</v>
      </c>
      <c r="QU13">
        <v>1.163E-2</v>
      </c>
      <c r="QW13">
        <v>1.086E-2</v>
      </c>
      <c r="QY13">
        <v>1.057E-2</v>
      </c>
      <c r="QZ13">
        <v>1.128E-2</v>
      </c>
      <c r="RA13">
        <v>1.43E-2</v>
      </c>
      <c r="RB13">
        <v>1.6670000000000001E-2</v>
      </c>
      <c r="RD13">
        <v>2.7720000000000002E-2</v>
      </c>
      <c r="RF13">
        <v>1.583E-2</v>
      </c>
      <c r="RG13">
        <v>1.0410000000000001E-2</v>
      </c>
      <c r="RH13">
        <v>9.3299999999999998E-3</v>
      </c>
      <c r="RJ13">
        <v>2.051E-2</v>
      </c>
      <c r="RK13">
        <v>1.857E-2</v>
      </c>
      <c r="RL13">
        <v>1.6E-2</v>
      </c>
      <c r="RM13">
        <v>8.6800000000000002E-3</v>
      </c>
      <c r="RN13">
        <v>8.4799999999999997E-3</v>
      </c>
      <c r="RO13">
        <v>8.4899999999999993E-3</v>
      </c>
      <c r="RP13">
        <v>8.3300000000000006E-3</v>
      </c>
      <c r="RQ13">
        <v>8.9099999999999995E-3</v>
      </c>
      <c r="RR13">
        <v>8.5599999999999999E-3</v>
      </c>
      <c r="RS13">
        <v>8.7399999999999995E-3</v>
      </c>
      <c r="RT13">
        <v>7.79E-3</v>
      </c>
      <c r="RU13">
        <v>8.09E-3</v>
      </c>
      <c r="RV13">
        <v>8.8699999999999994E-3</v>
      </c>
      <c r="RW13">
        <v>9.8899999999999995E-3</v>
      </c>
      <c r="RY13">
        <v>7.1599999999999997E-3</v>
      </c>
      <c r="RZ13">
        <v>1.4930000000000001E-2</v>
      </c>
      <c r="SA13">
        <v>2.8209999999999999E-2</v>
      </c>
      <c r="SB13">
        <v>2.6450000000000001E-2</v>
      </c>
      <c r="SD13">
        <v>1.1429999999999999E-2</v>
      </c>
      <c r="SE13">
        <v>1.009E-2</v>
      </c>
      <c r="SF13">
        <v>1.0630000000000001E-2</v>
      </c>
      <c r="SG13">
        <v>1.3939999999999999E-2</v>
      </c>
      <c r="SH13">
        <v>1.6719999999999999E-2</v>
      </c>
      <c r="SI13">
        <v>1.065E-2</v>
      </c>
      <c r="SJ13">
        <v>8.8900000000000003E-3</v>
      </c>
      <c r="SK13">
        <v>9.0900000000000009E-3</v>
      </c>
      <c r="SL13">
        <v>8.4100000000000008E-3</v>
      </c>
      <c r="SN13">
        <v>8.09E-3</v>
      </c>
      <c r="SO13">
        <v>8.1399999999999997E-3</v>
      </c>
      <c r="SP13">
        <v>8.5699999999999995E-3</v>
      </c>
      <c r="SQ13">
        <v>9.1299999999999992E-3</v>
      </c>
      <c r="SR13">
        <v>8.1300000000000001E-3</v>
      </c>
      <c r="SS13">
        <v>8.2799999999999992E-3</v>
      </c>
      <c r="ST13">
        <v>8.1200000000000005E-3</v>
      </c>
      <c r="SU13">
        <v>8.2199999999999999E-3</v>
      </c>
      <c r="SV13">
        <v>9.0699999999999999E-3</v>
      </c>
      <c r="SW13">
        <v>8.26E-3</v>
      </c>
      <c r="SX13">
        <v>1.0630000000000001E-2</v>
      </c>
      <c r="SY13">
        <v>8.0800000000000004E-3</v>
      </c>
      <c r="SZ13">
        <v>8.8299999999999993E-3</v>
      </c>
      <c r="TA13">
        <v>1.004E-2</v>
      </c>
      <c r="TB13">
        <v>7.8499999999999993E-3</v>
      </c>
      <c r="TC13">
        <v>8.0199999999999994E-3</v>
      </c>
      <c r="TD13">
        <v>1.3089999999999999E-2</v>
      </c>
      <c r="TE13">
        <v>8.6999999999999994E-3</v>
      </c>
      <c r="TF13">
        <v>1.061E-2</v>
      </c>
      <c r="TG13">
        <v>9.1999999999999998E-3</v>
      </c>
      <c r="TH13">
        <v>9.2300000000000004E-3</v>
      </c>
      <c r="TI13">
        <v>8.7399999999999995E-3</v>
      </c>
      <c r="TJ13">
        <v>8.4600000000000005E-3</v>
      </c>
      <c r="TK13">
        <v>8.0599999999999995E-3</v>
      </c>
      <c r="TL13">
        <v>7.4200000000000004E-3</v>
      </c>
      <c r="TM13">
        <v>7.0699999999999999E-3</v>
      </c>
      <c r="TN13">
        <v>7.43E-3</v>
      </c>
      <c r="TO13">
        <v>8.7399999999999995E-3</v>
      </c>
      <c r="TP13">
        <v>9.4199999999999996E-3</v>
      </c>
      <c r="TQ13">
        <v>6.7299999999999999E-3</v>
      </c>
      <c r="TR13">
        <v>9.4299999999999991E-3</v>
      </c>
      <c r="TS13">
        <v>1.176E-2</v>
      </c>
      <c r="TT13">
        <v>1.154E-2</v>
      </c>
      <c r="TU13">
        <v>9.6699999999999998E-3</v>
      </c>
      <c r="TV13">
        <v>1.1180000000000001E-2</v>
      </c>
      <c r="TW13">
        <v>7.6E-3</v>
      </c>
      <c r="TX13">
        <v>7.6099999999999996E-3</v>
      </c>
      <c r="TY13">
        <v>7.2300000000000003E-3</v>
      </c>
      <c r="TZ13">
        <v>7.3000000000000001E-3</v>
      </c>
      <c r="UA13">
        <v>6.6899999999999998E-3</v>
      </c>
      <c r="UB13">
        <v>8.0099999999999998E-3</v>
      </c>
      <c r="UC13">
        <v>7.6800000000000002E-3</v>
      </c>
      <c r="UD13">
        <v>7.7499999999999999E-3</v>
      </c>
      <c r="UE13">
        <v>7.9399999999999991E-3</v>
      </c>
      <c r="UG13">
        <v>8.9800000000000001E-3</v>
      </c>
      <c r="UH13">
        <v>7.8499999999999993E-3</v>
      </c>
      <c r="UI13">
        <v>9.3699999999999999E-3</v>
      </c>
      <c r="UJ13">
        <v>8.5400000000000007E-3</v>
      </c>
      <c r="UK13">
        <v>6.9699999999999996E-3</v>
      </c>
      <c r="UL13">
        <v>8.1099999999999992E-3</v>
      </c>
      <c r="UM13">
        <v>8.7100000000000007E-3</v>
      </c>
      <c r="UN13">
        <v>7.8700000000000003E-3</v>
      </c>
      <c r="UO13">
        <v>8.4600000000000005E-3</v>
      </c>
      <c r="UP13">
        <v>1.0290000000000001E-2</v>
      </c>
      <c r="UQ13">
        <v>7.8499999999999993E-3</v>
      </c>
      <c r="UR13">
        <v>8.0599999999999995E-3</v>
      </c>
      <c r="US13">
        <v>7.9799999999999992E-3</v>
      </c>
      <c r="UT13">
        <v>7.9699999999999997E-3</v>
      </c>
      <c r="UU13">
        <v>8.3199999999999993E-3</v>
      </c>
      <c r="UV13">
        <v>7.9100000000000004E-3</v>
      </c>
      <c r="UW13">
        <v>1.238E-2</v>
      </c>
      <c r="UX13">
        <v>1.034E-2</v>
      </c>
      <c r="UY13">
        <v>1.0059999999999999E-2</v>
      </c>
      <c r="VA13">
        <v>1.238E-2</v>
      </c>
      <c r="VB13">
        <v>1.051E-2</v>
      </c>
      <c r="VC13">
        <v>1.32E-2</v>
      </c>
      <c r="VD13">
        <v>2.5090000000000001E-2</v>
      </c>
      <c r="VE13">
        <v>2.3539999999999998E-2</v>
      </c>
      <c r="VF13">
        <v>3.141E-2</v>
      </c>
      <c r="VH13">
        <v>1.4370000000000001E-2</v>
      </c>
      <c r="VI13">
        <v>1.4789999999999999E-2</v>
      </c>
    </row>
    <row r="14" spans="1:581" x14ac:dyDescent="0.25">
      <c r="A14">
        <v>275000</v>
      </c>
      <c r="B14">
        <v>6.3800000000000003E-3</v>
      </c>
      <c r="C14">
        <v>6.2700000000000004E-3</v>
      </c>
      <c r="D14">
        <v>6.3699999999999998E-3</v>
      </c>
      <c r="E14">
        <v>6.1000000000000004E-3</v>
      </c>
      <c r="F14">
        <v>6.0499999999999998E-3</v>
      </c>
      <c r="G14">
        <v>6.3699999999999998E-3</v>
      </c>
      <c r="H14">
        <v>6.13E-3</v>
      </c>
      <c r="I14">
        <v>6.1599999999999997E-3</v>
      </c>
      <c r="J14">
        <v>6.1500000000000001E-3</v>
      </c>
      <c r="K14">
        <v>6.2899999999999996E-3</v>
      </c>
      <c r="L14">
        <v>6.2500000000000003E-3</v>
      </c>
      <c r="M14">
        <v>6.2300000000000003E-3</v>
      </c>
      <c r="N14">
        <v>6.2199999999999998E-3</v>
      </c>
      <c r="O14">
        <v>7.8300000000000002E-3</v>
      </c>
      <c r="P14">
        <v>7.5900000000000004E-3</v>
      </c>
      <c r="Q14">
        <v>7.3899999999999999E-3</v>
      </c>
      <c r="R14">
        <v>6.79E-3</v>
      </c>
      <c r="S14">
        <v>6.7099999999999998E-3</v>
      </c>
      <c r="T14">
        <v>6.4599999999999996E-3</v>
      </c>
      <c r="U14">
        <v>6.7999999999999996E-3</v>
      </c>
      <c r="V14">
        <v>6.6800000000000002E-3</v>
      </c>
      <c r="W14">
        <v>5.9199999999999999E-3</v>
      </c>
      <c r="X14">
        <v>6.0899999999999999E-3</v>
      </c>
      <c r="Y14">
        <v>5.6899999999999997E-3</v>
      </c>
      <c r="Z14">
        <v>5.79E-3</v>
      </c>
      <c r="AA14">
        <v>1.6199999999999999E-2</v>
      </c>
      <c r="AB14">
        <v>9.7400000000000004E-3</v>
      </c>
      <c r="AD14">
        <v>9.3100000000000006E-3</v>
      </c>
      <c r="AE14">
        <v>1.061E-2</v>
      </c>
      <c r="AG14">
        <v>1.6719999999999999E-2</v>
      </c>
      <c r="AH14">
        <v>1.6539999999999999E-2</v>
      </c>
      <c r="AJ14">
        <v>1.2970000000000001E-2</v>
      </c>
      <c r="AK14">
        <v>1.3299999999999999E-2</v>
      </c>
      <c r="AL14">
        <v>1.3010000000000001E-2</v>
      </c>
      <c r="AM14">
        <v>1.8329999999999999E-2</v>
      </c>
      <c r="AO14">
        <v>2.81E-2</v>
      </c>
      <c r="AP14">
        <v>1.583E-2</v>
      </c>
      <c r="AQ14">
        <v>2.614E-2</v>
      </c>
      <c r="AT14">
        <v>1.5100000000000001E-2</v>
      </c>
      <c r="AV14">
        <v>2.171E-2</v>
      </c>
      <c r="AX14">
        <v>1.6160000000000001E-2</v>
      </c>
      <c r="AY14">
        <v>1.8939999999999999E-2</v>
      </c>
      <c r="AZ14">
        <v>1.7440000000000001E-2</v>
      </c>
      <c r="BB14">
        <v>1.1939999999999999E-2</v>
      </c>
      <c r="BC14">
        <v>1.374E-2</v>
      </c>
      <c r="BD14">
        <v>1.474E-2</v>
      </c>
      <c r="BF14">
        <v>1.8239999999999999E-2</v>
      </c>
      <c r="BG14">
        <v>1.4420000000000001E-2</v>
      </c>
      <c r="BI14">
        <v>1.9769999999999999E-2</v>
      </c>
      <c r="BJ14">
        <v>1.54E-2</v>
      </c>
      <c r="BK14">
        <v>1.494E-2</v>
      </c>
      <c r="BN14">
        <v>8.43E-3</v>
      </c>
      <c r="BO14">
        <v>1.499E-2</v>
      </c>
      <c r="BP14">
        <v>1.0059999999999999E-2</v>
      </c>
      <c r="BQ14">
        <v>8.6099999999999996E-3</v>
      </c>
      <c r="BR14">
        <v>1.0070000000000001E-2</v>
      </c>
      <c r="BS14">
        <v>1.213E-2</v>
      </c>
      <c r="BT14">
        <v>1.8550000000000001E-2</v>
      </c>
      <c r="BU14">
        <v>1.3769999999999999E-2</v>
      </c>
      <c r="BV14">
        <v>1.4420000000000001E-2</v>
      </c>
      <c r="BW14">
        <v>1.367E-2</v>
      </c>
      <c r="BX14">
        <v>1.3089999999999999E-2</v>
      </c>
      <c r="BY14">
        <v>1.401E-2</v>
      </c>
      <c r="BZ14">
        <v>1.2500000000000001E-2</v>
      </c>
      <c r="CA14">
        <v>1.4460000000000001E-2</v>
      </c>
      <c r="CB14">
        <v>9.3100000000000006E-3</v>
      </c>
      <c r="CC14">
        <v>1.0659999999999999E-2</v>
      </c>
      <c r="CD14">
        <v>9.5600000000000008E-3</v>
      </c>
      <c r="CE14">
        <v>8.3400000000000002E-3</v>
      </c>
      <c r="CF14">
        <v>8.2100000000000003E-3</v>
      </c>
      <c r="CG14">
        <v>8.0800000000000004E-3</v>
      </c>
      <c r="CH14">
        <v>8.0499999999999999E-3</v>
      </c>
      <c r="CI14">
        <v>8.0999999999999996E-3</v>
      </c>
      <c r="CJ14">
        <v>8.2799999999999992E-3</v>
      </c>
      <c r="CK14">
        <v>9.9900000000000006E-3</v>
      </c>
      <c r="CL14">
        <v>8.5400000000000007E-3</v>
      </c>
      <c r="CM14">
        <v>9.1699999999999993E-3</v>
      </c>
      <c r="CN14">
        <v>1.0109999999999999E-2</v>
      </c>
      <c r="CO14">
        <v>9.0200000000000002E-3</v>
      </c>
      <c r="CP14">
        <v>1.043E-2</v>
      </c>
      <c r="CQ14">
        <v>8.7299999999999999E-3</v>
      </c>
      <c r="CR14">
        <v>9.0100000000000006E-3</v>
      </c>
      <c r="CS14">
        <v>1.013E-2</v>
      </c>
      <c r="CT14">
        <v>1.0630000000000001E-2</v>
      </c>
      <c r="CU14">
        <v>8.6499999999999997E-3</v>
      </c>
      <c r="CV14">
        <v>8.7899999999999992E-3</v>
      </c>
      <c r="CW14">
        <v>9.0500000000000008E-3</v>
      </c>
      <c r="CY14">
        <v>1.059E-2</v>
      </c>
      <c r="CZ14">
        <v>8.2199999999999999E-3</v>
      </c>
      <c r="DA14">
        <v>7.9799999999999992E-3</v>
      </c>
      <c r="DB14">
        <v>7.7499999999999999E-3</v>
      </c>
      <c r="DC14">
        <v>7.7000000000000002E-3</v>
      </c>
      <c r="DD14">
        <v>7.8499999999999993E-3</v>
      </c>
      <c r="DE14">
        <v>8.2500000000000004E-3</v>
      </c>
      <c r="DF14">
        <v>1.9019999999999999E-2</v>
      </c>
      <c r="DG14">
        <v>1.0959999999999999E-2</v>
      </c>
      <c r="DH14">
        <v>1.6379999999999999E-2</v>
      </c>
      <c r="DI14">
        <v>1.5640000000000001E-2</v>
      </c>
      <c r="DJ14">
        <v>1.4999999999999999E-2</v>
      </c>
      <c r="DK14">
        <v>1.44E-2</v>
      </c>
      <c r="DM14">
        <v>1.3220000000000001E-2</v>
      </c>
      <c r="DN14">
        <v>1.201E-2</v>
      </c>
      <c r="DO14">
        <v>1.1429999999999999E-2</v>
      </c>
      <c r="DP14">
        <v>1.1180000000000001E-2</v>
      </c>
      <c r="DQ14">
        <v>1.095E-2</v>
      </c>
      <c r="DR14">
        <v>1.5310000000000001E-2</v>
      </c>
      <c r="DS14">
        <v>1.4200000000000001E-2</v>
      </c>
      <c r="DT14">
        <v>1.387E-2</v>
      </c>
      <c r="DU14">
        <v>1.3129999999999999E-2</v>
      </c>
      <c r="DV14">
        <v>1.277E-2</v>
      </c>
      <c r="DW14">
        <v>1.5949999999999999E-2</v>
      </c>
      <c r="DX14">
        <v>1.54E-2</v>
      </c>
      <c r="DY14">
        <v>1.477E-2</v>
      </c>
      <c r="DZ14">
        <v>1.444E-2</v>
      </c>
      <c r="EA14">
        <v>1.0699999999999999E-2</v>
      </c>
      <c r="EB14">
        <v>1.0699999999999999E-2</v>
      </c>
      <c r="EC14">
        <v>9.7000000000000003E-3</v>
      </c>
      <c r="ED14">
        <v>2.8559999999999999E-2</v>
      </c>
      <c r="EF14">
        <v>2.8580000000000001E-2</v>
      </c>
      <c r="EH14">
        <v>2.887E-2</v>
      </c>
      <c r="EI14">
        <v>8.8800000000000007E-3</v>
      </c>
      <c r="EJ14">
        <v>8.3700000000000007E-3</v>
      </c>
      <c r="EK14">
        <v>8.5500000000000003E-3</v>
      </c>
      <c r="EL14">
        <v>9.7000000000000003E-3</v>
      </c>
      <c r="EM14">
        <v>1.093E-2</v>
      </c>
      <c r="EN14">
        <v>1.145E-2</v>
      </c>
      <c r="EO14">
        <v>1.2019999999999999E-2</v>
      </c>
      <c r="EP14">
        <v>1.174E-2</v>
      </c>
      <c r="EQ14">
        <v>1.201E-2</v>
      </c>
      <c r="ER14">
        <v>2.0930000000000001E-2</v>
      </c>
      <c r="EV14">
        <v>1.5959999999999998E-2</v>
      </c>
      <c r="EW14">
        <v>1.4789999999999999E-2</v>
      </c>
      <c r="EY14">
        <v>8.3899999999999999E-3</v>
      </c>
      <c r="EZ14">
        <v>8.5900000000000004E-3</v>
      </c>
      <c r="FA14">
        <v>1.3979999999999999E-2</v>
      </c>
      <c r="FB14">
        <v>1.401E-2</v>
      </c>
      <c r="FC14">
        <v>1.4279999999999999E-2</v>
      </c>
      <c r="FD14">
        <v>1.209E-2</v>
      </c>
      <c r="FE14">
        <v>1.443E-2</v>
      </c>
      <c r="FF14">
        <v>9.9699999999999997E-3</v>
      </c>
      <c r="FG14">
        <v>1.04E-2</v>
      </c>
      <c r="FH14">
        <v>1.307E-2</v>
      </c>
      <c r="FI14">
        <v>1.098E-2</v>
      </c>
      <c r="FJ14">
        <v>1.034E-2</v>
      </c>
      <c r="FK14">
        <v>1.1560000000000001E-2</v>
      </c>
      <c r="FL14">
        <v>1.023E-2</v>
      </c>
      <c r="FM14">
        <v>1.8720000000000001E-2</v>
      </c>
      <c r="FN14">
        <v>1.678E-2</v>
      </c>
      <c r="FO14">
        <v>1.323E-2</v>
      </c>
      <c r="FP14">
        <v>1.244E-2</v>
      </c>
      <c r="FR14">
        <v>2.1610000000000001E-2</v>
      </c>
      <c r="FT14">
        <v>1.9640000000000001E-2</v>
      </c>
      <c r="FU14">
        <v>1.7350000000000001E-2</v>
      </c>
      <c r="FV14">
        <v>1.4710000000000001E-2</v>
      </c>
      <c r="FW14">
        <v>1.5180000000000001E-2</v>
      </c>
      <c r="FX14">
        <v>1.593E-2</v>
      </c>
      <c r="FY14">
        <v>1.6650000000000002E-2</v>
      </c>
      <c r="FZ14">
        <v>1.4080000000000001E-2</v>
      </c>
      <c r="GA14">
        <v>1.502E-2</v>
      </c>
      <c r="GB14">
        <v>1.324E-2</v>
      </c>
      <c r="GC14">
        <v>1.439E-2</v>
      </c>
      <c r="GD14">
        <v>1.2970000000000001E-2</v>
      </c>
      <c r="GE14">
        <v>1.392E-2</v>
      </c>
      <c r="GF14">
        <v>1.1730000000000001E-2</v>
      </c>
      <c r="GG14">
        <v>1.1809999999999999E-2</v>
      </c>
      <c r="GH14">
        <v>1.192E-2</v>
      </c>
      <c r="GI14">
        <v>1.1950000000000001E-2</v>
      </c>
      <c r="GJ14">
        <v>1.217E-2</v>
      </c>
      <c r="GK14">
        <v>1.2489999999999999E-2</v>
      </c>
      <c r="GL14">
        <v>1.3100000000000001E-2</v>
      </c>
      <c r="GM14">
        <v>1.12E-2</v>
      </c>
      <c r="GN14">
        <v>1.976E-2</v>
      </c>
      <c r="GO14">
        <v>1.2880000000000001E-2</v>
      </c>
      <c r="GP14">
        <v>1.4290000000000001E-2</v>
      </c>
      <c r="GQ14">
        <v>1.5679999999999999E-2</v>
      </c>
      <c r="GR14">
        <v>1.653E-2</v>
      </c>
      <c r="GS14">
        <v>1.3679999999999999E-2</v>
      </c>
      <c r="GT14">
        <v>1.5010000000000001E-2</v>
      </c>
      <c r="GU14">
        <v>1.443E-2</v>
      </c>
      <c r="GV14">
        <v>1.268E-2</v>
      </c>
      <c r="GW14">
        <v>1.418E-2</v>
      </c>
      <c r="GX14">
        <v>1.0120000000000001E-2</v>
      </c>
      <c r="GY14">
        <v>2.0830000000000001E-2</v>
      </c>
      <c r="GZ14">
        <v>1.6820000000000002E-2</v>
      </c>
      <c r="HB14">
        <v>9.75E-3</v>
      </c>
      <c r="HC14">
        <v>1.3780000000000001E-2</v>
      </c>
      <c r="HE14">
        <v>1.205E-2</v>
      </c>
      <c r="HF14">
        <v>1.1639999999999999E-2</v>
      </c>
      <c r="HG14">
        <v>1.1339999999999999E-2</v>
      </c>
      <c r="HH14">
        <v>1.125E-2</v>
      </c>
      <c r="HJ14">
        <v>8.2100000000000003E-3</v>
      </c>
      <c r="HK14">
        <v>1.651E-2</v>
      </c>
      <c r="HL14">
        <v>1.6830000000000001E-2</v>
      </c>
      <c r="HN14">
        <v>1.6230000000000001E-2</v>
      </c>
      <c r="HO14">
        <v>1.7909999999999999E-2</v>
      </c>
      <c r="HP14">
        <v>9.1999999999999998E-3</v>
      </c>
      <c r="HR14">
        <v>2.1239999999999998E-2</v>
      </c>
      <c r="HS14">
        <v>2.009E-2</v>
      </c>
      <c r="HU14">
        <v>9.4800000000000006E-3</v>
      </c>
      <c r="HV14">
        <v>1.1809999999999999E-2</v>
      </c>
      <c r="HW14">
        <v>9.8499999999999994E-3</v>
      </c>
      <c r="HX14">
        <v>1.9650000000000001E-2</v>
      </c>
      <c r="HY14">
        <v>2.6349999999999998E-2</v>
      </c>
      <c r="HZ14">
        <v>1.091E-2</v>
      </c>
      <c r="IA14">
        <v>1.4E-2</v>
      </c>
      <c r="IB14">
        <v>1.5980000000000001E-2</v>
      </c>
      <c r="IC14">
        <v>1.1520000000000001E-2</v>
      </c>
      <c r="ID14">
        <v>1.5980000000000001E-2</v>
      </c>
      <c r="IE14">
        <v>1.439E-2</v>
      </c>
      <c r="IF14">
        <v>1.154E-2</v>
      </c>
      <c r="IG14">
        <v>1.2319999999999999E-2</v>
      </c>
      <c r="IH14">
        <v>1.4829999999999999E-2</v>
      </c>
      <c r="II14">
        <v>1.192E-2</v>
      </c>
      <c r="IJ14">
        <v>9.9600000000000001E-3</v>
      </c>
      <c r="IK14">
        <v>1.0580000000000001E-2</v>
      </c>
      <c r="IL14">
        <v>1.193E-2</v>
      </c>
      <c r="IM14">
        <v>1.329E-2</v>
      </c>
      <c r="IN14">
        <v>1.4619999999999999E-2</v>
      </c>
      <c r="IO14">
        <v>1.6060000000000001E-2</v>
      </c>
      <c r="IP14">
        <v>2.2169999999999999E-2</v>
      </c>
      <c r="IS14">
        <v>6.9699999999999996E-3</v>
      </c>
      <c r="IT14">
        <v>1.304E-2</v>
      </c>
      <c r="IU14">
        <v>1.43E-2</v>
      </c>
      <c r="IV14">
        <v>8.4899999999999993E-3</v>
      </c>
      <c r="IW14">
        <v>1.0749999999999999E-2</v>
      </c>
      <c r="IX14">
        <v>7.1500000000000001E-3</v>
      </c>
      <c r="IY14">
        <v>7.3899999999999999E-3</v>
      </c>
      <c r="IZ14">
        <v>6.7400000000000003E-3</v>
      </c>
      <c r="JA14">
        <v>8.1099999999999992E-3</v>
      </c>
      <c r="JB14">
        <v>8.6899999999999998E-3</v>
      </c>
      <c r="JC14">
        <v>9.7400000000000004E-3</v>
      </c>
      <c r="JD14">
        <v>1.023E-2</v>
      </c>
      <c r="JE14">
        <v>7.7099999999999998E-3</v>
      </c>
      <c r="JF14">
        <v>9.8200000000000006E-3</v>
      </c>
      <c r="JG14">
        <v>1.047E-2</v>
      </c>
      <c r="JH14">
        <v>2.1180000000000001E-2</v>
      </c>
      <c r="JI14">
        <v>1.728E-2</v>
      </c>
      <c r="JL14">
        <v>1.5959999999999998E-2</v>
      </c>
      <c r="JM14">
        <v>1.7080000000000001E-2</v>
      </c>
      <c r="JO14">
        <v>3.8559999999999997E-2</v>
      </c>
      <c r="JP14">
        <v>2.1129999999999999E-2</v>
      </c>
      <c r="JQ14">
        <v>9.2599999999999991E-3</v>
      </c>
      <c r="JR14">
        <v>9.6500000000000006E-3</v>
      </c>
      <c r="JS14">
        <v>9.1699999999999993E-3</v>
      </c>
      <c r="JT14">
        <v>1.0059999999999999E-2</v>
      </c>
      <c r="JU14">
        <v>1.0319999999999999E-2</v>
      </c>
      <c r="JW14">
        <v>1.281E-2</v>
      </c>
      <c r="JX14">
        <v>1.439E-2</v>
      </c>
      <c r="JY14">
        <v>1.303E-2</v>
      </c>
      <c r="JZ14">
        <v>1.5140000000000001E-2</v>
      </c>
      <c r="KA14">
        <v>1.687E-2</v>
      </c>
      <c r="KB14">
        <v>9.3200000000000002E-3</v>
      </c>
      <c r="KC14">
        <v>9.8200000000000006E-3</v>
      </c>
      <c r="KD14">
        <v>1.0670000000000001E-2</v>
      </c>
      <c r="KE14">
        <v>1.167E-2</v>
      </c>
      <c r="KF14">
        <v>1.2619999999999999E-2</v>
      </c>
      <c r="KG14">
        <v>1.133E-2</v>
      </c>
      <c r="KH14">
        <v>1.329E-2</v>
      </c>
      <c r="KI14">
        <v>1.5740000000000001E-2</v>
      </c>
      <c r="KJ14">
        <v>1.593E-2</v>
      </c>
      <c r="KK14">
        <v>1.5810000000000001E-2</v>
      </c>
      <c r="KL14">
        <v>1.5810000000000001E-2</v>
      </c>
      <c r="KM14">
        <v>1.5730000000000001E-2</v>
      </c>
      <c r="KN14">
        <v>8.4799999999999997E-3</v>
      </c>
      <c r="KO14">
        <v>9.0600000000000003E-3</v>
      </c>
      <c r="KP14">
        <v>1.349E-2</v>
      </c>
      <c r="KQ14">
        <v>1.405E-2</v>
      </c>
      <c r="KR14">
        <v>1.7229999999999999E-2</v>
      </c>
      <c r="KT14">
        <v>2.5690000000000001E-2</v>
      </c>
      <c r="KU14">
        <v>9.11E-3</v>
      </c>
      <c r="KV14">
        <v>7.8799999999999999E-3</v>
      </c>
      <c r="KW14">
        <v>7.9000000000000008E-3</v>
      </c>
      <c r="KX14">
        <v>1.8280000000000001E-2</v>
      </c>
      <c r="KY14">
        <v>7.1999999999999998E-3</v>
      </c>
      <c r="KZ14">
        <v>8.0400000000000003E-3</v>
      </c>
      <c r="LA14">
        <v>1.323E-2</v>
      </c>
      <c r="LC14">
        <v>1.303E-2</v>
      </c>
      <c r="LD14">
        <v>1.303E-2</v>
      </c>
      <c r="LI14">
        <v>1.5509999999999999E-2</v>
      </c>
      <c r="LJ14">
        <v>1.5339999999999999E-2</v>
      </c>
      <c r="LK14">
        <v>1.537E-2</v>
      </c>
      <c r="LM14">
        <v>1.0489999999999999E-2</v>
      </c>
      <c r="LO14">
        <v>1.9369999999999998E-2</v>
      </c>
      <c r="LP14">
        <v>1.417E-2</v>
      </c>
      <c r="LR14">
        <v>1.562E-2</v>
      </c>
      <c r="LS14">
        <v>1.7739999999999999E-2</v>
      </c>
      <c r="LT14">
        <v>1.417E-2</v>
      </c>
      <c r="LW14">
        <v>8.0499999999999999E-3</v>
      </c>
      <c r="LX14">
        <v>8.1499999999999993E-3</v>
      </c>
      <c r="MB14">
        <v>7.7200000000000003E-3</v>
      </c>
      <c r="MC14">
        <v>1.2409999999999999E-2</v>
      </c>
      <c r="MD14">
        <v>1.3469999999999999E-2</v>
      </c>
      <c r="ME14">
        <v>2.5579999999999999E-2</v>
      </c>
      <c r="MF14">
        <v>2.8590000000000001E-2</v>
      </c>
      <c r="MI14">
        <v>2.1690000000000001E-2</v>
      </c>
      <c r="MJ14">
        <v>2.3630000000000002E-2</v>
      </c>
      <c r="MK14">
        <v>2.547E-2</v>
      </c>
      <c r="ML14">
        <v>3.007E-2</v>
      </c>
      <c r="MM14">
        <v>1.873E-2</v>
      </c>
      <c r="MN14">
        <v>8.4600000000000005E-3</v>
      </c>
      <c r="MO14">
        <v>9.7400000000000004E-3</v>
      </c>
      <c r="MP14">
        <v>1.055E-2</v>
      </c>
      <c r="MQ14">
        <v>8.8900000000000003E-3</v>
      </c>
      <c r="MR14">
        <v>1.0670000000000001E-2</v>
      </c>
      <c r="MT14">
        <v>1.346E-2</v>
      </c>
      <c r="MU14">
        <v>8.1799999999999998E-3</v>
      </c>
      <c r="MV14">
        <v>9.9000000000000008E-3</v>
      </c>
      <c r="MW14">
        <v>1.077E-2</v>
      </c>
      <c r="MX14">
        <v>1.1220000000000001E-2</v>
      </c>
      <c r="NA14">
        <v>1.136E-2</v>
      </c>
      <c r="NB14">
        <v>1.227E-2</v>
      </c>
      <c r="ND14">
        <v>1.2959999999999999E-2</v>
      </c>
      <c r="NE14">
        <v>1.6889999999999999E-2</v>
      </c>
      <c r="NF14">
        <v>1.4590000000000001E-2</v>
      </c>
      <c r="NG14">
        <v>8.43E-3</v>
      </c>
      <c r="NH14">
        <v>6.8100000000000001E-3</v>
      </c>
      <c r="NI14">
        <v>7.28E-3</v>
      </c>
      <c r="NJ14">
        <v>8.4600000000000005E-3</v>
      </c>
      <c r="NK14">
        <v>7.2399999999999999E-3</v>
      </c>
      <c r="NL14">
        <v>7.8300000000000002E-3</v>
      </c>
      <c r="NM14">
        <v>8.5199999999999998E-3</v>
      </c>
      <c r="NN14">
        <v>9.0900000000000009E-3</v>
      </c>
      <c r="NO14">
        <v>9.6200000000000001E-3</v>
      </c>
      <c r="NP14">
        <v>7.1599999999999997E-3</v>
      </c>
      <c r="NQ14">
        <v>7.8300000000000002E-3</v>
      </c>
      <c r="NR14">
        <v>7.9399999999999991E-3</v>
      </c>
      <c r="NS14">
        <v>8.6800000000000002E-3</v>
      </c>
      <c r="NT14">
        <v>9.7599999999999996E-3</v>
      </c>
      <c r="NU14">
        <v>7.4000000000000003E-3</v>
      </c>
      <c r="NV14">
        <v>8.0599999999999995E-3</v>
      </c>
      <c r="NW14">
        <v>8.09E-3</v>
      </c>
      <c r="NX14">
        <v>8.6800000000000002E-3</v>
      </c>
      <c r="NY14">
        <v>8.8100000000000001E-3</v>
      </c>
      <c r="NZ14">
        <v>9.4199999999999996E-3</v>
      </c>
      <c r="OA14">
        <v>9.8799999999999999E-3</v>
      </c>
      <c r="OB14">
        <v>7.5700000000000003E-3</v>
      </c>
      <c r="OC14">
        <v>8.2100000000000003E-3</v>
      </c>
      <c r="OD14">
        <v>8.5699999999999995E-3</v>
      </c>
      <c r="OE14">
        <v>8.5699999999999995E-3</v>
      </c>
      <c r="OF14">
        <v>1.4930000000000001E-2</v>
      </c>
      <c r="OG14">
        <v>9.1199999999999996E-3</v>
      </c>
      <c r="OH14">
        <v>9.3100000000000006E-3</v>
      </c>
      <c r="OI14">
        <v>1.008E-2</v>
      </c>
      <c r="OJ14">
        <v>1.056E-2</v>
      </c>
      <c r="OK14">
        <v>1.103E-2</v>
      </c>
      <c r="OL14">
        <v>1.1480000000000001E-2</v>
      </c>
      <c r="OM14">
        <v>7.7600000000000004E-3</v>
      </c>
      <c r="ON14">
        <v>8.4399999999999996E-3</v>
      </c>
      <c r="OO14">
        <v>9.0799999999999995E-3</v>
      </c>
      <c r="OP14">
        <v>1.0070000000000001E-2</v>
      </c>
      <c r="OQ14">
        <v>1.059E-2</v>
      </c>
      <c r="OR14">
        <v>1.0999999999999999E-2</v>
      </c>
      <c r="OT14">
        <v>8.2400000000000008E-3</v>
      </c>
      <c r="OU14">
        <v>8.5100000000000002E-3</v>
      </c>
      <c r="OV14">
        <v>6.3899999999999998E-3</v>
      </c>
      <c r="OW14">
        <v>5.9100000000000003E-3</v>
      </c>
      <c r="OX14">
        <v>5.7400000000000003E-3</v>
      </c>
      <c r="OY14">
        <v>5.7800000000000004E-3</v>
      </c>
      <c r="OZ14">
        <v>6.0200000000000002E-3</v>
      </c>
      <c r="PA14">
        <v>1.562E-2</v>
      </c>
      <c r="PB14">
        <v>1.6899999999999998E-2</v>
      </c>
      <c r="PC14">
        <v>1.193E-2</v>
      </c>
      <c r="PD14">
        <v>1.025E-2</v>
      </c>
      <c r="PE14">
        <v>9.3600000000000003E-3</v>
      </c>
      <c r="PF14">
        <v>9.1800000000000007E-3</v>
      </c>
      <c r="PG14">
        <v>9.6900000000000007E-3</v>
      </c>
      <c r="PH14">
        <v>8.6599999999999993E-3</v>
      </c>
      <c r="PI14">
        <v>1.187E-2</v>
      </c>
      <c r="PJ14">
        <v>1.098E-2</v>
      </c>
      <c r="PK14">
        <v>9.2899999999999996E-3</v>
      </c>
      <c r="PL14">
        <v>8.4100000000000008E-3</v>
      </c>
      <c r="PM14">
        <v>7.7200000000000003E-3</v>
      </c>
      <c r="PN14">
        <v>9.1800000000000007E-3</v>
      </c>
      <c r="PQ14">
        <v>1.001E-2</v>
      </c>
      <c r="PR14">
        <v>8.4399999999999996E-3</v>
      </c>
      <c r="PS14">
        <v>1.204E-2</v>
      </c>
      <c r="PT14">
        <v>1.1379999999999999E-2</v>
      </c>
      <c r="PU14">
        <v>7.1700000000000002E-3</v>
      </c>
      <c r="PV14">
        <v>1.035E-2</v>
      </c>
      <c r="PW14">
        <v>1.2120000000000001E-2</v>
      </c>
      <c r="PX14">
        <v>1.413E-2</v>
      </c>
      <c r="PZ14">
        <v>1.9650000000000001E-2</v>
      </c>
      <c r="QA14">
        <v>7.3200000000000001E-3</v>
      </c>
      <c r="QB14">
        <v>7.4200000000000004E-3</v>
      </c>
      <c r="QC14">
        <v>8.6E-3</v>
      </c>
      <c r="QD14">
        <v>7.4599999999999996E-3</v>
      </c>
      <c r="QE14">
        <v>7.4000000000000003E-3</v>
      </c>
      <c r="QF14">
        <v>7.7400000000000004E-3</v>
      </c>
      <c r="QG14">
        <v>7.8799999999999999E-3</v>
      </c>
      <c r="QH14">
        <v>7.5100000000000002E-3</v>
      </c>
      <c r="QI14">
        <v>8.0000000000000002E-3</v>
      </c>
      <c r="QJ14">
        <v>8.4899999999999993E-3</v>
      </c>
      <c r="QK14">
        <v>7.6099999999999996E-3</v>
      </c>
      <c r="QL14">
        <v>7.26E-3</v>
      </c>
      <c r="QM14">
        <v>8.3400000000000002E-3</v>
      </c>
      <c r="QN14">
        <v>1.243E-2</v>
      </c>
      <c r="QO14">
        <v>1.065E-2</v>
      </c>
      <c r="QP14">
        <v>1.042E-2</v>
      </c>
      <c r="QQ14">
        <v>1.025E-2</v>
      </c>
      <c r="QR14">
        <v>1.145E-2</v>
      </c>
      <c r="QS14">
        <v>1.193E-2</v>
      </c>
      <c r="QT14">
        <v>1.055E-2</v>
      </c>
      <c r="QU14">
        <v>1.0959999999999999E-2</v>
      </c>
      <c r="QV14">
        <v>1.1350000000000001E-2</v>
      </c>
      <c r="QW14">
        <v>1.0200000000000001E-2</v>
      </c>
      <c r="QX14">
        <v>1.1390000000000001E-2</v>
      </c>
      <c r="QY14">
        <v>9.9500000000000005E-3</v>
      </c>
      <c r="QZ14">
        <v>1.0529999999999999E-2</v>
      </c>
      <c r="RA14">
        <v>1.3469999999999999E-2</v>
      </c>
      <c r="RB14">
        <v>1.5990000000000001E-2</v>
      </c>
      <c r="RD14">
        <v>2.6800000000000001E-2</v>
      </c>
      <c r="RF14">
        <v>1.4999999999999999E-2</v>
      </c>
      <c r="RG14">
        <v>9.7999999999999997E-3</v>
      </c>
      <c r="RH14">
        <v>8.7899999999999992E-3</v>
      </c>
      <c r="RI14">
        <v>1.7100000000000001E-2</v>
      </c>
      <c r="RJ14">
        <v>1.9019999999999999E-2</v>
      </c>
      <c r="RK14">
        <v>1.7100000000000001E-2</v>
      </c>
      <c r="RL14">
        <v>1.4970000000000001E-2</v>
      </c>
      <c r="RM14">
        <v>8.0999999999999996E-3</v>
      </c>
      <c r="RN14">
        <v>7.9399999999999991E-3</v>
      </c>
      <c r="RO14">
        <v>7.9399999999999991E-3</v>
      </c>
      <c r="RP14">
        <v>7.8600000000000007E-3</v>
      </c>
      <c r="RQ14">
        <v>8.3400000000000002E-3</v>
      </c>
      <c r="RR14">
        <v>8.0199999999999994E-3</v>
      </c>
      <c r="RS14">
        <v>8.1799999999999998E-3</v>
      </c>
      <c r="RT14">
        <v>7.3600000000000002E-3</v>
      </c>
      <c r="RU14">
        <v>7.6299999999999996E-3</v>
      </c>
      <c r="RV14">
        <v>8.3999999999999995E-3</v>
      </c>
      <c r="RW14">
        <v>9.3900000000000008E-3</v>
      </c>
      <c r="RX14">
        <v>8.8500000000000002E-3</v>
      </c>
      <c r="RY14">
        <v>6.8900000000000003E-3</v>
      </c>
      <c r="RZ14">
        <v>1.366E-2</v>
      </c>
      <c r="SA14">
        <v>2.6749999999999999E-2</v>
      </c>
      <c r="SB14">
        <v>2.496E-2</v>
      </c>
      <c r="SD14">
        <v>1.0919999999999999E-2</v>
      </c>
      <c r="SE14">
        <v>9.6900000000000007E-3</v>
      </c>
      <c r="SF14">
        <v>1.025E-2</v>
      </c>
      <c r="SG14">
        <v>1.35E-2</v>
      </c>
      <c r="SH14">
        <v>1.6250000000000001E-2</v>
      </c>
      <c r="SI14">
        <v>1.0149999999999999E-2</v>
      </c>
      <c r="SJ14">
        <v>8.3899999999999999E-3</v>
      </c>
      <c r="SK14">
        <v>8.4200000000000004E-3</v>
      </c>
      <c r="SL14">
        <v>7.9000000000000008E-3</v>
      </c>
      <c r="SM14">
        <v>8.3099999999999997E-3</v>
      </c>
      <c r="SN14">
        <v>7.4900000000000001E-3</v>
      </c>
      <c r="SO14">
        <v>7.5599999999999999E-3</v>
      </c>
      <c r="SP14">
        <v>8.1499999999999993E-3</v>
      </c>
      <c r="SQ14">
        <v>8.7200000000000003E-3</v>
      </c>
      <c r="SR14">
        <v>7.77E-3</v>
      </c>
      <c r="SS14">
        <v>7.8300000000000002E-3</v>
      </c>
      <c r="ST14">
        <v>7.7000000000000002E-3</v>
      </c>
      <c r="SU14">
        <v>7.8799999999999999E-3</v>
      </c>
      <c r="SV14">
        <v>8.4499999999999992E-3</v>
      </c>
      <c r="SW14">
        <v>7.9000000000000008E-3</v>
      </c>
      <c r="SX14">
        <v>9.9399999999999992E-3</v>
      </c>
      <c r="SY14">
        <v>7.6899999999999998E-3</v>
      </c>
      <c r="SZ14">
        <v>8.3400000000000002E-3</v>
      </c>
      <c r="TA14">
        <v>9.3200000000000002E-3</v>
      </c>
      <c r="TB14">
        <v>7.6299999999999996E-3</v>
      </c>
      <c r="TC14">
        <v>7.5100000000000002E-3</v>
      </c>
      <c r="TD14">
        <v>1.1950000000000001E-2</v>
      </c>
      <c r="TE14">
        <v>8.3400000000000002E-3</v>
      </c>
      <c r="TF14">
        <v>1.0059999999999999E-2</v>
      </c>
      <c r="TG14">
        <v>8.7100000000000007E-3</v>
      </c>
      <c r="TH14">
        <v>9.1699999999999993E-3</v>
      </c>
      <c r="TI14">
        <v>8.3499999999999998E-3</v>
      </c>
      <c r="TJ14">
        <v>8.09E-3</v>
      </c>
      <c r="TK14">
        <v>7.6699999999999997E-3</v>
      </c>
      <c r="TL14">
        <v>7.0299999999999998E-3</v>
      </c>
      <c r="TM14">
        <v>6.6499999999999997E-3</v>
      </c>
      <c r="TN14">
        <v>7.1799999999999998E-3</v>
      </c>
      <c r="TO14">
        <v>8.2900000000000005E-3</v>
      </c>
      <c r="TQ14">
        <v>6.5100000000000002E-3</v>
      </c>
      <c r="TR14">
        <v>9.0200000000000002E-3</v>
      </c>
      <c r="TS14">
        <v>1.1129999999999999E-2</v>
      </c>
      <c r="TT14">
        <v>1.089E-2</v>
      </c>
      <c r="TU14">
        <v>9.2300000000000004E-3</v>
      </c>
      <c r="TV14">
        <v>1.039E-2</v>
      </c>
      <c r="TW14">
        <v>7.2300000000000003E-3</v>
      </c>
      <c r="TX14">
        <v>7.1700000000000002E-3</v>
      </c>
      <c r="TY14">
        <v>6.9199999999999999E-3</v>
      </c>
      <c r="TZ14">
        <v>6.8700000000000002E-3</v>
      </c>
      <c r="UA14">
        <v>6.4000000000000003E-3</v>
      </c>
      <c r="UB14">
        <v>7.5700000000000003E-3</v>
      </c>
      <c r="UC14">
        <v>7.2399999999999999E-3</v>
      </c>
      <c r="UD14">
        <v>7.2899999999999996E-3</v>
      </c>
      <c r="UE14">
        <v>7.4700000000000001E-3</v>
      </c>
      <c r="UF14">
        <v>9.3100000000000006E-3</v>
      </c>
      <c r="UG14">
        <v>8.3400000000000002E-3</v>
      </c>
      <c r="UH14">
        <v>7.45E-3</v>
      </c>
      <c r="UI14">
        <v>8.8299999999999993E-3</v>
      </c>
      <c r="UJ14">
        <v>8.0999999999999996E-3</v>
      </c>
      <c r="UK14">
        <v>6.7099999999999998E-3</v>
      </c>
      <c r="UL14">
        <v>7.6600000000000001E-3</v>
      </c>
      <c r="UM14">
        <v>8.2699999999999996E-3</v>
      </c>
      <c r="UN14">
        <v>7.4000000000000003E-3</v>
      </c>
      <c r="UO14">
        <v>7.9299999999999995E-3</v>
      </c>
      <c r="UP14">
        <v>9.9100000000000004E-3</v>
      </c>
      <c r="UQ14">
        <v>7.3800000000000003E-3</v>
      </c>
      <c r="UR14">
        <v>7.62E-3</v>
      </c>
      <c r="US14">
        <v>7.6E-3</v>
      </c>
      <c r="UT14">
        <v>7.4900000000000001E-3</v>
      </c>
      <c r="UU14">
        <v>7.7000000000000002E-3</v>
      </c>
      <c r="UV14">
        <v>7.5199999999999998E-3</v>
      </c>
      <c r="UW14">
        <v>1.166E-2</v>
      </c>
      <c r="UX14">
        <v>9.4299999999999991E-3</v>
      </c>
      <c r="UY14">
        <v>9.2800000000000001E-3</v>
      </c>
      <c r="VA14">
        <v>1.1809999999999999E-2</v>
      </c>
      <c r="VB14">
        <v>9.8799999999999999E-3</v>
      </c>
      <c r="VC14">
        <v>1.2319999999999999E-2</v>
      </c>
      <c r="VD14">
        <v>2.4230000000000002E-2</v>
      </c>
      <c r="VE14">
        <v>2.2009999999999998E-2</v>
      </c>
      <c r="VF14">
        <v>2.9729999999999999E-2</v>
      </c>
      <c r="VH14">
        <v>1.3899999999999999E-2</v>
      </c>
      <c r="VI14">
        <v>1.3390000000000001E-2</v>
      </c>
    </row>
    <row r="15" spans="1:581" x14ac:dyDescent="0.25">
      <c r="A15">
        <v>300000</v>
      </c>
      <c r="B15">
        <v>6.0800000000000003E-3</v>
      </c>
      <c r="C15">
        <v>5.9699999999999996E-3</v>
      </c>
      <c r="D15">
        <v>6.0600000000000003E-3</v>
      </c>
      <c r="E15">
        <v>5.8500000000000002E-3</v>
      </c>
      <c r="F15">
        <v>5.8100000000000001E-3</v>
      </c>
      <c r="G15">
        <v>6.0800000000000003E-3</v>
      </c>
      <c r="H15">
        <v>5.8300000000000001E-3</v>
      </c>
      <c r="I15">
        <v>5.8599999999999998E-3</v>
      </c>
      <c r="J15">
        <v>5.8599999999999998E-3</v>
      </c>
      <c r="K15">
        <v>6.0000000000000001E-3</v>
      </c>
      <c r="L15">
        <v>5.9500000000000004E-3</v>
      </c>
      <c r="M15">
        <v>5.9199999999999999E-3</v>
      </c>
      <c r="N15">
        <v>5.9100000000000003E-3</v>
      </c>
      <c r="O15">
        <v>7.62E-3</v>
      </c>
      <c r="P15">
        <v>7.3600000000000002E-3</v>
      </c>
      <c r="Q15">
        <v>7.1799999999999998E-3</v>
      </c>
      <c r="R15">
        <v>6.5500000000000003E-3</v>
      </c>
      <c r="S15">
        <v>6.5199999999999998E-3</v>
      </c>
      <c r="T15">
        <v>6.3E-3</v>
      </c>
      <c r="U15">
        <v>6.6299999999999996E-3</v>
      </c>
      <c r="V15">
        <v>6.5100000000000002E-3</v>
      </c>
      <c r="W15">
        <v>5.7000000000000002E-3</v>
      </c>
      <c r="X15">
        <v>5.9300000000000004E-3</v>
      </c>
      <c r="Y15">
        <v>5.45E-3</v>
      </c>
      <c r="Z15">
        <v>5.5399999999999998E-3</v>
      </c>
      <c r="AA15">
        <v>1.5310000000000001E-2</v>
      </c>
      <c r="AB15">
        <v>9.4000000000000004E-3</v>
      </c>
      <c r="AC15">
        <v>1.2449999999999999E-2</v>
      </c>
      <c r="AD15">
        <v>8.8699999999999994E-3</v>
      </c>
      <c r="AE15">
        <v>1.014E-2</v>
      </c>
      <c r="AG15">
        <v>1.537E-2</v>
      </c>
      <c r="AH15">
        <v>1.537E-2</v>
      </c>
      <c r="AI15">
        <v>1.9099999999999999E-2</v>
      </c>
      <c r="AJ15">
        <v>1.218E-2</v>
      </c>
      <c r="AK15">
        <v>1.2489999999999999E-2</v>
      </c>
      <c r="AL15">
        <v>1.227E-2</v>
      </c>
      <c r="AO15">
        <v>2.751E-2</v>
      </c>
      <c r="AP15">
        <v>1.482E-2</v>
      </c>
      <c r="AQ15">
        <v>2.4289999999999999E-2</v>
      </c>
      <c r="AS15">
        <v>1.6750000000000001E-2</v>
      </c>
      <c r="AT15">
        <v>1.4250000000000001E-2</v>
      </c>
      <c r="AV15">
        <v>2.07E-2</v>
      </c>
      <c r="AX15">
        <v>1.519E-2</v>
      </c>
      <c r="AY15">
        <v>1.7610000000000001E-2</v>
      </c>
      <c r="AZ15">
        <v>1.5949999999999999E-2</v>
      </c>
      <c r="BB15">
        <v>1.14E-2</v>
      </c>
      <c r="BC15">
        <v>1.2959999999999999E-2</v>
      </c>
      <c r="BD15">
        <v>1.396E-2</v>
      </c>
      <c r="BF15">
        <v>1.7250000000000001E-2</v>
      </c>
      <c r="BG15">
        <v>1.362E-2</v>
      </c>
      <c r="BH15">
        <v>1.5900000000000001E-2</v>
      </c>
      <c r="BI15">
        <v>1.8589999999999999E-2</v>
      </c>
      <c r="BJ15">
        <v>1.448E-2</v>
      </c>
      <c r="BL15">
        <v>1.359E-2</v>
      </c>
      <c r="BM15">
        <v>1.3350000000000001E-2</v>
      </c>
      <c r="BN15">
        <v>7.9900000000000006E-3</v>
      </c>
      <c r="BO15">
        <v>1.422E-2</v>
      </c>
      <c r="BP15">
        <v>9.5600000000000008E-3</v>
      </c>
      <c r="BQ15">
        <v>8.2799999999999992E-3</v>
      </c>
      <c r="BR15">
        <v>1.0019999999999999E-2</v>
      </c>
      <c r="BS15">
        <v>1.302E-2</v>
      </c>
      <c r="BT15">
        <v>1.7049999999999999E-2</v>
      </c>
      <c r="BU15">
        <v>1.3350000000000001E-2</v>
      </c>
      <c r="BV15">
        <v>1.3849999999999999E-2</v>
      </c>
      <c r="BW15">
        <v>1.321E-2</v>
      </c>
      <c r="BX15">
        <v>1.269E-2</v>
      </c>
      <c r="BY15">
        <v>1.35E-2</v>
      </c>
      <c r="BZ15">
        <v>1.21E-2</v>
      </c>
      <c r="CA15">
        <v>1.3780000000000001E-2</v>
      </c>
      <c r="CB15">
        <v>9.0299999999999998E-3</v>
      </c>
      <c r="CC15">
        <v>1.035E-2</v>
      </c>
      <c r="CD15">
        <v>9.2300000000000004E-3</v>
      </c>
      <c r="CE15">
        <v>8.0300000000000007E-3</v>
      </c>
      <c r="CF15">
        <v>7.8799999999999999E-3</v>
      </c>
      <c r="CG15">
        <v>7.7600000000000004E-3</v>
      </c>
      <c r="CH15">
        <v>7.7000000000000002E-3</v>
      </c>
      <c r="CI15">
        <v>7.7799999999999996E-3</v>
      </c>
      <c r="CJ15">
        <v>7.9699999999999997E-3</v>
      </c>
      <c r="CK15">
        <v>9.6900000000000007E-3</v>
      </c>
      <c r="CL15">
        <v>8.2299999999999995E-3</v>
      </c>
      <c r="CM15">
        <v>8.7899999999999992E-3</v>
      </c>
      <c r="CN15">
        <v>9.7300000000000008E-3</v>
      </c>
      <c r="CO15">
        <v>8.6800000000000002E-3</v>
      </c>
      <c r="CP15">
        <v>1.004E-2</v>
      </c>
      <c r="CQ15">
        <v>8.4100000000000008E-3</v>
      </c>
      <c r="CR15">
        <v>8.6599999999999993E-3</v>
      </c>
      <c r="CS15">
        <v>9.7699999999999992E-3</v>
      </c>
      <c r="CT15">
        <v>1.027E-2</v>
      </c>
      <c r="CU15">
        <v>8.2400000000000008E-3</v>
      </c>
      <c r="CV15">
        <v>8.3000000000000001E-3</v>
      </c>
      <c r="CW15">
        <v>8.6400000000000001E-3</v>
      </c>
      <c r="CX15">
        <v>9.7999999999999997E-3</v>
      </c>
      <c r="CY15">
        <v>1.0200000000000001E-2</v>
      </c>
      <c r="CZ15">
        <v>7.9600000000000001E-3</v>
      </c>
      <c r="DA15">
        <v>7.6E-3</v>
      </c>
      <c r="DB15">
        <v>7.3899999999999999E-3</v>
      </c>
      <c r="DC15">
        <v>7.3200000000000001E-3</v>
      </c>
      <c r="DE15">
        <v>7.77E-3</v>
      </c>
      <c r="DF15">
        <v>1.8010000000000002E-2</v>
      </c>
      <c r="DG15">
        <v>1.0319999999999999E-2</v>
      </c>
      <c r="DH15">
        <v>1.576E-2</v>
      </c>
      <c r="DI15">
        <v>1.503E-2</v>
      </c>
      <c r="DJ15">
        <v>1.448E-2</v>
      </c>
      <c r="DK15">
        <v>1.3849999999999999E-2</v>
      </c>
      <c r="DL15">
        <v>1.3270000000000001E-2</v>
      </c>
      <c r="DM15">
        <v>1.29E-2</v>
      </c>
      <c r="DN15">
        <v>1.2019999999999999E-2</v>
      </c>
      <c r="DO15">
        <v>1.125E-2</v>
      </c>
      <c r="DP15">
        <v>1.089E-2</v>
      </c>
      <c r="DQ15">
        <v>1.0789999999999999E-2</v>
      </c>
      <c r="DR15">
        <v>1.494E-2</v>
      </c>
      <c r="DS15">
        <v>1.417E-2</v>
      </c>
      <c r="DT15">
        <v>1.3639999999999999E-2</v>
      </c>
      <c r="DU15">
        <v>1.3129999999999999E-2</v>
      </c>
      <c r="DV15">
        <v>1.285E-2</v>
      </c>
      <c r="DW15">
        <v>1.559E-2</v>
      </c>
      <c r="DX15">
        <v>1.511E-2</v>
      </c>
      <c r="DY15">
        <v>1.478E-2</v>
      </c>
      <c r="DZ15">
        <v>1.423E-2</v>
      </c>
      <c r="EA15">
        <v>1.01E-2</v>
      </c>
      <c r="EB15">
        <v>1.0059999999999999E-2</v>
      </c>
      <c r="EC15">
        <v>9.2499999999999995E-3</v>
      </c>
      <c r="ED15">
        <v>2.7619999999999999E-2</v>
      </c>
      <c r="EF15">
        <v>2.7220000000000001E-2</v>
      </c>
      <c r="EH15">
        <v>2.674E-2</v>
      </c>
      <c r="EI15">
        <v>8.5199999999999998E-3</v>
      </c>
      <c r="EJ15">
        <v>8.0300000000000007E-3</v>
      </c>
      <c r="EK15">
        <v>8.2000000000000007E-3</v>
      </c>
      <c r="EL15">
        <v>9.3500000000000007E-3</v>
      </c>
      <c r="EM15">
        <v>1.042E-2</v>
      </c>
      <c r="EN15">
        <v>1.093E-2</v>
      </c>
      <c r="EO15">
        <v>1.1429999999999999E-2</v>
      </c>
      <c r="EP15">
        <v>1.124E-2</v>
      </c>
      <c r="EQ15">
        <v>1.1469999999999999E-2</v>
      </c>
      <c r="ER15">
        <v>1.9400000000000001E-2</v>
      </c>
      <c r="ET15">
        <v>1.8890000000000001E-2</v>
      </c>
      <c r="EU15">
        <v>1.6830000000000001E-2</v>
      </c>
      <c r="EV15">
        <v>1.533E-2</v>
      </c>
      <c r="EW15">
        <v>1.4120000000000001E-2</v>
      </c>
      <c r="EY15">
        <v>8.1899999999999994E-3</v>
      </c>
      <c r="EZ15">
        <v>8.4100000000000008E-3</v>
      </c>
      <c r="FA15">
        <v>1.319E-2</v>
      </c>
      <c r="FB15">
        <v>1.336E-2</v>
      </c>
      <c r="FC15">
        <v>1.323E-2</v>
      </c>
      <c r="FD15">
        <v>1.137E-2</v>
      </c>
      <c r="FE15">
        <v>1.346E-2</v>
      </c>
      <c r="FG15">
        <v>1.031E-2</v>
      </c>
      <c r="FH15">
        <v>1.2710000000000001E-2</v>
      </c>
      <c r="FI15">
        <v>1.082E-2</v>
      </c>
      <c r="FJ15">
        <v>1.0240000000000001E-2</v>
      </c>
      <c r="FK15">
        <v>1.1169999999999999E-2</v>
      </c>
      <c r="FL15">
        <v>9.58E-3</v>
      </c>
      <c r="FO15">
        <v>1.2409999999999999E-2</v>
      </c>
      <c r="FP15">
        <v>1.1650000000000001E-2</v>
      </c>
      <c r="FR15">
        <v>2.0119999999999999E-2</v>
      </c>
      <c r="FT15">
        <v>1.822E-2</v>
      </c>
      <c r="FU15">
        <v>1.5869999999999999E-2</v>
      </c>
      <c r="FV15">
        <v>1.393E-2</v>
      </c>
      <c r="FW15">
        <v>1.404E-2</v>
      </c>
      <c r="FX15">
        <v>1.4829999999999999E-2</v>
      </c>
      <c r="FY15">
        <v>1.5779999999999999E-2</v>
      </c>
      <c r="FZ15">
        <v>1.325E-2</v>
      </c>
      <c r="GA15">
        <v>1.426E-2</v>
      </c>
      <c r="GB15">
        <v>1.265E-2</v>
      </c>
      <c r="GC15">
        <v>1.3639999999999999E-2</v>
      </c>
      <c r="GD15">
        <v>1.234E-2</v>
      </c>
      <c r="GE15">
        <v>1.3259999999999999E-2</v>
      </c>
      <c r="GF15">
        <v>1.12E-2</v>
      </c>
      <c r="GG15">
        <v>1.129E-2</v>
      </c>
      <c r="GH15">
        <v>1.1379999999999999E-2</v>
      </c>
      <c r="GI15">
        <v>1.154E-2</v>
      </c>
      <c r="GJ15">
        <v>1.1809999999999999E-2</v>
      </c>
      <c r="GK15">
        <v>1.2019999999999999E-2</v>
      </c>
      <c r="GL15">
        <v>1.268E-2</v>
      </c>
      <c r="GM15">
        <v>1.086E-2</v>
      </c>
      <c r="GO15">
        <v>1.225E-2</v>
      </c>
      <c r="GP15">
        <v>1.355E-2</v>
      </c>
      <c r="GQ15">
        <v>1.481E-2</v>
      </c>
      <c r="GR15">
        <v>1.5900000000000001E-2</v>
      </c>
      <c r="GS15">
        <v>1.2869999999999999E-2</v>
      </c>
      <c r="GT15">
        <v>1.397E-2</v>
      </c>
      <c r="GV15">
        <v>1.227E-2</v>
      </c>
      <c r="GW15">
        <v>1.3650000000000001E-2</v>
      </c>
      <c r="GX15">
        <v>1.0970000000000001E-2</v>
      </c>
      <c r="GY15">
        <v>1.9519999999999999E-2</v>
      </c>
      <c r="GZ15">
        <v>1.549E-2</v>
      </c>
      <c r="HC15">
        <v>1.3270000000000001E-2</v>
      </c>
      <c r="HE15">
        <v>1.2019999999999999E-2</v>
      </c>
      <c r="HF15">
        <v>1.142E-2</v>
      </c>
      <c r="HG15">
        <v>1.1259999999999999E-2</v>
      </c>
      <c r="HH15">
        <v>1.0869999999999999E-2</v>
      </c>
      <c r="HJ15">
        <v>7.6299999999999996E-3</v>
      </c>
      <c r="HK15">
        <v>1.584E-2</v>
      </c>
      <c r="HL15">
        <v>1.553E-2</v>
      </c>
      <c r="HM15">
        <v>1.5610000000000001E-2</v>
      </c>
      <c r="HN15">
        <v>1.5259999999999999E-2</v>
      </c>
      <c r="HO15">
        <v>1.6279999999999999E-2</v>
      </c>
      <c r="HP15">
        <v>8.5800000000000008E-3</v>
      </c>
      <c r="HS15">
        <v>1.915E-2</v>
      </c>
      <c r="HU15">
        <v>8.8999999999999999E-3</v>
      </c>
      <c r="HV15">
        <v>1.1209999999999999E-2</v>
      </c>
      <c r="HW15">
        <v>9.3299999999999998E-3</v>
      </c>
      <c r="HX15">
        <v>1.8540000000000001E-2</v>
      </c>
      <c r="HY15">
        <v>2.435E-2</v>
      </c>
      <c r="HZ15">
        <v>1.018E-2</v>
      </c>
      <c r="IA15">
        <v>1.329E-2</v>
      </c>
      <c r="IB15">
        <v>1.523E-2</v>
      </c>
      <c r="IC15">
        <v>1.1180000000000001E-2</v>
      </c>
      <c r="ID15">
        <v>1.4880000000000001E-2</v>
      </c>
      <c r="IE15">
        <v>1.353E-2</v>
      </c>
      <c r="IF15">
        <v>1.085E-2</v>
      </c>
      <c r="IG15">
        <v>1.166E-2</v>
      </c>
      <c r="II15">
        <v>1.099E-2</v>
      </c>
      <c r="IJ15">
        <v>9.5499999999999995E-3</v>
      </c>
      <c r="IK15">
        <v>1.022E-2</v>
      </c>
      <c r="IL15">
        <v>1.1440000000000001E-2</v>
      </c>
      <c r="IM15">
        <v>1.2829999999999999E-2</v>
      </c>
      <c r="IN15">
        <v>1.406E-2</v>
      </c>
      <c r="IO15">
        <v>1.5389999999999999E-2</v>
      </c>
      <c r="IP15">
        <v>2.0799999999999999E-2</v>
      </c>
      <c r="IQ15">
        <v>2.4289999999999999E-2</v>
      </c>
      <c r="IS15">
        <v>6.6600000000000001E-3</v>
      </c>
      <c r="IT15">
        <v>1.24E-2</v>
      </c>
      <c r="IU15">
        <v>1.3679999999999999E-2</v>
      </c>
      <c r="IV15">
        <v>8.1099999999999992E-3</v>
      </c>
      <c r="IW15">
        <v>1.022E-2</v>
      </c>
      <c r="IX15">
        <v>6.9199999999999999E-3</v>
      </c>
      <c r="IY15">
        <v>6.9699999999999996E-3</v>
      </c>
      <c r="IZ15">
        <v>6.5300000000000002E-3</v>
      </c>
      <c r="JA15">
        <v>7.7299999999999999E-3</v>
      </c>
      <c r="JB15">
        <v>8.4399999999999996E-3</v>
      </c>
      <c r="JC15">
        <v>9.2200000000000008E-3</v>
      </c>
      <c r="JE15">
        <v>7.4999999999999997E-3</v>
      </c>
      <c r="JF15">
        <v>9.2899999999999996E-3</v>
      </c>
      <c r="JG15">
        <v>9.8499999999999994E-3</v>
      </c>
      <c r="JH15">
        <v>2.0310000000000002E-2</v>
      </c>
      <c r="JI15">
        <v>1.593E-2</v>
      </c>
      <c r="JJ15">
        <v>1.4500000000000001E-2</v>
      </c>
      <c r="JL15">
        <v>1.521E-2</v>
      </c>
      <c r="JM15">
        <v>1.5800000000000002E-2</v>
      </c>
      <c r="JO15">
        <v>3.6600000000000001E-2</v>
      </c>
      <c r="JQ15">
        <v>8.8000000000000005E-3</v>
      </c>
      <c r="JR15">
        <v>9.2899999999999996E-3</v>
      </c>
      <c r="JS15">
        <v>8.7399999999999995E-3</v>
      </c>
      <c r="JT15">
        <v>9.6100000000000005E-3</v>
      </c>
      <c r="JU15">
        <v>9.8799999999999999E-3</v>
      </c>
      <c r="JV15">
        <v>1.427E-2</v>
      </c>
      <c r="JW15">
        <v>1.2149999999999999E-2</v>
      </c>
      <c r="JY15">
        <v>1.24E-2</v>
      </c>
      <c r="JZ15">
        <v>1.4370000000000001E-2</v>
      </c>
      <c r="KA15">
        <v>1.5599999999999999E-2</v>
      </c>
      <c r="KB15">
        <v>8.94E-3</v>
      </c>
      <c r="KC15">
        <v>9.4000000000000004E-3</v>
      </c>
      <c r="KD15">
        <v>1.021E-2</v>
      </c>
      <c r="KE15">
        <v>1.115E-2</v>
      </c>
      <c r="KF15">
        <v>1.222E-2</v>
      </c>
      <c r="KG15">
        <v>1.128E-2</v>
      </c>
      <c r="KH15">
        <v>1.251E-2</v>
      </c>
      <c r="KI15">
        <v>1.4930000000000001E-2</v>
      </c>
      <c r="KJ15">
        <v>1.519E-2</v>
      </c>
      <c r="KK15">
        <v>1.511E-2</v>
      </c>
      <c r="KL15">
        <v>1.506E-2</v>
      </c>
      <c r="KM15">
        <v>1.498E-2</v>
      </c>
      <c r="KN15">
        <v>8.2799999999999992E-3</v>
      </c>
      <c r="KO15">
        <v>8.7799999999999996E-3</v>
      </c>
      <c r="KP15">
        <v>1.285E-2</v>
      </c>
      <c r="KQ15">
        <v>1.35E-2</v>
      </c>
      <c r="KR15">
        <v>1.6250000000000001E-2</v>
      </c>
      <c r="KU15">
        <v>8.6300000000000005E-3</v>
      </c>
      <c r="KV15">
        <v>7.5399999999999998E-3</v>
      </c>
      <c r="KW15">
        <v>7.62E-3</v>
      </c>
      <c r="KX15">
        <v>1.7770000000000001E-2</v>
      </c>
      <c r="KY15">
        <v>6.7799999999999996E-3</v>
      </c>
      <c r="KZ15">
        <v>7.8100000000000001E-3</v>
      </c>
      <c r="LA15">
        <v>1.251E-2</v>
      </c>
      <c r="LB15">
        <v>1.187E-2</v>
      </c>
      <c r="LC15">
        <v>1.225E-2</v>
      </c>
      <c r="LD15">
        <v>1.225E-2</v>
      </c>
      <c r="LG15">
        <v>2.104E-2</v>
      </c>
      <c r="LI15">
        <v>1.487E-2</v>
      </c>
      <c r="LJ15">
        <v>1.481E-2</v>
      </c>
      <c r="LK15">
        <v>1.4959999999999999E-2</v>
      </c>
      <c r="LL15">
        <v>1.575E-2</v>
      </c>
      <c r="LM15">
        <v>9.9000000000000008E-3</v>
      </c>
      <c r="LO15">
        <v>1.8499999999999999E-2</v>
      </c>
      <c r="LP15">
        <v>1.325E-2</v>
      </c>
      <c r="LR15">
        <v>1.4789999999999999E-2</v>
      </c>
      <c r="LS15">
        <v>1.702E-2</v>
      </c>
      <c r="LT15">
        <v>1.3339999999999999E-2</v>
      </c>
      <c r="LV15">
        <v>2.6950000000000002E-2</v>
      </c>
      <c r="LW15">
        <v>7.5100000000000002E-3</v>
      </c>
      <c r="LX15">
        <v>7.7099999999999998E-3</v>
      </c>
      <c r="MB15">
        <v>7.3499999999999998E-3</v>
      </c>
      <c r="MC15">
        <v>1.1979999999999999E-2</v>
      </c>
      <c r="MD15">
        <v>1.2630000000000001E-2</v>
      </c>
      <c r="MF15">
        <v>2.657E-2</v>
      </c>
      <c r="MH15">
        <v>2.0109999999999999E-2</v>
      </c>
      <c r="MI15">
        <v>2.0160000000000001E-2</v>
      </c>
      <c r="MJ15">
        <v>2.1149999999999999E-2</v>
      </c>
      <c r="MK15">
        <v>2.3480000000000001E-2</v>
      </c>
      <c r="MM15">
        <v>1.7860000000000001E-2</v>
      </c>
      <c r="MN15">
        <v>8.1600000000000006E-3</v>
      </c>
      <c r="MO15">
        <v>9.4000000000000004E-3</v>
      </c>
      <c r="MP15">
        <v>9.9799999999999993E-3</v>
      </c>
      <c r="MQ15">
        <v>8.3499999999999998E-3</v>
      </c>
      <c r="MR15">
        <v>1.0160000000000001E-2</v>
      </c>
      <c r="MS15">
        <v>1.321E-2</v>
      </c>
      <c r="MT15">
        <v>1.2760000000000001E-2</v>
      </c>
      <c r="MU15">
        <v>7.8399999999999997E-3</v>
      </c>
      <c r="MV15">
        <v>9.3799999999999994E-3</v>
      </c>
      <c r="MW15">
        <v>1.0160000000000001E-2</v>
      </c>
      <c r="MX15">
        <v>1.0580000000000001E-2</v>
      </c>
      <c r="MZ15">
        <v>1.2840000000000001E-2</v>
      </c>
      <c r="NA15">
        <v>1.095E-2</v>
      </c>
      <c r="NB15">
        <v>1.1769999999999999E-2</v>
      </c>
      <c r="ND15">
        <v>1.2330000000000001E-2</v>
      </c>
      <c r="NE15">
        <v>1.567E-2</v>
      </c>
      <c r="NF15">
        <v>1.3899999999999999E-2</v>
      </c>
      <c r="NG15">
        <v>8.0599999999999995E-3</v>
      </c>
      <c r="NH15">
        <v>6.45E-3</v>
      </c>
      <c r="NI15">
        <v>6.96E-3</v>
      </c>
      <c r="NJ15">
        <v>8.09E-3</v>
      </c>
      <c r="NK15">
        <v>6.9100000000000003E-3</v>
      </c>
      <c r="NL15">
        <v>7.5100000000000002E-3</v>
      </c>
      <c r="NM15">
        <v>8.1499999999999993E-3</v>
      </c>
      <c r="NN15">
        <v>8.6599999999999993E-3</v>
      </c>
      <c r="NO15">
        <v>9.1500000000000001E-3</v>
      </c>
      <c r="NP15">
        <v>6.8399999999999997E-3</v>
      </c>
      <c r="NQ15">
        <v>7.4999999999999997E-3</v>
      </c>
      <c r="NR15">
        <v>7.6099999999999996E-3</v>
      </c>
      <c r="NS15">
        <v>8.2900000000000005E-3</v>
      </c>
      <c r="NT15">
        <v>9.2899999999999996E-3</v>
      </c>
      <c r="NU15">
        <v>7.0600000000000003E-3</v>
      </c>
      <c r="NV15">
        <v>7.7200000000000003E-3</v>
      </c>
      <c r="NW15">
        <v>7.7099999999999998E-3</v>
      </c>
      <c r="NX15">
        <v>8.2500000000000004E-3</v>
      </c>
      <c r="NY15">
        <v>8.3899999999999999E-3</v>
      </c>
      <c r="NZ15">
        <v>8.9599999999999992E-3</v>
      </c>
      <c r="OA15">
        <v>9.3900000000000008E-3</v>
      </c>
      <c r="OB15">
        <v>7.1999999999999998E-3</v>
      </c>
      <c r="OC15">
        <v>7.8399999999999997E-3</v>
      </c>
      <c r="OD15">
        <v>8.1499999999999993E-3</v>
      </c>
      <c r="OE15">
        <v>8.1499999999999993E-3</v>
      </c>
      <c r="OF15">
        <v>1.392E-2</v>
      </c>
      <c r="OG15">
        <v>8.6400000000000001E-3</v>
      </c>
      <c r="OH15">
        <v>8.7799999999999996E-3</v>
      </c>
      <c r="OI15">
        <v>9.5700000000000004E-3</v>
      </c>
      <c r="OJ15">
        <v>9.9900000000000006E-3</v>
      </c>
      <c r="OK15">
        <v>1.0410000000000001E-2</v>
      </c>
      <c r="OL15">
        <v>1.0840000000000001E-2</v>
      </c>
      <c r="OM15">
        <v>7.3200000000000001E-3</v>
      </c>
      <c r="ON15">
        <v>8.0499999999999999E-3</v>
      </c>
      <c r="OO15">
        <v>8.6499999999999997E-3</v>
      </c>
      <c r="OP15">
        <v>9.5700000000000004E-3</v>
      </c>
      <c r="OQ15">
        <v>1.005E-2</v>
      </c>
      <c r="OR15">
        <v>1.044E-2</v>
      </c>
      <c r="OS15">
        <v>1.225E-2</v>
      </c>
      <c r="OT15">
        <v>7.8799999999999999E-3</v>
      </c>
      <c r="OU15">
        <v>8.0999999999999996E-3</v>
      </c>
      <c r="OV15">
        <v>6.1500000000000001E-3</v>
      </c>
      <c r="OW15">
        <v>5.6600000000000001E-3</v>
      </c>
      <c r="OX15">
        <v>5.4999999999999997E-3</v>
      </c>
      <c r="OY15">
        <v>5.5300000000000002E-3</v>
      </c>
      <c r="OZ15">
        <v>5.8199999999999997E-3</v>
      </c>
      <c r="PA15">
        <v>1.491E-2</v>
      </c>
      <c r="PB15">
        <v>1.6490000000000001E-2</v>
      </c>
      <c r="PC15">
        <v>1.1509999999999999E-2</v>
      </c>
      <c r="PD15">
        <v>9.8499999999999994E-3</v>
      </c>
      <c r="PE15">
        <v>8.9700000000000005E-3</v>
      </c>
      <c r="PG15">
        <v>9.2899999999999996E-3</v>
      </c>
      <c r="PH15">
        <v>8.4399999999999996E-3</v>
      </c>
      <c r="PI15">
        <v>1.1310000000000001E-2</v>
      </c>
      <c r="PJ15">
        <v>1.0500000000000001E-2</v>
      </c>
      <c r="PK15">
        <v>8.9700000000000005E-3</v>
      </c>
      <c r="PL15">
        <v>7.9699999999999997E-3</v>
      </c>
      <c r="PM15">
        <v>7.4400000000000004E-3</v>
      </c>
      <c r="PN15">
        <v>8.77E-3</v>
      </c>
      <c r="PO15">
        <v>1.1270000000000001E-2</v>
      </c>
      <c r="PP15">
        <v>1.184E-2</v>
      </c>
      <c r="PQ15">
        <v>9.5099999999999994E-3</v>
      </c>
      <c r="PR15">
        <v>8.1099999999999992E-3</v>
      </c>
      <c r="PS15">
        <v>1.1310000000000001E-2</v>
      </c>
      <c r="PT15">
        <v>1.0699999999999999E-2</v>
      </c>
      <c r="PU15">
        <v>6.9100000000000003E-3</v>
      </c>
      <c r="PW15">
        <v>1.1509999999999999E-2</v>
      </c>
      <c r="PX15">
        <v>1.362E-2</v>
      </c>
      <c r="PY15">
        <v>1.6199999999999999E-2</v>
      </c>
      <c r="PZ15">
        <v>1.9009999999999999E-2</v>
      </c>
      <c r="QA15">
        <v>6.8900000000000003E-3</v>
      </c>
      <c r="QB15">
        <v>7.0099999999999997E-3</v>
      </c>
      <c r="QC15">
        <v>8.2000000000000007E-3</v>
      </c>
      <c r="QD15">
        <v>7.1799999999999998E-3</v>
      </c>
      <c r="QE15">
        <v>7.1000000000000004E-3</v>
      </c>
      <c r="QF15">
        <v>7.4400000000000004E-3</v>
      </c>
      <c r="QG15">
        <v>7.5399999999999998E-3</v>
      </c>
      <c r="QH15">
        <v>7.2199999999999999E-3</v>
      </c>
      <c r="QI15">
        <v>7.6600000000000001E-3</v>
      </c>
      <c r="QJ15">
        <v>8.09E-3</v>
      </c>
      <c r="QK15">
        <v>7.28E-3</v>
      </c>
      <c r="QL15">
        <v>6.9499999999999996E-3</v>
      </c>
      <c r="QM15">
        <v>7.9900000000000006E-3</v>
      </c>
      <c r="QN15">
        <v>1.166E-2</v>
      </c>
      <c r="QO15">
        <v>1.0200000000000001E-2</v>
      </c>
      <c r="QP15">
        <v>9.9900000000000006E-3</v>
      </c>
      <c r="QQ15">
        <v>9.8899999999999995E-3</v>
      </c>
      <c r="QR15">
        <v>1.1209999999999999E-2</v>
      </c>
      <c r="QS15">
        <v>1.155E-2</v>
      </c>
      <c r="QT15">
        <v>1.004E-2</v>
      </c>
      <c r="QU15">
        <v>1.038E-2</v>
      </c>
      <c r="QV15">
        <v>1.072E-2</v>
      </c>
      <c r="QW15">
        <v>9.6399999999999993E-3</v>
      </c>
      <c r="QY15">
        <v>9.4199999999999996E-3</v>
      </c>
      <c r="RA15">
        <v>1.273E-2</v>
      </c>
      <c r="RB15">
        <v>1.5350000000000001E-2</v>
      </c>
      <c r="RD15">
        <v>2.5739999999999999E-2</v>
      </c>
      <c r="RF15">
        <v>1.435E-2</v>
      </c>
      <c r="RG15">
        <v>9.3200000000000002E-3</v>
      </c>
      <c r="RH15">
        <v>8.3400000000000002E-3</v>
      </c>
      <c r="RI15">
        <v>1.567E-2</v>
      </c>
      <c r="RJ15">
        <v>1.7639999999999999E-2</v>
      </c>
      <c r="RK15">
        <v>1.619E-2</v>
      </c>
      <c r="RL15">
        <v>1.41E-2</v>
      </c>
      <c r="RM15">
        <v>7.6499999999999997E-3</v>
      </c>
      <c r="RN15">
        <v>7.5100000000000002E-3</v>
      </c>
      <c r="RO15">
        <v>7.5100000000000002E-3</v>
      </c>
      <c r="RP15">
        <v>7.43E-3</v>
      </c>
      <c r="RQ15">
        <v>7.8600000000000007E-3</v>
      </c>
      <c r="RR15">
        <v>7.5599999999999999E-3</v>
      </c>
      <c r="RS15">
        <v>7.7000000000000002E-3</v>
      </c>
      <c r="RT15">
        <v>6.9899999999999997E-3</v>
      </c>
      <c r="RU15">
        <v>7.2300000000000003E-3</v>
      </c>
      <c r="RV15">
        <v>8.0300000000000007E-3</v>
      </c>
      <c r="RW15">
        <v>8.9899999999999997E-3</v>
      </c>
      <c r="RX15">
        <v>8.3400000000000002E-3</v>
      </c>
      <c r="RY15">
        <v>6.6600000000000001E-3</v>
      </c>
      <c r="RZ15">
        <v>1.242E-2</v>
      </c>
      <c r="SC15">
        <v>1.085E-2</v>
      </c>
      <c r="SD15">
        <v>1.0489999999999999E-2</v>
      </c>
      <c r="SE15">
        <v>9.3500000000000007E-3</v>
      </c>
      <c r="SF15">
        <v>9.92E-3</v>
      </c>
      <c r="SG15">
        <v>1.306E-2</v>
      </c>
      <c r="SH15">
        <v>1.5859999999999999E-2</v>
      </c>
      <c r="SI15">
        <v>9.7599999999999996E-3</v>
      </c>
      <c r="SJ15">
        <v>8.0000000000000002E-3</v>
      </c>
      <c r="SK15">
        <v>7.8200000000000006E-3</v>
      </c>
      <c r="SL15">
        <v>7.4900000000000001E-3</v>
      </c>
      <c r="SM15">
        <v>7.8799999999999999E-3</v>
      </c>
      <c r="SN15">
        <v>7.0499999999999998E-3</v>
      </c>
      <c r="SO15">
        <v>7.11E-3</v>
      </c>
      <c r="SP15">
        <v>7.79E-3</v>
      </c>
      <c r="SQ15">
        <v>8.3700000000000007E-3</v>
      </c>
      <c r="SR15">
        <v>7.4599999999999996E-3</v>
      </c>
      <c r="SS15">
        <v>7.45E-3</v>
      </c>
      <c r="ST15">
        <v>7.3499999999999998E-3</v>
      </c>
      <c r="SU15">
        <v>7.5700000000000003E-3</v>
      </c>
      <c r="SV15">
        <v>7.9900000000000006E-3</v>
      </c>
      <c r="SW15">
        <v>7.5900000000000004E-3</v>
      </c>
      <c r="SX15">
        <v>9.4500000000000001E-3</v>
      </c>
      <c r="SY15">
        <v>7.3699999999999998E-3</v>
      </c>
      <c r="SZ15">
        <v>7.9299999999999995E-3</v>
      </c>
      <c r="TA15">
        <v>8.7299999999999999E-3</v>
      </c>
      <c r="TB15">
        <v>7.45E-3</v>
      </c>
      <c r="TC15">
        <v>7.11E-3</v>
      </c>
      <c r="TD15">
        <v>1.099E-2</v>
      </c>
      <c r="TE15">
        <v>8.0999999999999996E-3</v>
      </c>
      <c r="TF15">
        <v>9.6100000000000005E-3</v>
      </c>
      <c r="TG15">
        <v>8.3000000000000001E-3</v>
      </c>
      <c r="TH15">
        <v>9.1299999999999992E-3</v>
      </c>
      <c r="TI15">
        <v>8.0099999999999998E-3</v>
      </c>
      <c r="TJ15">
        <v>7.7499999999999999E-3</v>
      </c>
      <c r="TK15">
        <v>7.3099999999999997E-3</v>
      </c>
      <c r="TL15">
        <v>6.7200000000000003E-3</v>
      </c>
      <c r="TM15">
        <v>6.3200000000000001E-3</v>
      </c>
      <c r="TN15">
        <v>6.9699999999999996E-3</v>
      </c>
      <c r="TO15">
        <v>7.92E-3</v>
      </c>
      <c r="TP15">
        <v>8.0499999999999999E-3</v>
      </c>
      <c r="TQ15">
        <v>6.3299999999999997E-3</v>
      </c>
      <c r="TR15">
        <v>8.7100000000000007E-3</v>
      </c>
      <c r="TS15">
        <v>1.061E-2</v>
      </c>
      <c r="TT15">
        <v>1.034E-2</v>
      </c>
      <c r="TU15">
        <v>8.8599999999999998E-3</v>
      </c>
      <c r="TV15">
        <v>9.6799999999999994E-3</v>
      </c>
      <c r="TW15">
        <v>6.9199999999999999E-3</v>
      </c>
      <c r="TX15">
        <v>6.8300000000000001E-3</v>
      </c>
      <c r="TY15">
        <v>6.5599999999999999E-3</v>
      </c>
      <c r="TZ15">
        <v>6.5399999999999998E-3</v>
      </c>
      <c r="UA15">
        <v>6.1599999999999997E-3</v>
      </c>
      <c r="UB15">
        <v>7.2100000000000003E-3</v>
      </c>
      <c r="UC15">
        <v>6.8900000000000003E-3</v>
      </c>
      <c r="UD15">
        <v>6.94E-3</v>
      </c>
      <c r="UE15">
        <v>7.0800000000000004E-3</v>
      </c>
      <c r="UG15">
        <v>7.8700000000000003E-3</v>
      </c>
      <c r="UH15">
        <v>7.1599999999999997E-3</v>
      </c>
      <c r="UI15">
        <v>8.3400000000000002E-3</v>
      </c>
      <c r="UJ15">
        <v>7.7299999999999999E-3</v>
      </c>
      <c r="UK15">
        <v>6.4999999999999997E-3</v>
      </c>
      <c r="UL15">
        <v>7.3099999999999997E-3</v>
      </c>
      <c r="UM15">
        <v>7.9000000000000008E-3</v>
      </c>
      <c r="UN15">
        <v>7.0000000000000001E-3</v>
      </c>
      <c r="UO15">
        <v>7.4799999999999997E-3</v>
      </c>
      <c r="UP15">
        <v>9.5600000000000008E-3</v>
      </c>
      <c r="UQ15">
        <v>6.96E-3</v>
      </c>
      <c r="UR15">
        <v>7.2500000000000004E-3</v>
      </c>
      <c r="US15">
        <v>7.2700000000000004E-3</v>
      </c>
      <c r="UT15">
        <v>7.0800000000000004E-3</v>
      </c>
      <c r="UU15">
        <v>7.2100000000000003E-3</v>
      </c>
      <c r="UV15">
        <v>7.1999999999999998E-3</v>
      </c>
      <c r="UW15">
        <v>1.108E-2</v>
      </c>
      <c r="UX15">
        <v>8.77E-3</v>
      </c>
      <c r="UY15">
        <v>8.6300000000000005E-3</v>
      </c>
      <c r="VA15">
        <v>1.1379999999999999E-2</v>
      </c>
      <c r="VB15">
        <v>9.3100000000000006E-3</v>
      </c>
      <c r="VC15">
        <v>1.163E-2</v>
      </c>
      <c r="VD15">
        <v>2.341E-2</v>
      </c>
      <c r="VF15">
        <v>2.8580000000000001E-2</v>
      </c>
      <c r="VG15">
        <v>3.6790000000000003E-2</v>
      </c>
      <c r="VI15">
        <v>1.191E-2</v>
      </c>
    </row>
    <row r="16" spans="1:581" x14ac:dyDescent="0.25">
      <c r="A16">
        <v>325000</v>
      </c>
      <c r="B16">
        <v>5.8300000000000001E-3</v>
      </c>
      <c r="C16">
        <v>5.7200000000000003E-3</v>
      </c>
      <c r="D16">
        <v>5.7800000000000004E-3</v>
      </c>
      <c r="E16">
        <v>5.5999999999999999E-3</v>
      </c>
      <c r="F16">
        <v>5.5900000000000004E-3</v>
      </c>
      <c r="G16">
        <v>5.8500000000000002E-3</v>
      </c>
      <c r="H16">
        <v>5.5799999999999999E-3</v>
      </c>
      <c r="I16">
        <v>5.5999999999999999E-3</v>
      </c>
      <c r="J16">
        <v>5.5999999999999999E-3</v>
      </c>
      <c r="K16">
        <v>5.77E-3</v>
      </c>
      <c r="L16">
        <v>5.7000000000000002E-3</v>
      </c>
      <c r="M16">
        <v>5.6600000000000001E-3</v>
      </c>
      <c r="N16">
        <v>5.64E-3</v>
      </c>
      <c r="O16">
        <v>7.4599999999999996E-3</v>
      </c>
      <c r="P16">
        <v>7.1799999999999998E-3</v>
      </c>
      <c r="Q16">
        <v>6.9899999999999997E-3</v>
      </c>
      <c r="R16">
        <v>6.3800000000000003E-3</v>
      </c>
      <c r="S16">
        <v>6.3600000000000002E-3</v>
      </c>
      <c r="T16">
        <v>6.1599999999999997E-3</v>
      </c>
      <c r="U16">
        <v>6.4900000000000001E-3</v>
      </c>
      <c r="V16">
        <v>6.3499999999999997E-3</v>
      </c>
      <c r="W16">
        <v>5.5599999999999998E-3</v>
      </c>
      <c r="X16">
        <v>5.8199999999999997E-3</v>
      </c>
      <c r="Y16">
        <v>5.2399999999999999E-3</v>
      </c>
      <c r="Z16">
        <v>5.3299999999999997E-3</v>
      </c>
      <c r="AA16">
        <v>1.455E-2</v>
      </c>
      <c r="AC16">
        <v>1.157E-2</v>
      </c>
      <c r="AD16">
        <v>8.5299999999999994E-3</v>
      </c>
      <c r="AE16">
        <v>9.7699999999999992E-3</v>
      </c>
      <c r="AH16">
        <v>1.444E-2</v>
      </c>
      <c r="AI16">
        <v>1.804E-2</v>
      </c>
      <c r="AJ16">
        <v>1.1469999999999999E-2</v>
      </c>
      <c r="AK16">
        <v>1.184E-2</v>
      </c>
      <c r="AL16">
        <v>1.162E-2</v>
      </c>
      <c r="AM16">
        <v>1.6049999999999998E-2</v>
      </c>
      <c r="AO16">
        <v>2.5219999999999999E-2</v>
      </c>
      <c r="AP16">
        <v>1.392E-2</v>
      </c>
      <c r="AS16">
        <v>1.593E-2</v>
      </c>
      <c r="AT16">
        <v>1.3310000000000001E-2</v>
      </c>
      <c r="AU16">
        <v>1.4069999999999999E-2</v>
      </c>
      <c r="AV16">
        <v>1.9699999999999999E-2</v>
      </c>
      <c r="AW16">
        <v>1.533E-2</v>
      </c>
      <c r="AX16">
        <v>1.443E-2</v>
      </c>
      <c r="AY16">
        <v>1.6799999999999999E-2</v>
      </c>
      <c r="AZ16">
        <v>1.47E-2</v>
      </c>
      <c r="BA16">
        <v>1.8180000000000002E-2</v>
      </c>
      <c r="BB16">
        <v>1.0999999999999999E-2</v>
      </c>
      <c r="BC16">
        <v>1.235E-2</v>
      </c>
      <c r="BD16">
        <v>1.332E-2</v>
      </c>
      <c r="BE16">
        <v>1.7149999999999999E-2</v>
      </c>
      <c r="BF16">
        <v>1.6449999999999999E-2</v>
      </c>
      <c r="BG16">
        <v>1.2800000000000001E-2</v>
      </c>
      <c r="BH16">
        <v>1.511E-2</v>
      </c>
      <c r="BI16">
        <v>1.771E-2</v>
      </c>
      <c r="BJ16">
        <v>1.363E-2</v>
      </c>
      <c r="BK16">
        <v>1.302E-2</v>
      </c>
      <c r="BL16">
        <v>1.2999999999999999E-2</v>
      </c>
      <c r="BM16">
        <v>1.255E-2</v>
      </c>
      <c r="BN16">
        <v>7.6299999999999996E-3</v>
      </c>
      <c r="BO16">
        <v>1.372E-2</v>
      </c>
      <c r="BP16">
        <v>9.1900000000000003E-3</v>
      </c>
      <c r="BQ16">
        <v>8.0000000000000002E-3</v>
      </c>
      <c r="BR16">
        <v>9.8499999999999994E-3</v>
      </c>
      <c r="BS16">
        <v>1.3180000000000001E-2</v>
      </c>
      <c r="BT16">
        <v>1.6E-2</v>
      </c>
      <c r="BU16">
        <v>1.302E-2</v>
      </c>
      <c r="BV16">
        <v>1.342E-2</v>
      </c>
      <c r="BW16">
        <v>1.29E-2</v>
      </c>
      <c r="BX16">
        <v>1.2359999999999999E-2</v>
      </c>
      <c r="BY16">
        <v>1.3010000000000001E-2</v>
      </c>
      <c r="BZ16">
        <v>1.1809999999999999E-2</v>
      </c>
      <c r="CA16">
        <v>1.3259999999999999E-2</v>
      </c>
      <c r="CB16">
        <v>8.8199999999999997E-3</v>
      </c>
      <c r="CC16">
        <v>1.001E-2</v>
      </c>
      <c r="CD16">
        <v>8.8800000000000007E-3</v>
      </c>
      <c r="CE16">
        <v>7.7099999999999998E-3</v>
      </c>
      <c r="CF16">
        <v>7.5799999999999999E-3</v>
      </c>
      <c r="CG16">
        <v>7.4599999999999996E-3</v>
      </c>
      <c r="CH16">
        <v>7.43E-3</v>
      </c>
      <c r="CI16">
        <v>7.4900000000000001E-3</v>
      </c>
      <c r="CJ16">
        <v>7.6899999999999998E-3</v>
      </c>
      <c r="CK16">
        <v>9.4900000000000002E-3</v>
      </c>
      <c r="CL16">
        <v>7.92E-3</v>
      </c>
      <c r="CM16">
        <v>8.4499999999999992E-3</v>
      </c>
      <c r="CN16">
        <v>9.4199999999999996E-3</v>
      </c>
      <c r="CO16">
        <v>8.4499999999999992E-3</v>
      </c>
      <c r="CP16">
        <v>9.7199999999999995E-3</v>
      </c>
      <c r="CQ16">
        <v>8.1600000000000006E-3</v>
      </c>
      <c r="CR16">
        <v>8.3199999999999993E-3</v>
      </c>
      <c r="CS16">
        <v>9.5099999999999994E-3</v>
      </c>
      <c r="CT16">
        <v>0.01</v>
      </c>
      <c r="CU16">
        <v>7.9100000000000004E-3</v>
      </c>
      <c r="CV16">
        <v>7.8799999999999999E-3</v>
      </c>
      <c r="CW16">
        <v>8.3199999999999993E-3</v>
      </c>
      <c r="CY16">
        <v>9.9000000000000008E-3</v>
      </c>
      <c r="CZ16">
        <v>7.7099999999999998E-3</v>
      </c>
      <c r="DA16">
        <v>7.28E-3</v>
      </c>
      <c r="DB16">
        <v>7.0899999999999999E-3</v>
      </c>
      <c r="DC16">
        <v>7.0099999999999997E-3</v>
      </c>
      <c r="DD16">
        <v>7.0699999999999999E-3</v>
      </c>
      <c r="DE16">
        <v>7.3699999999999998E-3</v>
      </c>
      <c r="DF16">
        <v>1.6990000000000002E-2</v>
      </c>
      <c r="DG16">
        <v>9.7300000000000008E-3</v>
      </c>
      <c r="DI16">
        <v>1.444E-2</v>
      </c>
      <c r="DJ16">
        <v>1.388E-2</v>
      </c>
      <c r="DK16">
        <v>1.336E-2</v>
      </c>
      <c r="DL16">
        <v>1.208E-2</v>
      </c>
      <c r="DM16">
        <v>1.2749999999999999E-2</v>
      </c>
      <c r="DN16">
        <v>1.2030000000000001E-2</v>
      </c>
      <c r="DO16">
        <v>1.123E-2</v>
      </c>
      <c r="DP16">
        <v>1.089E-2</v>
      </c>
      <c r="DQ16">
        <v>1.073E-2</v>
      </c>
      <c r="DR16">
        <v>1.4789999999999999E-2</v>
      </c>
      <c r="DS16">
        <v>1.3820000000000001E-2</v>
      </c>
      <c r="DT16">
        <v>1.363E-2</v>
      </c>
      <c r="DU16">
        <v>1.289E-2</v>
      </c>
      <c r="DV16">
        <v>1.2529999999999999E-2</v>
      </c>
      <c r="DW16">
        <v>1.5350000000000001E-2</v>
      </c>
      <c r="DX16">
        <v>1.491E-2</v>
      </c>
      <c r="DZ16">
        <v>1.379E-2</v>
      </c>
      <c r="EA16">
        <v>9.58E-3</v>
      </c>
      <c r="EB16">
        <v>9.5099999999999994E-3</v>
      </c>
      <c r="EC16">
        <v>8.8299999999999993E-3</v>
      </c>
      <c r="ED16">
        <v>2.7220000000000001E-2</v>
      </c>
      <c r="EF16">
        <v>2.6759999999999999E-2</v>
      </c>
      <c r="EH16">
        <v>2.6599999999999999E-2</v>
      </c>
      <c r="EI16">
        <v>8.2100000000000003E-3</v>
      </c>
      <c r="EJ16">
        <v>7.7400000000000004E-3</v>
      </c>
      <c r="EK16">
        <v>7.9100000000000004E-3</v>
      </c>
      <c r="EL16">
        <v>9.0600000000000003E-3</v>
      </c>
      <c r="EM16">
        <v>1.0019999999999999E-2</v>
      </c>
      <c r="EN16">
        <v>1.0460000000000001E-2</v>
      </c>
      <c r="EO16">
        <v>1.09E-2</v>
      </c>
      <c r="EP16">
        <v>1.0829999999999999E-2</v>
      </c>
      <c r="EQ16">
        <v>1.1039999999999999E-2</v>
      </c>
      <c r="ES16">
        <v>1.6230000000000001E-2</v>
      </c>
      <c r="EU16">
        <v>1.6140000000000002E-2</v>
      </c>
      <c r="EV16">
        <v>1.482E-2</v>
      </c>
      <c r="EW16">
        <v>1.359E-2</v>
      </c>
      <c r="EY16">
        <v>8.0099999999999998E-3</v>
      </c>
      <c r="EZ16">
        <v>8.2500000000000004E-3</v>
      </c>
      <c r="FA16">
        <v>1.2449999999999999E-2</v>
      </c>
      <c r="FB16">
        <v>1.272E-2</v>
      </c>
      <c r="FD16">
        <v>1.078E-2</v>
      </c>
      <c r="FE16">
        <v>1.272E-2</v>
      </c>
      <c r="FG16">
        <v>1.022E-2</v>
      </c>
      <c r="FH16">
        <v>1.235E-2</v>
      </c>
      <c r="FI16">
        <v>1.064E-2</v>
      </c>
      <c r="FJ16">
        <v>1.0149999999999999E-2</v>
      </c>
      <c r="FK16">
        <v>1.086E-2</v>
      </c>
      <c r="FL16">
        <v>9.0900000000000009E-3</v>
      </c>
      <c r="FN16">
        <v>1.4460000000000001E-2</v>
      </c>
      <c r="FO16">
        <v>1.179E-2</v>
      </c>
      <c r="FP16">
        <v>1.102E-2</v>
      </c>
      <c r="FS16">
        <v>1.8849999999999999E-2</v>
      </c>
      <c r="FT16">
        <v>1.6789999999999999E-2</v>
      </c>
      <c r="FU16">
        <v>1.507E-2</v>
      </c>
      <c r="FV16">
        <v>1.3089999999999999E-2</v>
      </c>
      <c r="FW16">
        <v>1.3440000000000001E-2</v>
      </c>
      <c r="FX16">
        <v>1.389E-2</v>
      </c>
      <c r="FY16">
        <v>1.472E-2</v>
      </c>
      <c r="FZ16">
        <v>1.265E-2</v>
      </c>
      <c r="GA16">
        <v>1.3599999999999999E-2</v>
      </c>
      <c r="GB16">
        <v>1.209E-2</v>
      </c>
      <c r="GC16">
        <v>1.3050000000000001E-2</v>
      </c>
      <c r="GD16">
        <v>1.187E-2</v>
      </c>
      <c r="GE16">
        <v>1.278E-2</v>
      </c>
      <c r="GF16">
        <v>1.081E-2</v>
      </c>
      <c r="GG16">
        <v>1.0840000000000001E-2</v>
      </c>
      <c r="GH16">
        <v>1.0999999999999999E-2</v>
      </c>
      <c r="GI16">
        <v>1.1209999999999999E-2</v>
      </c>
      <c r="GJ16">
        <v>1.14E-2</v>
      </c>
      <c r="GK16">
        <v>1.1690000000000001E-2</v>
      </c>
      <c r="GL16">
        <v>1.227E-2</v>
      </c>
      <c r="GM16">
        <v>1.0500000000000001E-2</v>
      </c>
      <c r="GN16">
        <v>1.7059999999999999E-2</v>
      </c>
      <c r="GO16">
        <v>1.172E-2</v>
      </c>
      <c r="GP16">
        <v>1.2919999999999999E-2</v>
      </c>
      <c r="GQ16">
        <v>1.4069999999999999E-2</v>
      </c>
      <c r="GR16">
        <v>1.533E-2</v>
      </c>
      <c r="GS16">
        <v>1.222E-2</v>
      </c>
      <c r="GT16">
        <v>1.316E-2</v>
      </c>
      <c r="GV16">
        <v>1.1900000000000001E-2</v>
      </c>
      <c r="GW16">
        <v>1.316E-2</v>
      </c>
      <c r="GX16">
        <v>1.093E-2</v>
      </c>
      <c r="GY16">
        <v>1.8450000000000001E-2</v>
      </c>
      <c r="GZ16">
        <v>1.469E-2</v>
      </c>
      <c r="HC16">
        <v>1.2659999999999999E-2</v>
      </c>
      <c r="HE16">
        <v>1.1820000000000001E-2</v>
      </c>
      <c r="HF16">
        <v>1.1379999999999999E-2</v>
      </c>
      <c r="HG16">
        <v>1.1039999999999999E-2</v>
      </c>
      <c r="HH16">
        <v>1.0699999999999999E-2</v>
      </c>
      <c r="HI16">
        <v>1.2460000000000001E-2</v>
      </c>
      <c r="HJ16">
        <v>7.1300000000000001E-3</v>
      </c>
      <c r="HM16">
        <v>1.452E-2</v>
      </c>
      <c r="HN16">
        <v>1.4239999999999999E-2</v>
      </c>
      <c r="HO16">
        <v>1.4970000000000001E-2</v>
      </c>
      <c r="HP16">
        <v>8.1099999999999992E-3</v>
      </c>
      <c r="HS16">
        <v>1.848E-2</v>
      </c>
      <c r="HT16">
        <v>1.4460000000000001E-2</v>
      </c>
      <c r="HU16">
        <v>8.4899999999999993E-3</v>
      </c>
      <c r="HV16">
        <v>1.073E-2</v>
      </c>
      <c r="HW16">
        <v>8.8699999999999994E-3</v>
      </c>
      <c r="HX16">
        <v>1.7760000000000001E-2</v>
      </c>
      <c r="HZ16">
        <v>9.5300000000000003E-3</v>
      </c>
      <c r="IA16">
        <v>1.274E-2</v>
      </c>
      <c r="IB16">
        <v>1.477E-2</v>
      </c>
      <c r="IC16">
        <v>1.081E-2</v>
      </c>
      <c r="ID16">
        <v>1.4160000000000001E-2</v>
      </c>
      <c r="IE16">
        <v>1.2659999999999999E-2</v>
      </c>
      <c r="IF16">
        <v>1.0200000000000001E-2</v>
      </c>
      <c r="IG16">
        <v>1.1089999999999999E-2</v>
      </c>
      <c r="IH16">
        <v>1.304E-2</v>
      </c>
      <c r="II16">
        <v>1.0149999999999999E-2</v>
      </c>
      <c r="IJ16">
        <v>9.1999999999999998E-3</v>
      </c>
      <c r="IK16">
        <v>9.8600000000000007E-3</v>
      </c>
      <c r="IL16">
        <v>1.111E-2</v>
      </c>
      <c r="IM16">
        <v>1.2290000000000001E-2</v>
      </c>
      <c r="IN16">
        <v>1.3559999999999999E-2</v>
      </c>
      <c r="IO16">
        <v>1.472E-2</v>
      </c>
      <c r="IP16">
        <v>1.9630000000000002E-2</v>
      </c>
      <c r="IQ16">
        <v>2.2790000000000001E-2</v>
      </c>
      <c r="IS16">
        <v>6.3899999999999998E-3</v>
      </c>
      <c r="IT16">
        <v>1.157E-2</v>
      </c>
      <c r="IU16">
        <v>1.308E-2</v>
      </c>
      <c r="IV16">
        <v>7.7799999999999996E-3</v>
      </c>
      <c r="IW16">
        <v>9.6799999999999994E-3</v>
      </c>
      <c r="IX16">
        <v>6.7299999999999999E-3</v>
      </c>
      <c r="IY16">
        <v>6.6400000000000001E-3</v>
      </c>
      <c r="IZ16">
        <v>6.3699999999999998E-3</v>
      </c>
      <c r="JA16">
        <v>7.3899999999999999E-3</v>
      </c>
      <c r="JB16">
        <v>8.0599999999999995E-3</v>
      </c>
      <c r="JC16">
        <v>8.77E-3</v>
      </c>
      <c r="JD16">
        <v>9.0600000000000003E-3</v>
      </c>
      <c r="JE16">
        <v>7.3200000000000001E-3</v>
      </c>
      <c r="JF16">
        <v>8.8400000000000006E-3</v>
      </c>
      <c r="JG16">
        <v>9.3100000000000006E-3</v>
      </c>
      <c r="JH16">
        <v>1.9210000000000001E-2</v>
      </c>
      <c r="JI16">
        <v>1.4749999999999999E-2</v>
      </c>
      <c r="JJ16">
        <v>1.3390000000000001E-2</v>
      </c>
      <c r="JL16">
        <v>1.4030000000000001E-2</v>
      </c>
      <c r="JM16">
        <v>1.472E-2</v>
      </c>
      <c r="JO16">
        <v>3.4819999999999997E-2</v>
      </c>
      <c r="JP16">
        <v>1.8429999999999998E-2</v>
      </c>
      <c r="JQ16">
        <v>8.43E-3</v>
      </c>
      <c r="JR16">
        <v>8.9700000000000005E-3</v>
      </c>
      <c r="JS16">
        <v>8.3800000000000003E-3</v>
      </c>
      <c r="JT16">
        <v>9.2700000000000005E-3</v>
      </c>
      <c r="JU16">
        <v>9.4900000000000002E-3</v>
      </c>
      <c r="JW16">
        <v>1.1560000000000001E-2</v>
      </c>
      <c r="JY16">
        <v>1.188E-2</v>
      </c>
      <c r="JZ16">
        <v>1.3679999999999999E-2</v>
      </c>
      <c r="KA16">
        <v>1.4630000000000001E-2</v>
      </c>
      <c r="KB16">
        <v>8.6099999999999996E-3</v>
      </c>
      <c r="KC16">
        <v>9.0600000000000003E-3</v>
      </c>
      <c r="KD16">
        <v>9.8099999999999993E-3</v>
      </c>
      <c r="KE16">
        <v>1.068E-2</v>
      </c>
      <c r="KF16">
        <v>1.205E-2</v>
      </c>
      <c r="KG16">
        <v>1.1520000000000001E-2</v>
      </c>
      <c r="KH16">
        <v>1.1950000000000001E-2</v>
      </c>
      <c r="KI16">
        <v>1.43E-2</v>
      </c>
      <c r="KJ16">
        <v>1.44E-2</v>
      </c>
      <c r="KK16">
        <v>1.438E-2</v>
      </c>
      <c r="KL16">
        <v>1.434E-2</v>
      </c>
      <c r="KM16">
        <v>1.4290000000000001E-2</v>
      </c>
      <c r="KN16">
        <v>8.09E-3</v>
      </c>
      <c r="KO16">
        <v>8.5000000000000006E-3</v>
      </c>
      <c r="KP16">
        <v>1.2319999999999999E-2</v>
      </c>
      <c r="KQ16">
        <v>1.2880000000000001E-2</v>
      </c>
      <c r="KR16">
        <v>1.532E-2</v>
      </c>
      <c r="KS16">
        <v>1.391E-2</v>
      </c>
      <c r="KT16">
        <v>1.6830000000000001E-2</v>
      </c>
      <c r="KU16">
        <v>8.1600000000000006E-3</v>
      </c>
      <c r="KV16">
        <v>7.2500000000000004E-3</v>
      </c>
      <c r="KW16">
        <v>7.4000000000000003E-3</v>
      </c>
      <c r="KY16">
        <v>6.4700000000000001E-3</v>
      </c>
      <c r="KZ16">
        <v>7.6499999999999997E-3</v>
      </c>
      <c r="LA16">
        <v>1.18E-2</v>
      </c>
      <c r="LB16">
        <v>1.119E-2</v>
      </c>
      <c r="LC16">
        <v>1.1560000000000001E-2</v>
      </c>
      <c r="LD16">
        <v>1.1560000000000001E-2</v>
      </c>
      <c r="LG16">
        <v>1.9040000000000001E-2</v>
      </c>
      <c r="LI16">
        <v>1.456E-2</v>
      </c>
      <c r="LJ16">
        <v>1.447E-2</v>
      </c>
      <c r="LK16">
        <v>1.443E-2</v>
      </c>
      <c r="LL16">
        <v>1.4829999999999999E-2</v>
      </c>
      <c r="LM16">
        <v>9.2899999999999996E-3</v>
      </c>
      <c r="LO16">
        <v>1.6990000000000002E-2</v>
      </c>
      <c r="LP16">
        <v>1.2630000000000001E-2</v>
      </c>
      <c r="LS16">
        <v>1.6389999999999998E-2</v>
      </c>
      <c r="LT16">
        <v>1.257E-2</v>
      </c>
      <c r="LV16">
        <v>2.5870000000000001E-2</v>
      </c>
      <c r="LW16">
        <v>7.1000000000000004E-3</v>
      </c>
      <c r="LX16">
        <v>7.3699999999999998E-3</v>
      </c>
      <c r="MB16">
        <v>6.9499999999999996E-3</v>
      </c>
      <c r="MC16">
        <v>1.1469999999999999E-2</v>
      </c>
      <c r="MD16">
        <v>1.2869999999999999E-2</v>
      </c>
      <c r="MF16">
        <v>2.47E-2</v>
      </c>
      <c r="MH16">
        <v>1.8409999999999999E-2</v>
      </c>
      <c r="MI16">
        <v>1.856E-2</v>
      </c>
      <c r="MK16">
        <v>2.1600000000000001E-2</v>
      </c>
      <c r="MM16">
        <v>1.6889999999999999E-2</v>
      </c>
      <c r="MN16">
        <v>7.9299999999999995E-3</v>
      </c>
      <c r="MO16">
        <v>9.0699999999999999E-3</v>
      </c>
      <c r="MP16">
        <v>9.5099999999999994E-3</v>
      </c>
      <c r="MQ16">
        <v>7.9799999999999992E-3</v>
      </c>
      <c r="MR16">
        <v>9.7000000000000003E-3</v>
      </c>
      <c r="MS16">
        <v>1.227E-2</v>
      </c>
      <c r="MT16">
        <v>1.2160000000000001E-2</v>
      </c>
      <c r="MU16">
        <v>7.5500000000000003E-3</v>
      </c>
      <c r="MV16">
        <v>8.9800000000000001E-3</v>
      </c>
      <c r="MW16">
        <v>9.6900000000000007E-3</v>
      </c>
      <c r="MX16">
        <v>1.008E-2</v>
      </c>
      <c r="MZ16">
        <v>1.218E-2</v>
      </c>
      <c r="NA16">
        <v>1.0619999999999999E-2</v>
      </c>
      <c r="NB16">
        <v>1.1220000000000001E-2</v>
      </c>
      <c r="ND16">
        <v>1.1820000000000001E-2</v>
      </c>
      <c r="NE16">
        <v>1.4760000000000001E-2</v>
      </c>
      <c r="NF16">
        <v>1.3270000000000001E-2</v>
      </c>
      <c r="NG16">
        <v>7.7600000000000004E-3</v>
      </c>
      <c r="NH16">
        <v>6.1599999999999997E-3</v>
      </c>
      <c r="NI16">
        <v>6.7099999999999998E-3</v>
      </c>
      <c r="NJ16">
        <v>7.79E-3</v>
      </c>
      <c r="NK16">
        <v>6.6400000000000001E-3</v>
      </c>
      <c r="NL16">
        <v>7.2300000000000003E-3</v>
      </c>
      <c r="NM16">
        <v>7.8399999999999997E-3</v>
      </c>
      <c r="NN16">
        <v>8.3099999999999997E-3</v>
      </c>
      <c r="NO16">
        <v>8.77E-3</v>
      </c>
      <c r="NP16">
        <v>6.6E-3</v>
      </c>
      <c r="NQ16">
        <v>7.2300000000000003E-3</v>
      </c>
      <c r="NR16">
        <v>7.3299999999999997E-3</v>
      </c>
      <c r="NS16">
        <v>7.9600000000000001E-3</v>
      </c>
      <c r="NT16">
        <v>8.8699999999999994E-3</v>
      </c>
      <c r="NU16">
        <v>6.79E-3</v>
      </c>
      <c r="NV16">
        <v>7.43E-3</v>
      </c>
      <c r="NW16">
        <v>7.4000000000000003E-3</v>
      </c>
      <c r="NX16">
        <v>7.9000000000000008E-3</v>
      </c>
      <c r="NY16">
        <v>8.0400000000000003E-3</v>
      </c>
      <c r="NZ16">
        <v>8.5800000000000008E-3</v>
      </c>
      <c r="OA16">
        <v>8.9700000000000005E-3</v>
      </c>
      <c r="OB16">
        <v>6.8999999999999999E-3</v>
      </c>
      <c r="OC16">
        <v>7.5199999999999998E-3</v>
      </c>
      <c r="OD16">
        <v>7.7999999999999996E-3</v>
      </c>
      <c r="OE16">
        <v>7.7999999999999996E-3</v>
      </c>
      <c r="OF16">
        <v>1.312E-2</v>
      </c>
      <c r="OG16">
        <v>8.26E-3</v>
      </c>
      <c r="OH16">
        <v>8.3700000000000007E-3</v>
      </c>
      <c r="OI16">
        <v>9.1400000000000006E-3</v>
      </c>
      <c r="OJ16">
        <v>9.5399999999999999E-3</v>
      </c>
      <c r="OK16">
        <v>9.9100000000000004E-3</v>
      </c>
      <c r="OL16">
        <v>1.03E-2</v>
      </c>
      <c r="OM16">
        <v>7.0299999999999998E-3</v>
      </c>
      <c r="ON16">
        <v>7.7099999999999998E-3</v>
      </c>
      <c r="OO16">
        <v>8.2699999999999996E-3</v>
      </c>
      <c r="OP16">
        <v>9.1400000000000006E-3</v>
      </c>
      <c r="OQ16">
        <v>9.5899999999999996E-3</v>
      </c>
      <c r="OR16">
        <v>9.9299999999999996E-3</v>
      </c>
      <c r="OS16">
        <v>1.159E-2</v>
      </c>
      <c r="OT16">
        <v>7.5300000000000002E-3</v>
      </c>
      <c r="OU16">
        <v>7.7999999999999996E-3</v>
      </c>
      <c r="OV16">
        <v>5.9300000000000004E-3</v>
      </c>
      <c r="OW16">
        <v>5.45E-3</v>
      </c>
      <c r="OX16">
        <v>5.2900000000000004E-3</v>
      </c>
      <c r="OY16">
        <v>5.3200000000000001E-3</v>
      </c>
      <c r="OZ16">
        <v>5.7000000000000002E-3</v>
      </c>
      <c r="PA16">
        <v>1.4370000000000001E-2</v>
      </c>
      <c r="PB16">
        <v>1.5779999999999999E-2</v>
      </c>
      <c r="PC16">
        <v>1.1209999999999999E-2</v>
      </c>
      <c r="PD16">
        <v>9.5499999999999995E-3</v>
      </c>
      <c r="PE16">
        <v>8.7100000000000007E-3</v>
      </c>
      <c r="PF16">
        <v>8.4200000000000004E-3</v>
      </c>
      <c r="PG16">
        <v>8.9099999999999995E-3</v>
      </c>
      <c r="PH16">
        <v>8.2299999999999995E-3</v>
      </c>
      <c r="PI16">
        <v>1.086E-2</v>
      </c>
      <c r="PJ16">
        <v>1.009E-2</v>
      </c>
      <c r="PK16">
        <v>8.6800000000000002E-3</v>
      </c>
      <c r="PL16">
        <v>7.6099999999999996E-3</v>
      </c>
      <c r="PM16">
        <v>7.1799999999999998E-3</v>
      </c>
      <c r="PN16">
        <v>8.4100000000000008E-3</v>
      </c>
      <c r="PQ16">
        <v>9.1299999999999992E-3</v>
      </c>
      <c r="PR16">
        <v>7.8100000000000001E-3</v>
      </c>
      <c r="PS16">
        <v>1.065E-2</v>
      </c>
      <c r="PT16">
        <v>1.014E-2</v>
      </c>
      <c r="PU16">
        <v>6.7000000000000002E-3</v>
      </c>
      <c r="PV16">
        <v>9.3100000000000006E-3</v>
      </c>
      <c r="PW16">
        <v>1.1169999999999999E-2</v>
      </c>
      <c r="PX16">
        <v>1.315E-2</v>
      </c>
      <c r="PY16">
        <v>1.5559999999999999E-2</v>
      </c>
      <c r="PZ16">
        <v>1.8030000000000001E-2</v>
      </c>
      <c r="QA16">
        <v>6.5399999999999998E-3</v>
      </c>
      <c r="QB16">
        <v>6.6899999999999998E-3</v>
      </c>
      <c r="QC16">
        <v>7.8499999999999993E-3</v>
      </c>
      <c r="QD16">
        <v>6.94E-3</v>
      </c>
      <c r="QE16">
        <v>6.8500000000000002E-3</v>
      </c>
      <c r="QF16">
        <v>7.1799999999999998E-3</v>
      </c>
      <c r="QG16">
        <v>7.26E-3</v>
      </c>
      <c r="QH16">
        <v>6.9800000000000001E-3</v>
      </c>
      <c r="QI16">
        <v>7.3699999999999998E-3</v>
      </c>
      <c r="QJ16">
        <v>7.7499999999999999E-3</v>
      </c>
      <c r="QK16">
        <v>7.0099999999999997E-3</v>
      </c>
      <c r="QL16">
        <v>6.7000000000000002E-3</v>
      </c>
      <c r="QM16">
        <v>7.7099999999999998E-3</v>
      </c>
      <c r="QN16">
        <v>1.095E-2</v>
      </c>
      <c r="QO16">
        <v>9.8099999999999993E-3</v>
      </c>
      <c r="QP16">
        <v>9.6200000000000001E-3</v>
      </c>
      <c r="QQ16">
        <v>9.5499999999999995E-3</v>
      </c>
      <c r="QR16">
        <v>1.0919999999999999E-2</v>
      </c>
      <c r="QS16">
        <v>1.124E-2</v>
      </c>
      <c r="QT16">
        <v>9.5999999999999992E-3</v>
      </c>
      <c r="QU16">
        <v>9.8899999999999995E-3</v>
      </c>
      <c r="QV16">
        <v>1.022E-2</v>
      </c>
      <c r="QW16">
        <v>9.2099999999999994E-3</v>
      </c>
      <c r="QX16">
        <v>9.9299999999999996E-3</v>
      </c>
      <c r="QY16">
        <v>8.9599999999999992E-3</v>
      </c>
      <c r="QZ16">
        <v>9.3600000000000003E-3</v>
      </c>
      <c r="RA16">
        <v>1.214E-2</v>
      </c>
      <c r="RB16">
        <v>1.481E-2</v>
      </c>
      <c r="RD16">
        <v>2.486E-2</v>
      </c>
      <c r="RE16">
        <v>2.64E-2</v>
      </c>
      <c r="RF16">
        <v>1.3639999999999999E-2</v>
      </c>
      <c r="RG16">
        <v>8.9200000000000008E-3</v>
      </c>
      <c r="RH16">
        <v>7.9799999999999992E-3</v>
      </c>
      <c r="RI16">
        <v>1.4579999999999999E-2</v>
      </c>
      <c r="RJ16">
        <v>1.6420000000000001E-2</v>
      </c>
      <c r="RK16">
        <v>1.52E-2</v>
      </c>
      <c r="RL16">
        <v>1.338E-2</v>
      </c>
      <c r="RM16">
        <v>7.28E-3</v>
      </c>
      <c r="RN16">
        <v>7.1799999999999998E-3</v>
      </c>
      <c r="RO16">
        <v>7.1799999999999998E-3</v>
      </c>
      <c r="RP16">
        <v>7.0299999999999998E-3</v>
      </c>
      <c r="RQ16">
        <v>7.45E-3</v>
      </c>
      <c r="RR16">
        <v>7.1700000000000002E-3</v>
      </c>
      <c r="RS16">
        <v>7.3099999999999997E-3</v>
      </c>
      <c r="RT16">
        <v>6.6699999999999997E-3</v>
      </c>
      <c r="RU16">
        <v>6.9199999999999999E-3</v>
      </c>
      <c r="RV16">
        <v>7.7200000000000003E-3</v>
      </c>
      <c r="RW16">
        <v>8.6499999999999997E-3</v>
      </c>
      <c r="RX16">
        <v>7.9699999999999997E-3</v>
      </c>
      <c r="RY16">
        <v>6.4599999999999996E-3</v>
      </c>
      <c r="RZ16">
        <v>1.1599999999999999E-2</v>
      </c>
      <c r="SC16">
        <v>1.039E-2</v>
      </c>
      <c r="SD16">
        <v>1.0120000000000001E-2</v>
      </c>
      <c r="SE16">
        <v>9.0500000000000008E-3</v>
      </c>
      <c r="SF16">
        <v>9.5899999999999996E-3</v>
      </c>
      <c r="SG16">
        <v>1.278E-2</v>
      </c>
      <c r="SH16">
        <v>1.5429999999999999E-2</v>
      </c>
      <c r="SI16">
        <v>9.41E-3</v>
      </c>
      <c r="SJ16">
        <v>7.6600000000000001E-3</v>
      </c>
      <c r="SK16">
        <v>7.3699999999999998E-3</v>
      </c>
      <c r="SL16">
        <v>7.1300000000000001E-3</v>
      </c>
      <c r="SM16">
        <v>7.4599999999999996E-3</v>
      </c>
      <c r="SN16">
        <v>6.6699999999999997E-3</v>
      </c>
      <c r="SO16">
        <v>6.7299999999999999E-3</v>
      </c>
      <c r="SP16">
        <v>7.4900000000000001E-3</v>
      </c>
      <c r="SQ16">
        <v>8.0599999999999995E-3</v>
      </c>
      <c r="SR16">
        <v>7.2199999999999999E-3</v>
      </c>
      <c r="SS16">
        <v>7.1300000000000001E-3</v>
      </c>
      <c r="ST16">
        <v>7.0499999999999998E-3</v>
      </c>
      <c r="SU16">
        <v>7.3299999999999997E-3</v>
      </c>
      <c r="SV16">
        <v>7.5799999999999999E-3</v>
      </c>
      <c r="SW16">
        <v>7.3200000000000001E-3</v>
      </c>
      <c r="SX16">
        <v>9.0100000000000006E-3</v>
      </c>
      <c r="SY16">
        <v>7.11E-3</v>
      </c>
      <c r="SZ16">
        <v>7.5799999999999999E-3</v>
      </c>
      <c r="TA16">
        <v>8.2199999999999999E-3</v>
      </c>
      <c r="TB16">
        <v>7.28E-3</v>
      </c>
      <c r="TC16">
        <v>6.77E-3</v>
      </c>
      <c r="TD16">
        <v>1.035E-2</v>
      </c>
      <c r="TE16">
        <v>8.0400000000000003E-3</v>
      </c>
      <c r="TF16">
        <v>9.2300000000000004E-3</v>
      </c>
      <c r="TG16">
        <v>7.9699999999999997E-3</v>
      </c>
      <c r="TH16">
        <v>9.1299999999999992E-3</v>
      </c>
      <c r="TI16">
        <v>7.7299999999999999E-3</v>
      </c>
      <c r="TJ16">
        <v>7.4900000000000001E-3</v>
      </c>
      <c r="TK16">
        <v>6.9899999999999997E-3</v>
      </c>
      <c r="TL16">
        <v>6.45E-3</v>
      </c>
      <c r="TM16">
        <v>6.0400000000000002E-3</v>
      </c>
      <c r="TN16">
        <v>6.7999999999999996E-3</v>
      </c>
      <c r="TO16">
        <v>7.6099999999999996E-3</v>
      </c>
      <c r="TP16">
        <v>7.5799999999999999E-3</v>
      </c>
      <c r="TQ16">
        <v>6.1700000000000001E-3</v>
      </c>
      <c r="TR16">
        <v>8.4200000000000004E-3</v>
      </c>
      <c r="TS16">
        <v>1.017E-2</v>
      </c>
      <c r="TT16">
        <v>9.92E-3</v>
      </c>
      <c r="TU16">
        <v>8.5500000000000003E-3</v>
      </c>
      <c r="TV16">
        <v>9.1500000000000001E-3</v>
      </c>
      <c r="TW16">
        <v>6.6800000000000002E-3</v>
      </c>
      <c r="TX16">
        <v>6.5700000000000003E-3</v>
      </c>
      <c r="TY16">
        <v>6.2300000000000003E-3</v>
      </c>
      <c r="TZ16">
        <v>6.28E-3</v>
      </c>
      <c r="UA16">
        <v>5.9300000000000004E-3</v>
      </c>
      <c r="UB16">
        <v>6.9199999999999999E-3</v>
      </c>
      <c r="UC16">
        <v>6.6E-3</v>
      </c>
      <c r="UD16">
        <v>6.6400000000000001E-3</v>
      </c>
      <c r="UE16">
        <v>6.77E-3</v>
      </c>
      <c r="UF16">
        <v>8.1200000000000005E-3</v>
      </c>
      <c r="UG16">
        <v>7.4400000000000004E-3</v>
      </c>
      <c r="UH16">
        <v>6.9199999999999999E-3</v>
      </c>
      <c r="UI16">
        <v>7.92E-3</v>
      </c>
      <c r="UJ16">
        <v>7.43E-3</v>
      </c>
      <c r="UK16">
        <v>6.3099999999999996E-3</v>
      </c>
      <c r="UL16">
        <v>7.0200000000000002E-3</v>
      </c>
      <c r="UM16">
        <v>7.5900000000000004E-3</v>
      </c>
      <c r="UN16">
        <v>6.6899999999999998E-3</v>
      </c>
      <c r="UO16">
        <v>7.1199999999999996E-3</v>
      </c>
      <c r="UP16">
        <v>9.2800000000000001E-3</v>
      </c>
      <c r="UQ16">
        <v>6.6400000000000001E-3</v>
      </c>
      <c r="UR16">
        <v>6.94E-3</v>
      </c>
      <c r="US16">
        <v>6.9899999999999997E-3</v>
      </c>
      <c r="UT16">
        <v>6.7499999999999999E-3</v>
      </c>
      <c r="UU16">
        <v>6.8399999999999997E-3</v>
      </c>
      <c r="UV16">
        <v>6.9199999999999999E-3</v>
      </c>
      <c r="UW16">
        <v>1.056E-2</v>
      </c>
      <c r="UX16">
        <v>8.2400000000000008E-3</v>
      </c>
      <c r="UY16">
        <v>8.2199999999999999E-3</v>
      </c>
      <c r="VA16">
        <v>1.098E-2</v>
      </c>
      <c r="VB16">
        <v>8.8599999999999998E-3</v>
      </c>
      <c r="VC16">
        <v>1.107E-2</v>
      </c>
      <c r="VD16">
        <v>2.2679999999999999E-2</v>
      </c>
      <c r="VF16">
        <v>2.725E-2</v>
      </c>
      <c r="VH16">
        <v>1.289E-2</v>
      </c>
      <c r="VI16">
        <v>1.111E-2</v>
      </c>
    </row>
    <row r="17" spans="1:581" x14ac:dyDescent="0.25">
      <c r="A17">
        <v>350000</v>
      </c>
      <c r="B17">
        <v>5.62E-3</v>
      </c>
      <c r="C17">
        <v>5.5199999999999997E-3</v>
      </c>
      <c r="D17">
        <v>5.5399999999999998E-3</v>
      </c>
      <c r="E17">
        <v>5.3800000000000002E-3</v>
      </c>
      <c r="F17">
        <v>5.4000000000000003E-3</v>
      </c>
      <c r="G17">
        <v>5.6499999999999996E-3</v>
      </c>
      <c r="H17">
        <v>5.3699999999999998E-3</v>
      </c>
      <c r="I17">
        <v>5.3699999999999998E-3</v>
      </c>
      <c r="J17">
        <v>5.3699999999999998E-3</v>
      </c>
      <c r="K17">
        <v>5.5700000000000003E-3</v>
      </c>
      <c r="L17">
        <v>5.4900000000000001E-3</v>
      </c>
      <c r="M17">
        <v>5.4400000000000004E-3</v>
      </c>
      <c r="N17">
        <v>5.4099999999999999E-3</v>
      </c>
      <c r="O17">
        <v>7.3299999999999997E-3</v>
      </c>
      <c r="P17">
        <v>7.0299999999999998E-3</v>
      </c>
      <c r="Q17">
        <v>6.8399999999999997E-3</v>
      </c>
      <c r="R17">
        <v>6.2500000000000003E-3</v>
      </c>
      <c r="S17">
        <v>6.2199999999999998E-3</v>
      </c>
      <c r="T17">
        <v>6.0400000000000002E-3</v>
      </c>
      <c r="U17">
        <v>6.3499999999999997E-3</v>
      </c>
      <c r="V17">
        <v>6.2199999999999998E-3</v>
      </c>
      <c r="W17">
        <v>5.47E-3</v>
      </c>
      <c r="X17">
        <v>5.7200000000000003E-3</v>
      </c>
      <c r="Y17">
        <v>5.0499999999999998E-3</v>
      </c>
      <c r="Z17">
        <v>5.1399999999999996E-3</v>
      </c>
      <c r="AA17">
        <v>1.397E-2</v>
      </c>
      <c r="AB17">
        <v>8.8400000000000006E-3</v>
      </c>
      <c r="AC17">
        <v>1.0840000000000001E-2</v>
      </c>
      <c r="AD17">
        <v>8.2100000000000003E-3</v>
      </c>
      <c r="AE17">
        <v>9.4400000000000005E-3</v>
      </c>
      <c r="AG17">
        <v>1.3729999999999999E-2</v>
      </c>
      <c r="AH17">
        <v>1.375E-2</v>
      </c>
      <c r="AI17">
        <v>1.702E-2</v>
      </c>
      <c r="AJ17">
        <v>1.091E-2</v>
      </c>
      <c r="AK17">
        <v>1.1129999999999999E-2</v>
      </c>
      <c r="AL17">
        <v>1.1089999999999999E-2</v>
      </c>
      <c r="AM17">
        <v>1.495E-2</v>
      </c>
      <c r="AN17">
        <v>1.525E-2</v>
      </c>
      <c r="AO17">
        <v>2.359E-2</v>
      </c>
      <c r="AP17">
        <v>1.323E-2</v>
      </c>
      <c r="AQ17">
        <v>2.111E-2</v>
      </c>
      <c r="AR17">
        <v>1.3610000000000001E-2</v>
      </c>
      <c r="AS17">
        <v>1.516E-2</v>
      </c>
      <c r="AT17">
        <v>1.257E-2</v>
      </c>
      <c r="AU17">
        <v>1.325E-2</v>
      </c>
      <c r="AV17">
        <v>1.9230000000000001E-2</v>
      </c>
      <c r="AW17">
        <v>1.443E-2</v>
      </c>
      <c r="AX17">
        <v>1.358E-2</v>
      </c>
      <c r="AY17">
        <v>1.5949999999999999E-2</v>
      </c>
      <c r="AZ17">
        <v>1.3639999999999999E-2</v>
      </c>
      <c r="BA17">
        <v>1.7299999999999999E-2</v>
      </c>
      <c r="BB17">
        <v>1.056E-2</v>
      </c>
      <c r="BC17">
        <v>1.191E-2</v>
      </c>
      <c r="BD17">
        <v>1.2699999999999999E-2</v>
      </c>
      <c r="BG17">
        <v>1.21E-2</v>
      </c>
      <c r="BH17">
        <v>1.427E-2</v>
      </c>
      <c r="BI17">
        <v>1.6889999999999999E-2</v>
      </c>
      <c r="BJ17">
        <v>1.285E-2</v>
      </c>
      <c r="BK17">
        <v>1.247E-2</v>
      </c>
      <c r="BL17">
        <v>1.242E-2</v>
      </c>
      <c r="BM17">
        <v>1.201E-2</v>
      </c>
      <c r="BN17">
        <v>7.3099999999999997E-3</v>
      </c>
      <c r="BO17">
        <v>1.316E-2</v>
      </c>
      <c r="BP17">
        <v>8.8999999999999999E-3</v>
      </c>
      <c r="BQ17">
        <v>7.7600000000000004E-3</v>
      </c>
      <c r="BR17">
        <v>9.6600000000000002E-3</v>
      </c>
      <c r="BS17">
        <v>1.328E-2</v>
      </c>
      <c r="BT17">
        <v>1.5219999999999999E-2</v>
      </c>
      <c r="BU17">
        <v>1.2630000000000001E-2</v>
      </c>
      <c r="BV17">
        <v>1.3089999999999999E-2</v>
      </c>
      <c r="BW17">
        <v>1.247E-2</v>
      </c>
      <c r="BX17">
        <v>1.197E-2</v>
      </c>
      <c r="BY17">
        <v>1.264E-2</v>
      </c>
      <c r="BZ17">
        <v>1.146E-2</v>
      </c>
      <c r="CA17">
        <v>1.268E-2</v>
      </c>
      <c r="CB17">
        <v>8.5900000000000004E-3</v>
      </c>
      <c r="CC17">
        <v>9.7900000000000001E-3</v>
      </c>
      <c r="CD17">
        <v>8.6300000000000005E-3</v>
      </c>
      <c r="CE17">
        <v>7.4700000000000001E-3</v>
      </c>
      <c r="CF17">
        <v>7.3200000000000001E-3</v>
      </c>
      <c r="CG17">
        <v>7.2100000000000003E-3</v>
      </c>
      <c r="CH17">
        <v>7.1599999999999997E-3</v>
      </c>
      <c r="CI17">
        <v>7.2500000000000004E-3</v>
      </c>
      <c r="CJ17">
        <v>7.45E-3</v>
      </c>
      <c r="CK17">
        <v>9.1900000000000003E-3</v>
      </c>
      <c r="CL17">
        <v>7.6800000000000002E-3</v>
      </c>
      <c r="CM17">
        <v>8.1700000000000002E-3</v>
      </c>
      <c r="CN17">
        <v>9.1299999999999992E-3</v>
      </c>
      <c r="CO17">
        <v>8.2000000000000007E-3</v>
      </c>
      <c r="CP17">
        <v>9.4500000000000001E-3</v>
      </c>
      <c r="CQ17">
        <v>7.9299999999999995E-3</v>
      </c>
      <c r="CR17">
        <v>8.0700000000000008E-3</v>
      </c>
      <c r="CS17">
        <v>9.2399999999999999E-3</v>
      </c>
      <c r="CT17">
        <v>9.7199999999999995E-3</v>
      </c>
      <c r="CU17">
        <v>7.6499999999999997E-3</v>
      </c>
      <c r="CV17">
        <v>7.5500000000000003E-3</v>
      </c>
      <c r="CW17">
        <v>8.0599999999999995E-3</v>
      </c>
      <c r="CY17">
        <v>9.58E-3</v>
      </c>
      <c r="CZ17">
        <v>7.5100000000000002E-3</v>
      </c>
      <c r="DA17">
        <v>7.0200000000000002E-3</v>
      </c>
      <c r="DB17">
        <v>6.8399999999999997E-3</v>
      </c>
      <c r="DC17">
        <v>6.7600000000000004E-3</v>
      </c>
      <c r="DD17">
        <v>6.7799999999999996E-3</v>
      </c>
      <c r="DE17">
        <v>7.0299999999999998E-3</v>
      </c>
      <c r="DF17">
        <v>1.618E-2</v>
      </c>
      <c r="DG17">
        <v>9.2700000000000005E-3</v>
      </c>
      <c r="DH17">
        <v>1.4670000000000001E-2</v>
      </c>
      <c r="DI17">
        <v>1.387E-2</v>
      </c>
      <c r="DJ17">
        <v>1.332E-2</v>
      </c>
      <c r="DK17">
        <v>1.282E-2</v>
      </c>
      <c r="DL17">
        <v>1.137E-2</v>
      </c>
      <c r="DM17">
        <v>1.239E-2</v>
      </c>
      <c r="DN17">
        <v>1.1849999999999999E-2</v>
      </c>
      <c r="DO17">
        <v>1.1259999999999999E-2</v>
      </c>
      <c r="DP17">
        <v>1.073E-2</v>
      </c>
      <c r="DQ17">
        <v>9.4199999999999996E-3</v>
      </c>
      <c r="DR17">
        <v>1.4370000000000001E-2</v>
      </c>
      <c r="DS17">
        <v>1.372E-2</v>
      </c>
      <c r="DT17">
        <v>1.3180000000000001E-2</v>
      </c>
      <c r="DU17">
        <v>1.2760000000000001E-2</v>
      </c>
      <c r="DV17">
        <v>1.204E-2</v>
      </c>
      <c r="DW17">
        <v>1.503E-2</v>
      </c>
      <c r="DX17">
        <v>1.448E-2</v>
      </c>
      <c r="DZ17">
        <v>1.3100000000000001E-2</v>
      </c>
      <c r="EA17">
        <v>9.11E-3</v>
      </c>
      <c r="EB17">
        <v>9.0100000000000006E-3</v>
      </c>
      <c r="EC17">
        <v>8.4600000000000005E-3</v>
      </c>
      <c r="ED17">
        <v>2.6970000000000001E-2</v>
      </c>
      <c r="EE17">
        <v>7.8799999999999999E-3</v>
      </c>
      <c r="EF17">
        <v>2.647E-2</v>
      </c>
      <c r="EH17">
        <v>2.707E-2</v>
      </c>
      <c r="EI17">
        <v>7.9600000000000001E-3</v>
      </c>
      <c r="EJ17">
        <v>7.4900000000000001E-3</v>
      </c>
      <c r="EK17">
        <v>7.6400000000000001E-3</v>
      </c>
      <c r="EL17">
        <v>8.8000000000000005E-3</v>
      </c>
      <c r="EM17">
        <v>9.6600000000000002E-3</v>
      </c>
      <c r="EN17">
        <v>1.009E-2</v>
      </c>
      <c r="EO17">
        <v>1.0500000000000001E-2</v>
      </c>
      <c r="EP17">
        <v>1.0449999999999999E-2</v>
      </c>
      <c r="EQ17">
        <v>1.0659999999999999E-2</v>
      </c>
      <c r="ER17">
        <v>1.6799999999999999E-2</v>
      </c>
      <c r="ET17">
        <v>1.6619999999999999E-2</v>
      </c>
      <c r="EU17">
        <v>1.5520000000000001E-2</v>
      </c>
      <c r="EV17">
        <v>1.427E-2</v>
      </c>
      <c r="EW17">
        <v>1.321E-2</v>
      </c>
      <c r="EY17">
        <v>7.8600000000000007E-3</v>
      </c>
      <c r="EZ17">
        <v>8.0999999999999996E-3</v>
      </c>
      <c r="FA17">
        <v>1.191E-2</v>
      </c>
      <c r="FB17">
        <v>1.217E-2</v>
      </c>
      <c r="FD17">
        <v>1.0330000000000001E-2</v>
      </c>
      <c r="FE17">
        <v>1.213E-2</v>
      </c>
      <c r="FG17">
        <v>1.0120000000000001E-2</v>
      </c>
      <c r="FH17">
        <v>1.2120000000000001E-2</v>
      </c>
      <c r="FI17">
        <v>1.0500000000000001E-2</v>
      </c>
      <c r="FJ17">
        <v>1.0059999999999999E-2</v>
      </c>
      <c r="FK17">
        <v>1.0619999999999999E-2</v>
      </c>
      <c r="FL17">
        <v>8.6499999999999997E-3</v>
      </c>
      <c r="FN17">
        <v>1.372E-2</v>
      </c>
      <c r="FO17">
        <v>1.1180000000000001E-2</v>
      </c>
      <c r="FP17">
        <v>1.043E-2</v>
      </c>
      <c r="FQ17">
        <v>1.6910000000000001E-2</v>
      </c>
      <c r="FS17">
        <v>1.7950000000000001E-2</v>
      </c>
      <c r="FT17">
        <v>1.619E-2</v>
      </c>
      <c r="FU17">
        <v>1.4160000000000001E-2</v>
      </c>
      <c r="FV17">
        <v>1.2489999999999999E-2</v>
      </c>
      <c r="FW17">
        <v>1.2630000000000001E-2</v>
      </c>
      <c r="FX17">
        <v>1.3299999999999999E-2</v>
      </c>
      <c r="FY17">
        <v>1.417E-2</v>
      </c>
      <c r="FZ17">
        <v>1.209E-2</v>
      </c>
      <c r="GA17">
        <v>1.302E-2</v>
      </c>
      <c r="GB17">
        <v>1.17E-2</v>
      </c>
      <c r="GC17">
        <v>1.269E-2</v>
      </c>
      <c r="GD17">
        <v>1.145E-2</v>
      </c>
      <c r="GE17">
        <v>1.2359999999999999E-2</v>
      </c>
      <c r="GF17">
        <v>1.042E-2</v>
      </c>
      <c r="GG17">
        <v>1.0500000000000001E-2</v>
      </c>
      <c r="GH17">
        <v>1.0580000000000001E-2</v>
      </c>
      <c r="GJ17">
        <v>1.1089999999999999E-2</v>
      </c>
      <c r="GK17">
        <v>1.1350000000000001E-2</v>
      </c>
      <c r="GL17">
        <v>1.188E-2</v>
      </c>
      <c r="GM17">
        <v>1.0240000000000001E-2</v>
      </c>
      <c r="GN17">
        <v>1.5970000000000002E-2</v>
      </c>
      <c r="GO17">
        <v>1.1310000000000001E-2</v>
      </c>
      <c r="GP17">
        <v>1.2449999999999999E-2</v>
      </c>
      <c r="GQ17">
        <v>1.3469999999999999E-2</v>
      </c>
      <c r="GR17">
        <v>1.4800000000000001E-2</v>
      </c>
      <c r="GS17">
        <v>1.1639999999999999E-2</v>
      </c>
      <c r="GT17">
        <v>1.2529999999999999E-2</v>
      </c>
      <c r="GV17">
        <v>1.1610000000000001E-2</v>
      </c>
      <c r="GW17">
        <v>1.2840000000000001E-2</v>
      </c>
      <c r="GX17">
        <v>1.0749999999999999E-2</v>
      </c>
      <c r="GY17">
        <v>1.729E-2</v>
      </c>
      <c r="GZ17">
        <v>1.3849999999999999E-2</v>
      </c>
      <c r="HC17">
        <v>1.21E-2</v>
      </c>
      <c r="HE17">
        <v>1.176E-2</v>
      </c>
      <c r="HF17">
        <v>1.1169999999999999E-2</v>
      </c>
      <c r="HG17">
        <v>1.056E-2</v>
      </c>
      <c r="HH17">
        <v>1.031E-2</v>
      </c>
      <c r="HI17">
        <v>1.217E-2</v>
      </c>
      <c r="HJ17">
        <v>6.7499999999999999E-3</v>
      </c>
      <c r="HK17">
        <v>1.4500000000000001E-2</v>
      </c>
      <c r="HM17">
        <v>1.3690000000000001E-2</v>
      </c>
      <c r="HN17">
        <v>1.333E-2</v>
      </c>
      <c r="HO17">
        <v>1.391E-2</v>
      </c>
      <c r="HP17">
        <v>7.7600000000000004E-3</v>
      </c>
      <c r="HR17">
        <v>1.7899999999999999E-2</v>
      </c>
      <c r="HS17">
        <v>1.7770000000000001E-2</v>
      </c>
      <c r="HT17">
        <v>1.3480000000000001E-2</v>
      </c>
      <c r="HU17">
        <v>8.1200000000000005E-3</v>
      </c>
      <c r="HV17">
        <v>1.039E-2</v>
      </c>
      <c r="HW17">
        <v>8.5000000000000006E-3</v>
      </c>
      <c r="HX17">
        <v>1.6879999999999999E-2</v>
      </c>
      <c r="HZ17">
        <v>8.9899999999999997E-3</v>
      </c>
      <c r="IA17">
        <v>1.2330000000000001E-2</v>
      </c>
      <c r="IB17">
        <v>1.421E-2</v>
      </c>
      <c r="IC17">
        <v>1.0540000000000001E-2</v>
      </c>
      <c r="ID17">
        <v>1.323E-2</v>
      </c>
      <c r="IE17">
        <v>1.1809999999999999E-2</v>
      </c>
      <c r="IF17">
        <v>9.7099999999999999E-3</v>
      </c>
      <c r="IG17">
        <v>1.059E-2</v>
      </c>
      <c r="IH17">
        <v>1.238E-2</v>
      </c>
      <c r="II17">
        <v>9.4199999999999996E-3</v>
      </c>
      <c r="IJ17">
        <v>8.9099999999999995E-3</v>
      </c>
      <c r="IK17">
        <v>9.5999999999999992E-3</v>
      </c>
      <c r="IL17">
        <v>1.0749999999999999E-2</v>
      </c>
      <c r="IM17">
        <v>1.1900000000000001E-2</v>
      </c>
      <c r="IN17">
        <v>1.307E-2</v>
      </c>
      <c r="IO17">
        <v>1.421E-2</v>
      </c>
      <c r="IP17">
        <v>1.865E-2</v>
      </c>
      <c r="IQ17">
        <v>2.1559999999999999E-2</v>
      </c>
      <c r="IS17">
        <v>6.2300000000000003E-3</v>
      </c>
      <c r="IT17">
        <v>1.1039999999999999E-2</v>
      </c>
      <c r="IU17">
        <v>1.251E-2</v>
      </c>
      <c r="IV17">
        <v>7.4900000000000001E-3</v>
      </c>
      <c r="IW17">
        <v>9.2499999999999995E-3</v>
      </c>
      <c r="IX17">
        <v>6.5399999999999998E-3</v>
      </c>
      <c r="IY17">
        <v>6.3600000000000002E-3</v>
      </c>
      <c r="IZ17">
        <v>6.2300000000000003E-3</v>
      </c>
      <c r="JA17">
        <v>7.0699999999999999E-3</v>
      </c>
      <c r="JB17">
        <v>7.6899999999999998E-3</v>
      </c>
      <c r="JC17">
        <v>8.3599999999999994E-3</v>
      </c>
      <c r="JD17">
        <v>8.6700000000000006E-3</v>
      </c>
      <c r="JE17">
        <v>7.1399999999999996E-3</v>
      </c>
      <c r="JF17">
        <v>8.4100000000000008E-3</v>
      </c>
      <c r="JG17">
        <v>8.94E-3</v>
      </c>
      <c r="JH17">
        <v>1.8200000000000001E-2</v>
      </c>
      <c r="JJ17">
        <v>1.2540000000000001E-2</v>
      </c>
      <c r="JL17">
        <v>1.3050000000000001E-2</v>
      </c>
      <c r="JQ17">
        <v>8.1099999999999992E-3</v>
      </c>
      <c r="JR17">
        <v>8.6899999999999998E-3</v>
      </c>
      <c r="JS17">
        <v>8.0800000000000004E-3</v>
      </c>
      <c r="JT17">
        <v>8.94E-3</v>
      </c>
      <c r="JU17">
        <v>9.1800000000000007E-3</v>
      </c>
      <c r="JV17">
        <v>1.206E-2</v>
      </c>
      <c r="JW17">
        <v>1.103E-2</v>
      </c>
      <c r="JX17">
        <v>1.107E-2</v>
      </c>
      <c r="JY17">
        <v>1.146E-2</v>
      </c>
      <c r="KA17">
        <v>1.3899999999999999E-2</v>
      </c>
      <c r="KB17">
        <v>8.3400000000000002E-3</v>
      </c>
      <c r="KC17">
        <v>8.7600000000000004E-3</v>
      </c>
      <c r="KD17">
        <v>9.4900000000000002E-3</v>
      </c>
      <c r="KE17">
        <v>1.027E-2</v>
      </c>
      <c r="KF17">
        <v>1.1769999999999999E-2</v>
      </c>
      <c r="KG17">
        <v>1.2030000000000001E-2</v>
      </c>
      <c r="KH17">
        <v>1.1390000000000001E-2</v>
      </c>
      <c r="KI17">
        <v>1.367E-2</v>
      </c>
      <c r="KJ17">
        <v>1.3729999999999999E-2</v>
      </c>
      <c r="KK17">
        <v>1.372E-2</v>
      </c>
      <c r="KL17">
        <v>1.367E-2</v>
      </c>
      <c r="KM17">
        <v>1.3809999999999999E-2</v>
      </c>
      <c r="KN17">
        <v>7.9299999999999995E-3</v>
      </c>
      <c r="KO17">
        <v>8.2699999999999996E-3</v>
      </c>
      <c r="KP17">
        <v>1.1950000000000001E-2</v>
      </c>
      <c r="KQ17">
        <v>1.238E-2</v>
      </c>
      <c r="KR17">
        <v>1.456E-2</v>
      </c>
      <c r="KS17">
        <v>1.3129999999999999E-2</v>
      </c>
      <c r="KT17">
        <v>1.5100000000000001E-2</v>
      </c>
      <c r="KU17">
        <v>7.7799999999999996E-3</v>
      </c>
      <c r="KV17">
        <v>7.0000000000000001E-3</v>
      </c>
      <c r="KW17">
        <v>7.2199999999999999E-3</v>
      </c>
      <c r="KX17">
        <v>1.6580000000000001E-2</v>
      </c>
      <c r="KY17">
        <v>6.2599999999999999E-3</v>
      </c>
      <c r="KZ17">
        <v>7.5300000000000002E-3</v>
      </c>
      <c r="LA17">
        <v>1.119E-2</v>
      </c>
      <c r="LB17">
        <v>1.059E-2</v>
      </c>
      <c r="LC17">
        <v>1.095E-2</v>
      </c>
      <c r="LD17">
        <v>1.095E-2</v>
      </c>
      <c r="LG17">
        <v>1.753E-2</v>
      </c>
      <c r="LI17">
        <v>1.4E-2</v>
      </c>
      <c r="LJ17">
        <v>1.4080000000000001E-2</v>
      </c>
      <c r="LK17">
        <v>1.4019999999999999E-2</v>
      </c>
      <c r="LL17">
        <v>1.3849999999999999E-2</v>
      </c>
      <c r="LM17">
        <v>8.8500000000000002E-3</v>
      </c>
      <c r="LO17">
        <v>1.5720000000000001E-2</v>
      </c>
      <c r="LP17">
        <v>1.204E-2</v>
      </c>
      <c r="LR17">
        <v>1.431E-2</v>
      </c>
      <c r="LS17">
        <v>1.5939999999999999E-2</v>
      </c>
      <c r="LV17">
        <v>2.453E-2</v>
      </c>
      <c r="LW17">
        <v>6.7400000000000003E-3</v>
      </c>
      <c r="LX17">
        <v>7.0899999999999999E-3</v>
      </c>
      <c r="MB17">
        <v>6.6E-3</v>
      </c>
      <c r="MC17">
        <v>1.1039999999999999E-2</v>
      </c>
      <c r="MD17">
        <v>1.2999999999999999E-2</v>
      </c>
      <c r="ME17">
        <v>2.1010000000000001E-2</v>
      </c>
      <c r="MF17">
        <v>2.3220000000000001E-2</v>
      </c>
      <c r="MH17">
        <v>1.6809999999999999E-2</v>
      </c>
      <c r="MM17">
        <v>1.602E-2</v>
      </c>
      <c r="MN17">
        <v>7.7299999999999999E-3</v>
      </c>
      <c r="MO17">
        <v>8.8400000000000006E-3</v>
      </c>
      <c r="MP17">
        <v>9.1400000000000006E-3</v>
      </c>
      <c r="MQ17">
        <v>7.6600000000000001E-3</v>
      </c>
      <c r="MR17">
        <v>9.3299999999999998E-3</v>
      </c>
      <c r="MS17">
        <v>1.157E-2</v>
      </c>
      <c r="MT17">
        <v>1.17E-2</v>
      </c>
      <c r="MU17">
        <v>7.3000000000000001E-3</v>
      </c>
      <c r="MV17">
        <v>8.6099999999999996E-3</v>
      </c>
      <c r="MW17">
        <v>9.2899999999999996E-3</v>
      </c>
      <c r="MX17">
        <v>9.6299999999999997E-3</v>
      </c>
      <c r="MZ17">
        <v>1.1599999999999999E-2</v>
      </c>
      <c r="NA17">
        <v>1.0279999999999999E-2</v>
      </c>
      <c r="NB17">
        <v>1.081E-2</v>
      </c>
      <c r="ND17">
        <v>1.146E-2</v>
      </c>
      <c r="NE17">
        <v>1.389E-2</v>
      </c>
      <c r="NF17">
        <v>1.2840000000000001E-2</v>
      </c>
      <c r="NG17">
        <v>7.4900000000000001E-3</v>
      </c>
      <c r="NH17">
        <v>5.9199999999999999E-3</v>
      </c>
      <c r="NI17">
        <v>6.4999999999999997E-3</v>
      </c>
      <c r="NJ17">
        <v>7.5100000000000002E-3</v>
      </c>
      <c r="NK17">
        <v>6.43E-3</v>
      </c>
      <c r="NL17">
        <v>7.0000000000000001E-3</v>
      </c>
      <c r="NM17">
        <v>7.5599999999999999E-3</v>
      </c>
      <c r="NN17">
        <v>8.0099999999999998E-3</v>
      </c>
      <c r="NO17">
        <v>8.43E-3</v>
      </c>
      <c r="NP17">
        <v>6.4099999999999999E-3</v>
      </c>
      <c r="NQ17">
        <v>7.0099999999999997E-3</v>
      </c>
      <c r="NR17">
        <v>7.0899999999999999E-3</v>
      </c>
      <c r="NS17">
        <v>7.6800000000000002E-3</v>
      </c>
      <c r="NT17">
        <v>8.5400000000000007E-3</v>
      </c>
      <c r="NU17">
        <v>6.5799999999999999E-3</v>
      </c>
      <c r="NV17">
        <v>7.1799999999999998E-3</v>
      </c>
      <c r="NW17">
        <v>7.1599999999999997E-3</v>
      </c>
      <c r="NX17">
        <v>7.6E-3</v>
      </c>
      <c r="NY17">
        <v>7.7499999999999999E-3</v>
      </c>
      <c r="NZ17">
        <v>8.2400000000000008E-3</v>
      </c>
      <c r="OA17">
        <v>8.6300000000000005E-3</v>
      </c>
      <c r="OB17">
        <v>6.6699999999999997E-3</v>
      </c>
      <c r="OC17">
        <v>7.26E-3</v>
      </c>
      <c r="OD17">
        <v>7.4999999999999997E-3</v>
      </c>
      <c r="OE17">
        <v>7.4999999999999997E-3</v>
      </c>
      <c r="OF17">
        <v>1.242E-2</v>
      </c>
      <c r="OG17">
        <v>7.9100000000000004E-3</v>
      </c>
      <c r="OH17">
        <v>8.0400000000000003E-3</v>
      </c>
      <c r="OI17">
        <v>8.77E-3</v>
      </c>
      <c r="OJ17">
        <v>9.1400000000000006E-3</v>
      </c>
      <c r="OK17">
        <v>9.4800000000000006E-3</v>
      </c>
      <c r="OL17">
        <v>9.8600000000000007E-3</v>
      </c>
      <c r="OM17">
        <v>6.79E-3</v>
      </c>
      <c r="ON17">
        <v>7.4400000000000004E-3</v>
      </c>
      <c r="OO17">
        <v>7.9699999999999997E-3</v>
      </c>
      <c r="OP17">
        <v>8.8000000000000005E-3</v>
      </c>
      <c r="OQ17">
        <v>9.2200000000000008E-3</v>
      </c>
      <c r="OR17">
        <v>9.5399999999999999E-3</v>
      </c>
      <c r="OS17">
        <v>1.107E-2</v>
      </c>
      <c r="OT17">
        <v>7.2700000000000004E-3</v>
      </c>
      <c r="OU17">
        <v>7.5399999999999998E-3</v>
      </c>
      <c r="OV17">
        <v>5.7400000000000003E-3</v>
      </c>
      <c r="OW17">
        <v>5.2599999999999999E-3</v>
      </c>
      <c r="OX17">
        <v>5.1000000000000004E-3</v>
      </c>
      <c r="OY17">
        <v>5.13E-3</v>
      </c>
      <c r="OZ17">
        <v>5.6299999999999996E-3</v>
      </c>
      <c r="PA17">
        <v>1.3820000000000001E-2</v>
      </c>
      <c r="PB17">
        <v>1.5180000000000001E-2</v>
      </c>
      <c r="PC17">
        <v>1.091E-2</v>
      </c>
      <c r="PD17">
        <v>9.2599999999999991E-3</v>
      </c>
      <c r="PE17">
        <v>8.4399999999999996E-3</v>
      </c>
      <c r="PF17">
        <v>8.1200000000000005E-3</v>
      </c>
      <c r="PG17">
        <v>8.5800000000000008E-3</v>
      </c>
      <c r="PH17">
        <v>8.0199999999999994E-3</v>
      </c>
      <c r="PI17">
        <v>1.0500000000000001E-2</v>
      </c>
      <c r="PJ17">
        <v>9.7400000000000004E-3</v>
      </c>
      <c r="PK17">
        <v>8.4600000000000005E-3</v>
      </c>
      <c r="PL17">
        <v>7.3000000000000001E-3</v>
      </c>
      <c r="PM17">
        <v>6.9800000000000001E-3</v>
      </c>
      <c r="PN17">
        <v>8.0999999999999996E-3</v>
      </c>
      <c r="PO17">
        <v>9.5300000000000003E-3</v>
      </c>
      <c r="PP17">
        <v>9.9299999999999996E-3</v>
      </c>
      <c r="PQ17">
        <v>8.7799999999999996E-3</v>
      </c>
      <c r="PR17">
        <v>7.5599999999999999E-3</v>
      </c>
      <c r="PS17">
        <v>1.0120000000000001E-2</v>
      </c>
      <c r="PT17">
        <v>9.6600000000000002E-3</v>
      </c>
      <c r="PU17">
        <v>6.5100000000000002E-3</v>
      </c>
      <c r="PW17">
        <v>1.0800000000000001E-2</v>
      </c>
      <c r="PX17">
        <v>1.259E-2</v>
      </c>
      <c r="PY17">
        <v>1.491E-2</v>
      </c>
      <c r="QA17">
        <v>6.2500000000000003E-3</v>
      </c>
      <c r="QB17">
        <v>6.4000000000000003E-3</v>
      </c>
      <c r="QC17">
        <v>7.5599999999999999E-3</v>
      </c>
      <c r="QD17">
        <v>6.7200000000000003E-3</v>
      </c>
      <c r="QE17">
        <v>6.6100000000000004E-3</v>
      </c>
      <c r="QF17">
        <v>6.9499999999999996E-3</v>
      </c>
      <c r="QH17">
        <v>6.77E-3</v>
      </c>
      <c r="QI17">
        <v>7.1199999999999996E-3</v>
      </c>
      <c r="QJ17">
        <v>7.4400000000000004E-3</v>
      </c>
      <c r="QK17">
        <v>6.77E-3</v>
      </c>
      <c r="QL17">
        <v>6.4599999999999996E-3</v>
      </c>
      <c r="QM17">
        <v>7.45E-3</v>
      </c>
      <c r="QN17">
        <v>1.043E-2</v>
      </c>
      <c r="QO17">
        <v>9.4400000000000005E-3</v>
      </c>
      <c r="QP17">
        <v>9.3100000000000006E-3</v>
      </c>
      <c r="QQ17">
        <v>9.2200000000000008E-3</v>
      </c>
      <c r="QR17">
        <v>1.069E-2</v>
      </c>
      <c r="QS17">
        <v>1.1010000000000001E-2</v>
      </c>
      <c r="QT17">
        <v>9.2200000000000008E-3</v>
      </c>
      <c r="QU17">
        <v>9.4999999999999998E-3</v>
      </c>
      <c r="QV17">
        <v>9.7699999999999992E-3</v>
      </c>
      <c r="QW17">
        <v>8.8500000000000002E-3</v>
      </c>
      <c r="QX17">
        <v>9.4599999999999997E-3</v>
      </c>
      <c r="QY17">
        <v>8.5599999999999999E-3</v>
      </c>
      <c r="QZ17">
        <v>8.9599999999999992E-3</v>
      </c>
      <c r="RA17">
        <v>1.1560000000000001E-2</v>
      </c>
      <c r="RB17">
        <v>1.422E-2</v>
      </c>
      <c r="RC17">
        <v>1.251E-2</v>
      </c>
      <c r="RD17">
        <v>2.3879999999999998E-2</v>
      </c>
      <c r="RE17">
        <v>2.5360000000000001E-2</v>
      </c>
      <c r="RF17">
        <v>1.308E-2</v>
      </c>
      <c r="RG17">
        <v>8.5699999999999995E-3</v>
      </c>
      <c r="RH17">
        <v>7.6600000000000001E-3</v>
      </c>
      <c r="RI17">
        <v>1.393E-2</v>
      </c>
      <c r="RJ17">
        <v>1.553E-2</v>
      </c>
      <c r="RK17">
        <v>1.4319999999999999E-2</v>
      </c>
      <c r="RL17">
        <v>1.2710000000000001E-2</v>
      </c>
      <c r="RM17">
        <v>6.9699999999999996E-3</v>
      </c>
      <c r="RN17">
        <v>6.8900000000000003E-3</v>
      </c>
      <c r="RO17">
        <v>6.8900000000000003E-3</v>
      </c>
      <c r="RP17">
        <v>6.6899999999999998E-3</v>
      </c>
      <c r="RQ17">
        <v>7.1199999999999996E-3</v>
      </c>
      <c r="RR17">
        <v>6.8199999999999997E-3</v>
      </c>
      <c r="RS17">
        <v>6.9699999999999996E-3</v>
      </c>
      <c r="RT17">
        <v>6.3899999999999998E-3</v>
      </c>
      <c r="RU17">
        <v>6.6499999999999997E-3</v>
      </c>
      <c r="RV17">
        <v>7.4599999999999996E-3</v>
      </c>
      <c r="RW17">
        <v>8.3700000000000007E-3</v>
      </c>
      <c r="RX17">
        <v>7.6400000000000001E-3</v>
      </c>
      <c r="RY17">
        <v>6.2899999999999996E-3</v>
      </c>
      <c r="RZ17">
        <v>1.077E-2</v>
      </c>
      <c r="SA17">
        <v>2.1049999999999999E-2</v>
      </c>
      <c r="SB17">
        <v>1.9460000000000002E-2</v>
      </c>
      <c r="SC17">
        <v>1.001E-2</v>
      </c>
      <c r="SD17">
        <v>9.8399999999999998E-3</v>
      </c>
      <c r="SE17">
        <v>8.8000000000000005E-3</v>
      </c>
      <c r="SF17">
        <v>9.3200000000000002E-3</v>
      </c>
      <c r="SG17">
        <v>1.242E-2</v>
      </c>
      <c r="SH17">
        <v>1.512E-2</v>
      </c>
      <c r="SI17">
        <v>9.1199999999999996E-3</v>
      </c>
      <c r="SJ17">
        <v>7.3699999999999998E-3</v>
      </c>
      <c r="SL17">
        <v>6.8399999999999997E-3</v>
      </c>
      <c r="SM17">
        <v>7.11E-3</v>
      </c>
      <c r="SN17">
        <v>6.3800000000000003E-3</v>
      </c>
      <c r="SO17">
        <v>6.4200000000000004E-3</v>
      </c>
      <c r="SP17">
        <v>7.2199999999999999E-3</v>
      </c>
      <c r="SQ17">
        <v>7.7799999999999996E-3</v>
      </c>
      <c r="SR17">
        <v>7.0200000000000002E-3</v>
      </c>
      <c r="SS17">
        <v>6.8700000000000002E-3</v>
      </c>
      <c r="ST17">
        <v>6.7999999999999996E-3</v>
      </c>
      <c r="SU17">
        <v>7.1000000000000004E-3</v>
      </c>
      <c r="SV17">
        <v>7.2500000000000004E-3</v>
      </c>
      <c r="SW17">
        <v>7.1000000000000004E-3</v>
      </c>
      <c r="SX17">
        <v>8.6800000000000002E-3</v>
      </c>
      <c r="SY17">
        <v>6.8700000000000002E-3</v>
      </c>
      <c r="SZ17">
        <v>7.28E-3</v>
      </c>
      <c r="TA17">
        <v>7.8399999999999997E-3</v>
      </c>
      <c r="TB17">
        <v>7.1300000000000001E-3</v>
      </c>
      <c r="TC17">
        <v>6.4900000000000001E-3</v>
      </c>
      <c r="TD17">
        <v>9.75E-3</v>
      </c>
      <c r="TE17">
        <v>7.9699999999999997E-3</v>
      </c>
      <c r="TF17">
        <v>8.8999999999999999E-3</v>
      </c>
      <c r="TG17">
        <v>7.6699999999999997E-3</v>
      </c>
      <c r="TH17">
        <v>9.1299999999999992E-3</v>
      </c>
      <c r="TI17">
        <v>7.4700000000000001E-3</v>
      </c>
      <c r="TJ17">
        <v>7.2300000000000003E-3</v>
      </c>
      <c r="TK17">
        <v>6.7200000000000003E-3</v>
      </c>
      <c r="TL17">
        <v>6.2399999999999999E-3</v>
      </c>
      <c r="TM17">
        <v>5.7999999999999996E-3</v>
      </c>
      <c r="TN17">
        <v>6.6499999999999997E-3</v>
      </c>
      <c r="TO17">
        <v>7.3600000000000002E-3</v>
      </c>
      <c r="TP17">
        <v>7.2300000000000003E-3</v>
      </c>
      <c r="TQ17">
        <v>6.0299999999999998E-3</v>
      </c>
      <c r="TR17">
        <v>8.1899999999999994E-3</v>
      </c>
      <c r="TS17">
        <v>9.7999999999999997E-3</v>
      </c>
      <c r="TT17">
        <v>9.5300000000000003E-3</v>
      </c>
      <c r="TU17">
        <v>8.2799999999999992E-3</v>
      </c>
      <c r="TV17">
        <v>8.6899999999999998E-3</v>
      </c>
      <c r="TW17">
        <v>6.4799999999999996E-3</v>
      </c>
      <c r="TX17">
        <v>6.3499999999999997E-3</v>
      </c>
      <c r="TY17">
        <v>5.94E-3</v>
      </c>
      <c r="TZ17">
        <v>6.0899999999999999E-3</v>
      </c>
      <c r="UA17">
        <v>5.7000000000000002E-3</v>
      </c>
      <c r="UB17">
        <v>6.6699999999999997E-3</v>
      </c>
      <c r="UC17">
        <v>6.3499999999999997E-3</v>
      </c>
      <c r="UD17">
        <v>6.3899999999999998E-3</v>
      </c>
      <c r="UE17">
        <v>6.4999999999999997E-3</v>
      </c>
      <c r="UF17">
        <v>7.62E-3</v>
      </c>
      <c r="UG17">
        <v>7.11E-3</v>
      </c>
      <c r="UH17">
        <v>6.7099999999999998E-3</v>
      </c>
      <c r="UI17">
        <v>7.5799999999999999E-3</v>
      </c>
      <c r="UJ17">
        <v>7.1500000000000001E-3</v>
      </c>
      <c r="UK17">
        <v>6.1599999999999997E-3</v>
      </c>
      <c r="UL17">
        <v>6.77E-3</v>
      </c>
      <c r="UM17">
        <v>7.3200000000000001E-3</v>
      </c>
      <c r="UN17">
        <v>6.4200000000000004E-3</v>
      </c>
      <c r="UO17">
        <v>6.7999999999999996E-3</v>
      </c>
      <c r="UP17">
        <v>9.0500000000000008E-3</v>
      </c>
      <c r="UQ17">
        <v>6.3800000000000003E-3</v>
      </c>
      <c r="UR17">
        <v>6.6899999999999998E-3</v>
      </c>
      <c r="US17">
        <v>6.7600000000000004E-3</v>
      </c>
      <c r="UT17">
        <v>6.4599999999999996E-3</v>
      </c>
      <c r="UU17">
        <v>6.5300000000000002E-3</v>
      </c>
      <c r="UV17">
        <v>6.6899999999999998E-3</v>
      </c>
      <c r="UW17">
        <v>1.018E-2</v>
      </c>
      <c r="UX17">
        <v>7.7799999999999996E-3</v>
      </c>
      <c r="UY17">
        <v>7.8200000000000006E-3</v>
      </c>
      <c r="VA17">
        <v>1.064E-2</v>
      </c>
      <c r="VB17">
        <v>8.4799999999999997E-3</v>
      </c>
      <c r="VC17">
        <v>1.06E-2</v>
      </c>
      <c r="VD17">
        <v>2.1829999999999999E-2</v>
      </c>
      <c r="VF17">
        <v>2.6079999999999999E-2</v>
      </c>
      <c r="VG17">
        <v>2.8809999999999999E-2</v>
      </c>
      <c r="VH17">
        <v>1.2319999999999999E-2</v>
      </c>
      <c r="VI17">
        <v>1.03E-2</v>
      </c>
    </row>
    <row r="18" spans="1:581" x14ac:dyDescent="0.25">
      <c r="A18">
        <v>375000</v>
      </c>
      <c r="B18">
        <v>5.4400000000000004E-3</v>
      </c>
      <c r="C18">
        <v>5.3400000000000001E-3</v>
      </c>
      <c r="D18">
        <v>5.3299999999999997E-3</v>
      </c>
      <c r="E18">
        <v>5.1900000000000002E-3</v>
      </c>
      <c r="F18">
        <v>5.2300000000000003E-3</v>
      </c>
      <c r="G18">
        <v>5.4799999999999996E-3</v>
      </c>
      <c r="H18">
        <v>5.1799999999999997E-3</v>
      </c>
      <c r="I18">
        <v>5.1700000000000001E-3</v>
      </c>
      <c r="J18">
        <v>5.1599999999999997E-3</v>
      </c>
      <c r="K18">
        <v>5.4000000000000003E-3</v>
      </c>
      <c r="L18">
        <v>5.3099999999999996E-3</v>
      </c>
      <c r="M18">
        <v>5.2500000000000003E-3</v>
      </c>
      <c r="N18">
        <v>5.2100000000000002E-3</v>
      </c>
      <c r="O18">
        <v>7.2199999999999999E-3</v>
      </c>
      <c r="P18">
        <v>6.9199999999999999E-3</v>
      </c>
      <c r="Q18">
        <v>6.7200000000000003E-3</v>
      </c>
      <c r="R18">
        <v>6.1399999999999996E-3</v>
      </c>
      <c r="S18">
        <v>6.1000000000000004E-3</v>
      </c>
      <c r="T18">
        <v>5.94E-3</v>
      </c>
      <c r="U18">
        <v>6.2300000000000003E-3</v>
      </c>
      <c r="V18">
        <v>6.0800000000000003E-3</v>
      </c>
      <c r="W18">
        <v>5.4000000000000003E-3</v>
      </c>
      <c r="X18">
        <v>5.64E-3</v>
      </c>
      <c r="Y18">
        <v>4.8799999999999998E-3</v>
      </c>
      <c r="Z18">
        <v>4.9699999999999996E-3</v>
      </c>
      <c r="AA18">
        <v>1.336E-2</v>
      </c>
      <c r="AB18">
        <v>8.6199999999999992E-3</v>
      </c>
      <c r="AC18">
        <v>1.038E-2</v>
      </c>
      <c r="AD18">
        <v>7.9600000000000001E-3</v>
      </c>
      <c r="AE18">
        <v>9.1500000000000001E-3</v>
      </c>
      <c r="AG18">
        <v>1.3010000000000001E-2</v>
      </c>
      <c r="AH18">
        <v>1.302E-2</v>
      </c>
      <c r="AJ18">
        <v>1.0359999999999999E-2</v>
      </c>
      <c r="AK18">
        <v>1.047E-2</v>
      </c>
      <c r="AL18">
        <v>1.0840000000000001E-2</v>
      </c>
      <c r="AM18">
        <v>1.3939999999999999E-2</v>
      </c>
      <c r="AN18">
        <v>1.4330000000000001E-2</v>
      </c>
      <c r="AO18">
        <v>2.2200000000000001E-2</v>
      </c>
      <c r="AP18">
        <v>1.2630000000000001E-2</v>
      </c>
      <c r="AQ18">
        <v>1.9910000000000001E-2</v>
      </c>
      <c r="AR18">
        <v>1.3100000000000001E-2</v>
      </c>
      <c r="AS18">
        <v>1.4370000000000001E-2</v>
      </c>
      <c r="AT18">
        <v>1.197E-2</v>
      </c>
      <c r="AU18">
        <v>1.2579999999999999E-2</v>
      </c>
      <c r="AV18">
        <v>1.8440000000000002E-2</v>
      </c>
      <c r="AW18">
        <v>1.363E-2</v>
      </c>
      <c r="AY18">
        <v>1.5100000000000001E-2</v>
      </c>
      <c r="AZ18">
        <v>1.2749999999999999E-2</v>
      </c>
      <c r="BB18">
        <v>1.018E-2</v>
      </c>
      <c r="BC18">
        <v>1.1429999999999999E-2</v>
      </c>
      <c r="BD18">
        <v>1.2189999999999999E-2</v>
      </c>
      <c r="BF18">
        <v>1.5270000000000001E-2</v>
      </c>
      <c r="BG18">
        <v>1.1610000000000001E-2</v>
      </c>
      <c r="BI18">
        <v>1.627E-2</v>
      </c>
      <c r="BJ18">
        <v>1.2160000000000001E-2</v>
      </c>
      <c r="BK18">
        <v>1.1990000000000001E-2</v>
      </c>
      <c r="BL18">
        <v>1.1900000000000001E-2</v>
      </c>
      <c r="BM18">
        <v>1.1520000000000001E-2</v>
      </c>
      <c r="BN18">
        <v>7.0499999999999998E-3</v>
      </c>
      <c r="BO18">
        <v>1.2670000000000001E-2</v>
      </c>
      <c r="BP18">
        <v>8.6700000000000006E-3</v>
      </c>
      <c r="BQ18">
        <v>7.5399999999999998E-3</v>
      </c>
      <c r="BR18">
        <v>9.4500000000000001E-3</v>
      </c>
      <c r="BS18">
        <v>1.3390000000000001E-2</v>
      </c>
      <c r="BT18">
        <v>1.4409999999999999E-2</v>
      </c>
      <c r="BU18">
        <v>1.231E-2</v>
      </c>
      <c r="BV18">
        <v>1.278E-2</v>
      </c>
      <c r="BW18">
        <v>1.214E-2</v>
      </c>
      <c r="BX18">
        <v>1.1679999999999999E-2</v>
      </c>
      <c r="BZ18">
        <v>1.1209999999999999E-2</v>
      </c>
      <c r="CA18">
        <v>1.222E-2</v>
      </c>
      <c r="CB18">
        <v>8.43E-3</v>
      </c>
      <c r="CC18">
        <v>9.5200000000000007E-3</v>
      </c>
      <c r="CD18">
        <v>8.3599999999999994E-3</v>
      </c>
      <c r="CE18">
        <v>7.2300000000000003E-3</v>
      </c>
      <c r="CF18">
        <v>7.1000000000000004E-3</v>
      </c>
      <c r="CG18">
        <v>6.9800000000000001E-3</v>
      </c>
      <c r="CH18">
        <v>6.96E-3</v>
      </c>
      <c r="CI18">
        <v>7.0200000000000002E-3</v>
      </c>
      <c r="CJ18">
        <v>7.2300000000000003E-3</v>
      </c>
      <c r="CK18">
        <v>8.9599999999999992E-3</v>
      </c>
      <c r="CL18">
        <v>7.4400000000000004E-3</v>
      </c>
      <c r="CM18">
        <v>7.9000000000000008E-3</v>
      </c>
      <c r="CO18">
        <v>8.0199999999999994E-3</v>
      </c>
      <c r="CP18">
        <v>9.1800000000000007E-3</v>
      </c>
      <c r="CQ18">
        <v>7.7200000000000003E-3</v>
      </c>
      <c r="CR18">
        <v>7.8200000000000006E-3</v>
      </c>
      <c r="CS18">
        <v>9.0100000000000006E-3</v>
      </c>
      <c r="CT18">
        <v>9.4900000000000002E-3</v>
      </c>
      <c r="CU18">
        <v>7.4200000000000004E-3</v>
      </c>
      <c r="CV18">
        <v>7.28E-3</v>
      </c>
      <c r="CW18">
        <v>7.8200000000000006E-3</v>
      </c>
      <c r="CX18">
        <v>8.26E-3</v>
      </c>
      <c r="CY18">
        <v>9.2899999999999996E-3</v>
      </c>
      <c r="CZ18">
        <v>7.3099999999999997E-3</v>
      </c>
      <c r="DA18">
        <v>6.7999999999999996E-3</v>
      </c>
      <c r="DB18">
        <v>6.6299999999999996E-3</v>
      </c>
      <c r="DC18">
        <v>6.5399999999999998E-3</v>
      </c>
      <c r="DD18">
        <v>6.5300000000000002E-3</v>
      </c>
      <c r="DE18">
        <v>6.7299999999999999E-3</v>
      </c>
      <c r="DF18">
        <v>1.541E-2</v>
      </c>
      <c r="DG18">
        <v>8.8400000000000006E-3</v>
      </c>
      <c r="DH18">
        <v>1.409E-2</v>
      </c>
      <c r="DI18">
        <v>1.34E-2</v>
      </c>
      <c r="DJ18">
        <v>1.278E-2</v>
      </c>
      <c r="DK18">
        <v>1.196E-2</v>
      </c>
      <c r="DL18">
        <v>1.091E-2</v>
      </c>
      <c r="DM18">
        <v>1.2109999999999999E-2</v>
      </c>
      <c r="DN18">
        <v>1.1650000000000001E-2</v>
      </c>
      <c r="DO18">
        <v>1.103E-2</v>
      </c>
      <c r="DP18">
        <v>1.01E-2</v>
      </c>
      <c r="DQ18">
        <v>9.0299999999999998E-3</v>
      </c>
      <c r="DR18">
        <v>1.405E-2</v>
      </c>
      <c r="DS18">
        <v>1.3299999999999999E-2</v>
      </c>
      <c r="DT18">
        <v>1.3010000000000001E-2</v>
      </c>
      <c r="DU18">
        <v>1.24E-2</v>
      </c>
      <c r="DV18">
        <v>1.1469999999999999E-2</v>
      </c>
      <c r="DW18">
        <v>1.461E-2</v>
      </c>
      <c r="DX18">
        <v>1.417E-2</v>
      </c>
      <c r="DY18">
        <v>1.227E-2</v>
      </c>
      <c r="DZ18">
        <v>1.251E-2</v>
      </c>
      <c r="EA18">
        <v>8.7600000000000004E-3</v>
      </c>
      <c r="EB18">
        <v>8.6300000000000005E-3</v>
      </c>
      <c r="EC18">
        <v>8.1200000000000005E-3</v>
      </c>
      <c r="ED18">
        <v>2.7640000000000001E-2</v>
      </c>
      <c r="EF18">
        <v>2.76E-2</v>
      </c>
      <c r="EH18">
        <v>2.597E-2</v>
      </c>
      <c r="EI18">
        <v>7.7000000000000002E-3</v>
      </c>
      <c r="EJ18">
        <v>7.2500000000000004E-3</v>
      </c>
      <c r="EK18">
        <v>7.4400000000000004E-3</v>
      </c>
      <c r="EL18">
        <v>8.5699999999999995E-3</v>
      </c>
      <c r="EM18">
        <v>9.3600000000000003E-3</v>
      </c>
      <c r="EN18">
        <v>9.7699999999999992E-3</v>
      </c>
      <c r="EO18">
        <v>1.013E-2</v>
      </c>
      <c r="EP18">
        <v>1.018E-2</v>
      </c>
      <c r="EQ18">
        <v>1.035E-2</v>
      </c>
      <c r="ES18">
        <v>1.383E-2</v>
      </c>
      <c r="ET18">
        <v>1.5679999999999999E-2</v>
      </c>
      <c r="EU18">
        <v>1.503E-2</v>
      </c>
      <c r="EV18">
        <v>1.3809999999999999E-2</v>
      </c>
      <c r="EW18">
        <v>1.29E-2</v>
      </c>
      <c r="EY18">
        <v>7.7499999999999999E-3</v>
      </c>
      <c r="EZ18">
        <v>7.9900000000000006E-3</v>
      </c>
      <c r="FA18">
        <v>1.137E-2</v>
      </c>
      <c r="FB18">
        <v>1.174E-2</v>
      </c>
      <c r="FC18">
        <v>1.11E-2</v>
      </c>
      <c r="FD18">
        <v>9.92E-3</v>
      </c>
      <c r="FE18">
        <v>1.157E-2</v>
      </c>
      <c r="FF18">
        <v>7.1500000000000001E-3</v>
      </c>
      <c r="FG18">
        <v>1.0030000000000001E-2</v>
      </c>
      <c r="FH18">
        <v>1.1860000000000001E-2</v>
      </c>
      <c r="FI18">
        <v>1.0370000000000001E-2</v>
      </c>
      <c r="FJ18">
        <v>9.9799999999999993E-3</v>
      </c>
      <c r="FK18">
        <v>1.0330000000000001E-2</v>
      </c>
      <c r="FL18">
        <v>8.2799999999999992E-3</v>
      </c>
      <c r="FN18">
        <v>1.29E-2</v>
      </c>
      <c r="FO18">
        <v>1.064E-2</v>
      </c>
      <c r="FP18">
        <v>9.9399999999999992E-3</v>
      </c>
      <c r="FQ18">
        <v>1.601E-2</v>
      </c>
      <c r="FR18">
        <v>1.7399999999999999E-2</v>
      </c>
      <c r="FS18">
        <v>1.7000000000000001E-2</v>
      </c>
      <c r="FT18">
        <v>1.52E-2</v>
      </c>
      <c r="FU18">
        <v>1.3299999999999999E-2</v>
      </c>
      <c r="FV18">
        <v>1.1950000000000001E-2</v>
      </c>
      <c r="FW18">
        <v>1.204E-2</v>
      </c>
      <c r="FX18">
        <v>1.259E-2</v>
      </c>
      <c r="FY18">
        <v>1.346E-2</v>
      </c>
      <c r="FZ18">
        <v>1.159E-2</v>
      </c>
      <c r="GA18">
        <v>1.2529999999999999E-2</v>
      </c>
      <c r="GB18">
        <v>1.1270000000000001E-2</v>
      </c>
      <c r="GC18">
        <v>1.218E-2</v>
      </c>
      <c r="GD18">
        <v>1.1039999999999999E-2</v>
      </c>
      <c r="GE18">
        <v>1.193E-2</v>
      </c>
      <c r="GF18">
        <v>1.0070000000000001E-2</v>
      </c>
      <c r="GG18">
        <v>1.0160000000000001E-2</v>
      </c>
      <c r="GH18">
        <v>1.025E-2</v>
      </c>
      <c r="GI18">
        <v>1.061E-2</v>
      </c>
      <c r="GJ18">
        <v>1.0880000000000001E-2</v>
      </c>
      <c r="GK18">
        <v>1.1039999999999999E-2</v>
      </c>
      <c r="GL18">
        <v>1.1599999999999999E-2</v>
      </c>
      <c r="GM18">
        <v>9.9799999999999993E-3</v>
      </c>
      <c r="GO18">
        <v>1.091E-2</v>
      </c>
      <c r="GP18">
        <v>1.1939999999999999E-2</v>
      </c>
      <c r="GQ18">
        <v>1.286E-2</v>
      </c>
      <c r="GS18">
        <v>1.1169999999999999E-2</v>
      </c>
      <c r="GT18">
        <v>1.193E-2</v>
      </c>
      <c r="GV18">
        <v>1.1350000000000001E-2</v>
      </c>
      <c r="GW18">
        <v>1.244E-2</v>
      </c>
      <c r="GX18">
        <v>1.055E-2</v>
      </c>
      <c r="GY18">
        <v>1.626E-2</v>
      </c>
      <c r="GZ18">
        <v>1.308E-2</v>
      </c>
      <c r="HC18">
        <v>1.15E-2</v>
      </c>
      <c r="HE18">
        <v>1.14E-2</v>
      </c>
      <c r="HF18">
        <v>1.0840000000000001E-2</v>
      </c>
      <c r="HG18">
        <v>9.9000000000000008E-3</v>
      </c>
      <c r="HH18">
        <v>9.8300000000000002E-3</v>
      </c>
      <c r="HI18">
        <v>1.1900000000000001E-2</v>
      </c>
      <c r="HJ18">
        <v>6.4400000000000004E-3</v>
      </c>
      <c r="HK18">
        <v>1.3950000000000001E-2</v>
      </c>
      <c r="HM18">
        <v>1.3089999999999999E-2</v>
      </c>
      <c r="HN18">
        <v>1.261E-2</v>
      </c>
      <c r="HO18">
        <v>1.3050000000000001E-2</v>
      </c>
      <c r="HP18">
        <v>7.4400000000000004E-3</v>
      </c>
      <c r="HR18">
        <v>1.6979999999999999E-2</v>
      </c>
      <c r="HS18">
        <v>1.7100000000000001E-2</v>
      </c>
      <c r="HT18">
        <v>1.2829999999999999E-2</v>
      </c>
      <c r="HU18">
        <v>7.8200000000000006E-3</v>
      </c>
      <c r="HV18">
        <v>1.014E-2</v>
      </c>
      <c r="HW18">
        <v>8.2000000000000007E-3</v>
      </c>
      <c r="HX18">
        <v>1.5990000000000001E-2</v>
      </c>
      <c r="HZ18">
        <v>8.4899999999999993E-3</v>
      </c>
      <c r="IA18">
        <v>1.1849999999999999E-2</v>
      </c>
      <c r="IB18">
        <v>1.3690000000000001E-2</v>
      </c>
      <c r="IC18">
        <v>1.03E-2</v>
      </c>
      <c r="ID18">
        <v>1.2290000000000001E-2</v>
      </c>
      <c r="IE18">
        <v>1.1010000000000001E-2</v>
      </c>
      <c r="IF18">
        <v>9.2499999999999995E-3</v>
      </c>
      <c r="IG18">
        <v>1.023E-2</v>
      </c>
      <c r="IH18">
        <v>1.1780000000000001E-2</v>
      </c>
      <c r="II18">
        <v>8.8100000000000001E-3</v>
      </c>
      <c r="IJ18">
        <v>8.6400000000000001E-3</v>
      </c>
      <c r="IK18">
        <v>9.3100000000000006E-3</v>
      </c>
      <c r="IL18">
        <v>1.0410000000000001E-2</v>
      </c>
      <c r="IM18">
        <v>1.1560000000000001E-2</v>
      </c>
      <c r="IN18">
        <v>1.2699999999999999E-2</v>
      </c>
      <c r="IO18">
        <v>1.388E-2</v>
      </c>
      <c r="IP18">
        <v>1.7930000000000001E-2</v>
      </c>
      <c r="IQ18">
        <v>2.0480000000000002E-2</v>
      </c>
      <c r="IS18">
        <v>6.1500000000000001E-3</v>
      </c>
      <c r="IT18">
        <v>1.03E-2</v>
      </c>
      <c r="IU18">
        <v>1.197E-2</v>
      </c>
      <c r="IV18">
        <v>7.2100000000000003E-3</v>
      </c>
      <c r="IW18">
        <v>8.8800000000000007E-3</v>
      </c>
      <c r="IX18">
        <v>6.3099999999999996E-3</v>
      </c>
      <c r="IY18">
        <v>6.13E-3</v>
      </c>
      <c r="IZ18">
        <v>6.13E-3</v>
      </c>
      <c r="JA18">
        <v>6.8100000000000001E-3</v>
      </c>
      <c r="JB18">
        <v>7.3600000000000002E-3</v>
      </c>
      <c r="JC18">
        <v>8.0099999999999998E-3</v>
      </c>
      <c r="JD18">
        <v>8.3099999999999997E-3</v>
      </c>
      <c r="JE18">
        <v>7.0000000000000001E-3</v>
      </c>
      <c r="JF18">
        <v>8.0800000000000004E-3</v>
      </c>
      <c r="JG18">
        <v>8.5800000000000008E-3</v>
      </c>
      <c r="JH18">
        <v>1.754E-2</v>
      </c>
      <c r="JI18">
        <v>1.308E-2</v>
      </c>
      <c r="JJ18">
        <v>1.1809999999999999E-2</v>
      </c>
      <c r="JL18">
        <v>1.239E-2</v>
      </c>
      <c r="JO18">
        <v>3.2050000000000002E-2</v>
      </c>
      <c r="JP18">
        <v>1.61E-2</v>
      </c>
      <c r="JQ18">
        <v>7.8499999999999993E-3</v>
      </c>
      <c r="JR18">
        <v>8.4700000000000001E-3</v>
      </c>
      <c r="JS18">
        <v>7.8200000000000006E-3</v>
      </c>
      <c r="JT18">
        <v>8.6800000000000002E-3</v>
      </c>
      <c r="JU18">
        <v>8.8999999999999999E-3</v>
      </c>
      <c r="JV18">
        <v>1.1469999999999999E-2</v>
      </c>
      <c r="JW18">
        <v>1.0630000000000001E-2</v>
      </c>
      <c r="JX18">
        <v>1.051E-2</v>
      </c>
      <c r="JY18">
        <v>1.106E-2</v>
      </c>
      <c r="JZ18">
        <v>1.247E-2</v>
      </c>
      <c r="KA18">
        <v>1.3180000000000001E-2</v>
      </c>
      <c r="KB18">
        <v>8.09E-3</v>
      </c>
      <c r="KC18">
        <v>8.4899999999999993E-3</v>
      </c>
      <c r="KD18">
        <v>9.1900000000000003E-3</v>
      </c>
      <c r="KE18">
        <v>9.9100000000000004E-3</v>
      </c>
      <c r="KF18">
        <v>1.158E-2</v>
      </c>
      <c r="KG18">
        <v>1.2579999999999999E-2</v>
      </c>
      <c r="KH18">
        <v>1.091E-2</v>
      </c>
      <c r="KI18">
        <v>1.3100000000000001E-2</v>
      </c>
      <c r="KJ18">
        <v>1.319E-2</v>
      </c>
      <c r="KK18">
        <v>1.319E-2</v>
      </c>
      <c r="KL18">
        <v>1.319E-2</v>
      </c>
      <c r="KM18">
        <v>1.3350000000000001E-2</v>
      </c>
      <c r="KN18">
        <v>7.79E-3</v>
      </c>
      <c r="KO18">
        <v>8.0800000000000004E-3</v>
      </c>
      <c r="KP18">
        <v>1.154E-2</v>
      </c>
      <c r="KQ18">
        <v>1.2019999999999999E-2</v>
      </c>
      <c r="KR18">
        <v>1.3939999999999999E-2</v>
      </c>
      <c r="KS18">
        <v>1.2370000000000001E-2</v>
      </c>
      <c r="KT18">
        <v>1.389E-2</v>
      </c>
      <c r="KU18">
        <v>7.43E-3</v>
      </c>
      <c r="KV18">
        <v>6.79E-3</v>
      </c>
      <c r="KW18">
        <v>7.0800000000000004E-3</v>
      </c>
      <c r="KX18">
        <v>1.61E-2</v>
      </c>
      <c r="KY18">
        <v>6.1000000000000004E-3</v>
      </c>
      <c r="KZ18">
        <v>7.4400000000000004E-3</v>
      </c>
      <c r="LA18">
        <v>1.0699999999999999E-2</v>
      </c>
      <c r="LB18">
        <v>1.008E-2</v>
      </c>
      <c r="LC18">
        <v>1.0489999999999999E-2</v>
      </c>
      <c r="LD18">
        <v>1.0489999999999999E-2</v>
      </c>
      <c r="LE18">
        <v>1.346E-2</v>
      </c>
      <c r="LG18">
        <v>1.668E-2</v>
      </c>
      <c r="LI18">
        <v>1.357E-2</v>
      </c>
      <c r="LJ18">
        <v>1.3679999999999999E-2</v>
      </c>
      <c r="LK18">
        <v>1.371E-2</v>
      </c>
      <c r="LL18">
        <v>1.3010000000000001E-2</v>
      </c>
      <c r="LM18">
        <v>8.4700000000000001E-3</v>
      </c>
      <c r="LP18">
        <v>1.1509999999999999E-2</v>
      </c>
      <c r="LR18">
        <v>1.393E-2</v>
      </c>
      <c r="LS18">
        <v>1.542E-2</v>
      </c>
      <c r="LT18">
        <v>1.1339999999999999E-2</v>
      </c>
      <c r="LV18">
        <v>2.3300000000000001E-2</v>
      </c>
      <c r="LW18">
        <v>6.4599999999999996E-3</v>
      </c>
      <c r="LX18">
        <v>6.8500000000000002E-3</v>
      </c>
      <c r="MB18">
        <v>6.2700000000000004E-3</v>
      </c>
      <c r="MC18">
        <v>1.077E-2</v>
      </c>
      <c r="MD18">
        <v>1.2880000000000001E-2</v>
      </c>
      <c r="ME18">
        <v>1.9789999999999999E-2</v>
      </c>
      <c r="MF18">
        <v>2.2929999999999999E-2</v>
      </c>
      <c r="MH18">
        <v>1.537E-2</v>
      </c>
      <c r="MK18">
        <v>1.805E-2</v>
      </c>
      <c r="MM18">
        <v>1.521E-2</v>
      </c>
      <c r="MN18">
        <v>7.5399999999999998E-3</v>
      </c>
      <c r="MO18">
        <v>8.5500000000000003E-3</v>
      </c>
      <c r="MP18">
        <v>8.7799999999999996E-3</v>
      </c>
      <c r="MQ18">
        <v>7.4000000000000003E-3</v>
      </c>
      <c r="MR18">
        <v>9.0299999999999998E-3</v>
      </c>
      <c r="MS18">
        <v>1.106E-2</v>
      </c>
      <c r="MT18">
        <v>1.1299999999999999E-2</v>
      </c>
      <c r="MU18">
        <v>7.0699999999999999E-3</v>
      </c>
      <c r="MV18">
        <v>8.3000000000000001E-3</v>
      </c>
      <c r="MW18">
        <v>8.9200000000000008E-3</v>
      </c>
      <c r="MX18">
        <v>9.2499999999999995E-3</v>
      </c>
      <c r="MY18">
        <v>1.0200000000000001E-2</v>
      </c>
      <c r="MZ18">
        <v>1.1140000000000001E-2</v>
      </c>
      <c r="NA18">
        <v>1.0019999999999999E-2</v>
      </c>
      <c r="NB18">
        <v>1.0500000000000001E-2</v>
      </c>
      <c r="ND18">
        <v>1.1140000000000001E-2</v>
      </c>
      <c r="NE18">
        <v>1.323E-2</v>
      </c>
      <c r="NF18">
        <v>1.2330000000000001E-2</v>
      </c>
      <c r="NG18">
        <v>7.26E-3</v>
      </c>
      <c r="NH18">
        <v>5.7200000000000003E-3</v>
      </c>
      <c r="NI18">
        <v>6.3200000000000001E-3</v>
      </c>
      <c r="NJ18">
        <v>7.2700000000000004E-3</v>
      </c>
      <c r="NK18">
        <v>6.2500000000000003E-3</v>
      </c>
      <c r="NL18">
        <v>6.79E-3</v>
      </c>
      <c r="NM18">
        <v>7.3200000000000001E-3</v>
      </c>
      <c r="NN18">
        <v>7.7499999999999999E-3</v>
      </c>
      <c r="NO18">
        <v>8.1499999999999993E-3</v>
      </c>
      <c r="NP18">
        <v>6.2500000000000003E-3</v>
      </c>
      <c r="NQ18">
        <v>6.8100000000000001E-3</v>
      </c>
      <c r="NR18">
        <v>6.8799999999999998E-3</v>
      </c>
      <c r="NS18">
        <v>7.4099999999999999E-3</v>
      </c>
      <c r="NT18">
        <v>8.2199999999999999E-3</v>
      </c>
      <c r="NU18">
        <v>6.3899999999999998E-3</v>
      </c>
      <c r="NV18">
        <v>6.96E-3</v>
      </c>
      <c r="NW18">
        <v>6.94E-3</v>
      </c>
      <c r="NX18">
        <v>7.3400000000000002E-3</v>
      </c>
      <c r="NY18">
        <v>7.4799999999999997E-3</v>
      </c>
      <c r="NZ18">
        <v>7.9699999999999997E-3</v>
      </c>
      <c r="OA18">
        <v>8.3199999999999993E-3</v>
      </c>
      <c r="OB18">
        <v>6.4700000000000001E-3</v>
      </c>
      <c r="OC18">
        <v>7.0299999999999998E-3</v>
      </c>
      <c r="OD18">
        <v>7.2399999999999999E-3</v>
      </c>
      <c r="OE18">
        <v>7.2399999999999999E-3</v>
      </c>
      <c r="OF18">
        <v>1.1809999999999999E-2</v>
      </c>
      <c r="OG18">
        <v>7.6400000000000001E-3</v>
      </c>
      <c r="OH18">
        <v>7.77E-3</v>
      </c>
      <c r="OI18">
        <v>8.4600000000000005E-3</v>
      </c>
      <c r="OJ18">
        <v>8.8199999999999997E-3</v>
      </c>
      <c r="OK18">
        <v>9.11E-3</v>
      </c>
      <c r="OL18">
        <v>9.4900000000000002E-3</v>
      </c>
      <c r="OM18">
        <v>6.6E-3</v>
      </c>
      <c r="ON18">
        <v>7.1799999999999998E-3</v>
      </c>
      <c r="OO18">
        <v>7.6899999999999998E-3</v>
      </c>
      <c r="OP18">
        <v>8.4899999999999993E-3</v>
      </c>
      <c r="OQ18">
        <v>8.8800000000000007E-3</v>
      </c>
      <c r="OR18">
        <v>9.1800000000000007E-3</v>
      </c>
      <c r="OS18">
        <v>1.0630000000000001E-2</v>
      </c>
      <c r="OT18">
        <v>7.0200000000000002E-3</v>
      </c>
      <c r="OU18">
        <v>7.3099999999999997E-3</v>
      </c>
      <c r="OV18">
        <v>5.5700000000000003E-3</v>
      </c>
      <c r="OW18">
        <v>5.0800000000000003E-3</v>
      </c>
      <c r="OX18">
        <v>4.9300000000000004E-3</v>
      </c>
      <c r="OY18">
        <v>4.96E-3</v>
      </c>
      <c r="OZ18">
        <v>5.5799999999999999E-3</v>
      </c>
      <c r="PA18">
        <v>1.336E-2</v>
      </c>
      <c r="PB18">
        <v>1.4760000000000001E-2</v>
      </c>
      <c r="PC18">
        <v>1.065E-2</v>
      </c>
      <c r="PD18">
        <v>9.0399999999999994E-3</v>
      </c>
      <c r="PE18">
        <v>8.2400000000000008E-3</v>
      </c>
      <c r="PF18">
        <v>7.8799999999999999E-3</v>
      </c>
      <c r="PG18">
        <v>8.26E-3</v>
      </c>
      <c r="PH18">
        <v>7.7799999999999996E-3</v>
      </c>
      <c r="PI18">
        <v>1.017E-2</v>
      </c>
      <c r="PJ18">
        <v>9.4500000000000001E-3</v>
      </c>
      <c r="PK18">
        <v>8.2400000000000008E-3</v>
      </c>
      <c r="PL18">
        <v>7.0499999999999998E-3</v>
      </c>
      <c r="PM18">
        <v>6.7799999999999996E-3</v>
      </c>
      <c r="PN18">
        <v>7.8100000000000001E-3</v>
      </c>
      <c r="PO18">
        <v>8.8699999999999994E-3</v>
      </c>
      <c r="PP18">
        <v>9.2399999999999999E-3</v>
      </c>
      <c r="PQ18">
        <v>8.5400000000000007E-3</v>
      </c>
      <c r="PR18">
        <v>7.3299999999999997E-3</v>
      </c>
      <c r="PS18">
        <v>9.6699999999999998E-3</v>
      </c>
      <c r="PT18">
        <v>9.2599999999999991E-3</v>
      </c>
      <c r="PU18">
        <v>6.3299999999999997E-3</v>
      </c>
      <c r="PV18">
        <v>8.4600000000000005E-3</v>
      </c>
      <c r="PX18">
        <v>1.2109999999999999E-2</v>
      </c>
      <c r="PY18">
        <v>1.423E-2</v>
      </c>
      <c r="QA18">
        <v>6.0000000000000001E-3</v>
      </c>
      <c r="QB18">
        <v>6.1599999999999997E-3</v>
      </c>
      <c r="QC18">
        <v>7.2899999999999996E-3</v>
      </c>
      <c r="QD18">
        <v>6.5399999999999998E-3</v>
      </c>
      <c r="QE18">
        <v>6.4200000000000004E-3</v>
      </c>
      <c r="QF18">
        <v>6.7099999999999998E-3</v>
      </c>
      <c r="QG18">
        <v>6.77E-3</v>
      </c>
      <c r="QH18">
        <v>6.5900000000000004E-3</v>
      </c>
      <c r="QI18">
        <v>6.8700000000000002E-3</v>
      </c>
      <c r="QJ18">
        <v>7.1500000000000001E-3</v>
      </c>
      <c r="QK18">
        <v>6.5500000000000003E-3</v>
      </c>
      <c r="QL18">
        <v>6.2700000000000004E-3</v>
      </c>
      <c r="QM18">
        <v>7.2199999999999999E-3</v>
      </c>
      <c r="QN18">
        <v>9.9500000000000005E-3</v>
      </c>
      <c r="QO18">
        <v>9.0900000000000009E-3</v>
      </c>
      <c r="QP18">
        <v>8.9800000000000001E-3</v>
      </c>
      <c r="QQ18">
        <v>8.94E-3</v>
      </c>
      <c r="QR18">
        <v>1.052E-2</v>
      </c>
      <c r="QS18">
        <v>1.0749999999999999E-2</v>
      </c>
      <c r="QT18">
        <v>8.9099999999999995E-3</v>
      </c>
      <c r="QU18">
        <v>9.1699999999999993E-3</v>
      </c>
      <c r="QV18">
        <v>9.41E-3</v>
      </c>
      <c r="QW18">
        <v>8.5400000000000007E-3</v>
      </c>
      <c r="QX18">
        <v>9.0299999999999998E-3</v>
      </c>
      <c r="QY18">
        <v>8.2199999999999999E-3</v>
      </c>
      <c r="QZ18">
        <v>8.6300000000000005E-3</v>
      </c>
      <c r="RA18">
        <v>1.1140000000000001E-2</v>
      </c>
      <c r="RB18">
        <v>1.3769999999999999E-2</v>
      </c>
      <c r="RC18">
        <v>1.1820000000000001E-2</v>
      </c>
      <c r="RD18">
        <v>2.2970000000000001E-2</v>
      </c>
      <c r="RE18">
        <v>2.4219999999999998E-2</v>
      </c>
      <c r="RF18">
        <v>1.2670000000000001E-2</v>
      </c>
      <c r="RG18">
        <v>8.2799999999999992E-3</v>
      </c>
      <c r="RH18">
        <v>7.4000000000000003E-3</v>
      </c>
      <c r="RI18">
        <v>1.325E-2</v>
      </c>
      <c r="RJ18">
        <v>1.477E-2</v>
      </c>
      <c r="RK18">
        <v>1.38E-2</v>
      </c>
      <c r="RL18">
        <v>1.2189999999999999E-2</v>
      </c>
      <c r="RM18">
        <v>6.7200000000000003E-3</v>
      </c>
      <c r="RN18">
        <v>6.6400000000000001E-3</v>
      </c>
      <c r="RO18">
        <v>6.6400000000000001E-3</v>
      </c>
      <c r="RP18">
        <v>6.4000000000000003E-3</v>
      </c>
      <c r="RQ18">
        <v>6.8399999999999997E-3</v>
      </c>
      <c r="RR18">
        <v>6.5399999999999998E-3</v>
      </c>
      <c r="RS18">
        <v>6.6899999999999998E-3</v>
      </c>
      <c r="RT18">
        <v>6.13E-3</v>
      </c>
      <c r="RU18">
        <v>6.43E-3</v>
      </c>
      <c r="RV18">
        <v>7.2300000000000003E-3</v>
      </c>
      <c r="RW18">
        <v>8.1099999999999992E-3</v>
      </c>
      <c r="RX18">
        <v>7.3699999999999998E-3</v>
      </c>
      <c r="RY18">
        <v>6.0800000000000003E-3</v>
      </c>
      <c r="RZ18">
        <v>1.021E-2</v>
      </c>
      <c r="SA18">
        <v>2.0420000000000001E-2</v>
      </c>
      <c r="SB18">
        <v>1.806E-2</v>
      </c>
      <c r="SC18">
        <v>9.6900000000000007E-3</v>
      </c>
      <c r="SD18">
        <v>9.5399999999999999E-3</v>
      </c>
      <c r="SE18">
        <v>8.5699999999999995E-3</v>
      </c>
      <c r="SF18">
        <v>9.1000000000000004E-3</v>
      </c>
      <c r="SG18">
        <v>1.213E-2</v>
      </c>
      <c r="SH18">
        <v>1.491E-2</v>
      </c>
      <c r="SI18">
        <v>8.8599999999999998E-3</v>
      </c>
      <c r="SJ18">
        <v>7.1300000000000001E-3</v>
      </c>
      <c r="SK18">
        <v>6.7000000000000002E-3</v>
      </c>
      <c r="SL18">
        <v>6.5799999999999999E-3</v>
      </c>
      <c r="SM18">
        <v>6.7600000000000004E-3</v>
      </c>
      <c r="SN18">
        <v>6.11E-3</v>
      </c>
      <c r="SO18">
        <v>6.1399999999999996E-3</v>
      </c>
      <c r="SP18">
        <v>7.0099999999999997E-3</v>
      </c>
      <c r="SQ18">
        <v>7.5599999999999999E-3</v>
      </c>
      <c r="SR18">
        <v>6.8599999999999998E-3</v>
      </c>
      <c r="SS18">
        <v>6.6299999999999996E-3</v>
      </c>
      <c r="ST18">
        <v>6.5900000000000004E-3</v>
      </c>
      <c r="SU18">
        <v>6.9199999999999999E-3</v>
      </c>
      <c r="SV18">
        <v>6.9699999999999996E-3</v>
      </c>
      <c r="SW18">
        <v>6.8900000000000003E-3</v>
      </c>
      <c r="SX18">
        <v>8.3700000000000007E-3</v>
      </c>
      <c r="SY18">
        <v>6.6699999999999997E-3</v>
      </c>
      <c r="SZ18">
        <v>7.0400000000000003E-3</v>
      </c>
      <c r="TA18">
        <v>7.4900000000000001E-3</v>
      </c>
      <c r="TB18">
        <v>7.0000000000000001E-3</v>
      </c>
      <c r="TC18">
        <v>6.2599999999999999E-3</v>
      </c>
      <c r="TD18">
        <v>9.1999999999999998E-3</v>
      </c>
      <c r="TE18">
        <v>7.9600000000000001E-3</v>
      </c>
      <c r="TF18">
        <v>8.6499999999999997E-3</v>
      </c>
      <c r="TG18">
        <v>7.43E-3</v>
      </c>
      <c r="TH18">
        <v>9.1199999999999996E-3</v>
      </c>
      <c r="TI18">
        <v>7.2700000000000004E-3</v>
      </c>
      <c r="TJ18">
        <v>7.0200000000000002E-3</v>
      </c>
      <c r="TK18">
        <v>6.4900000000000001E-3</v>
      </c>
      <c r="TL18">
        <v>6.0299999999999998E-3</v>
      </c>
      <c r="TM18">
        <v>5.5900000000000004E-3</v>
      </c>
      <c r="TN18">
        <v>6.5300000000000002E-3</v>
      </c>
      <c r="TO18">
        <v>7.1199999999999996E-3</v>
      </c>
      <c r="TP18">
        <v>6.8999999999999999E-3</v>
      </c>
      <c r="TQ18">
        <v>5.9100000000000003E-3</v>
      </c>
      <c r="TR18">
        <v>7.9799999999999992E-3</v>
      </c>
      <c r="TS18">
        <v>9.4699999999999993E-3</v>
      </c>
      <c r="TT18">
        <v>9.1999999999999998E-3</v>
      </c>
      <c r="TU18">
        <v>8.0599999999999995E-3</v>
      </c>
      <c r="TV18">
        <v>8.2900000000000005E-3</v>
      </c>
      <c r="TW18">
        <v>6.3099999999999996E-3</v>
      </c>
      <c r="TX18">
        <v>6.1799999999999997E-3</v>
      </c>
      <c r="TY18">
        <v>5.6800000000000002E-3</v>
      </c>
      <c r="TZ18">
        <v>5.94E-3</v>
      </c>
      <c r="UA18">
        <v>5.4799999999999996E-3</v>
      </c>
      <c r="UB18">
        <v>6.45E-3</v>
      </c>
      <c r="UC18">
        <v>6.1599999999999997E-3</v>
      </c>
      <c r="UD18">
        <v>6.1700000000000001E-3</v>
      </c>
      <c r="UE18">
        <v>6.2700000000000004E-3</v>
      </c>
      <c r="UF18">
        <v>7.2300000000000003E-3</v>
      </c>
      <c r="UG18">
        <v>6.8100000000000001E-3</v>
      </c>
      <c r="UH18">
        <v>6.5399999999999998E-3</v>
      </c>
      <c r="UI18">
        <v>7.2700000000000004E-3</v>
      </c>
      <c r="UJ18">
        <v>6.9199999999999999E-3</v>
      </c>
      <c r="UK18">
        <v>6.0299999999999998E-3</v>
      </c>
      <c r="UL18">
        <v>6.5700000000000003E-3</v>
      </c>
      <c r="UM18">
        <v>7.1000000000000004E-3</v>
      </c>
      <c r="UN18">
        <v>6.1900000000000002E-3</v>
      </c>
      <c r="UO18">
        <v>6.5399999999999998E-3</v>
      </c>
      <c r="UP18">
        <v>8.8299999999999993E-3</v>
      </c>
      <c r="UQ18">
        <v>6.1599999999999997E-3</v>
      </c>
      <c r="UR18">
        <v>6.45E-3</v>
      </c>
      <c r="US18">
        <v>6.5399999999999998E-3</v>
      </c>
      <c r="UT18">
        <v>6.2300000000000003E-3</v>
      </c>
      <c r="UU18">
        <v>6.2899999999999996E-3</v>
      </c>
      <c r="UV18">
        <v>6.4900000000000001E-3</v>
      </c>
      <c r="UW18">
        <v>9.7999999999999997E-3</v>
      </c>
      <c r="UX18">
        <v>7.4400000000000004E-3</v>
      </c>
      <c r="UY18">
        <v>7.4900000000000001E-3</v>
      </c>
      <c r="VA18">
        <v>1.038E-2</v>
      </c>
      <c r="VB18">
        <v>8.1300000000000001E-3</v>
      </c>
      <c r="VC18">
        <v>1.017E-2</v>
      </c>
      <c r="VD18">
        <v>2.112E-2</v>
      </c>
      <c r="VF18">
        <v>2.4910000000000002E-2</v>
      </c>
      <c r="VH18">
        <v>1.1820000000000001E-2</v>
      </c>
    </row>
    <row r="19" spans="1:581" x14ac:dyDescent="0.25">
      <c r="A19">
        <v>400000</v>
      </c>
      <c r="B19">
        <v>5.2900000000000004E-3</v>
      </c>
      <c r="C19">
        <v>5.1900000000000002E-3</v>
      </c>
      <c r="D19">
        <v>5.1399999999999996E-3</v>
      </c>
      <c r="E19">
        <v>5.0099999999999997E-3</v>
      </c>
      <c r="F19">
        <v>5.0699999999999999E-3</v>
      </c>
      <c r="G19">
        <v>5.3299999999999997E-3</v>
      </c>
      <c r="H19">
        <v>5.0299999999999997E-3</v>
      </c>
      <c r="I19">
        <v>5.0000000000000001E-3</v>
      </c>
      <c r="J19">
        <v>4.9800000000000001E-3</v>
      </c>
      <c r="K19">
        <v>5.2599999999999999E-3</v>
      </c>
      <c r="L19">
        <v>5.1599999999999997E-3</v>
      </c>
      <c r="M19">
        <v>5.0899999999999999E-3</v>
      </c>
      <c r="N19">
        <v>5.0400000000000002E-3</v>
      </c>
      <c r="O19">
        <v>7.0899999999999999E-3</v>
      </c>
      <c r="P19">
        <v>6.8199999999999997E-3</v>
      </c>
      <c r="Q19">
        <v>6.6299999999999996E-3</v>
      </c>
      <c r="R19">
        <v>6.0400000000000002E-3</v>
      </c>
      <c r="S19">
        <v>5.9699999999999996E-3</v>
      </c>
      <c r="T19">
        <v>5.8300000000000001E-3</v>
      </c>
      <c r="U19">
        <v>6.1500000000000001E-3</v>
      </c>
      <c r="V19">
        <v>5.9699999999999996E-3</v>
      </c>
      <c r="W19">
        <v>5.3299999999999997E-3</v>
      </c>
      <c r="X19">
        <v>5.5599999999999998E-3</v>
      </c>
      <c r="Y19">
        <v>4.7299999999999998E-3</v>
      </c>
      <c r="Z19">
        <v>4.81E-3</v>
      </c>
      <c r="AA19">
        <v>1.277E-2</v>
      </c>
      <c r="AB19">
        <v>8.43E-3</v>
      </c>
      <c r="AC19">
        <v>9.9500000000000005E-3</v>
      </c>
      <c r="AD19">
        <v>7.7200000000000003E-3</v>
      </c>
      <c r="AE19">
        <v>8.9200000000000008E-3</v>
      </c>
      <c r="AG19">
        <v>1.235E-2</v>
      </c>
      <c r="AH19">
        <v>1.2319999999999999E-2</v>
      </c>
      <c r="AJ19">
        <v>9.8099999999999993E-3</v>
      </c>
      <c r="AK19">
        <v>9.9600000000000001E-3</v>
      </c>
      <c r="AL19">
        <v>1.044E-2</v>
      </c>
      <c r="AN19">
        <v>1.345E-2</v>
      </c>
      <c r="AO19">
        <v>2.1129999999999999E-2</v>
      </c>
      <c r="AP19">
        <v>1.2019999999999999E-2</v>
      </c>
      <c r="AQ19">
        <v>1.8839999999999999E-2</v>
      </c>
      <c r="AR19">
        <v>1.2659999999999999E-2</v>
      </c>
      <c r="AS19">
        <v>1.372E-2</v>
      </c>
      <c r="AT19">
        <v>1.1339999999999999E-2</v>
      </c>
      <c r="AU19">
        <v>1.208E-2</v>
      </c>
      <c r="AV19">
        <v>1.755E-2</v>
      </c>
      <c r="AX19">
        <v>1.225E-2</v>
      </c>
      <c r="AY19">
        <v>1.4330000000000001E-2</v>
      </c>
      <c r="AZ19">
        <v>1.2019999999999999E-2</v>
      </c>
      <c r="BB19">
        <v>9.9000000000000008E-3</v>
      </c>
      <c r="BC19">
        <v>1.0999999999999999E-2</v>
      </c>
      <c r="BD19">
        <v>1.1730000000000001E-2</v>
      </c>
      <c r="BE19">
        <v>1.468E-2</v>
      </c>
      <c r="BF19">
        <v>1.486E-2</v>
      </c>
      <c r="BG19">
        <v>1.115E-2</v>
      </c>
      <c r="BH19">
        <v>1.289E-2</v>
      </c>
      <c r="BI19">
        <v>1.5709999999999998E-2</v>
      </c>
      <c r="BJ19">
        <v>1.163E-2</v>
      </c>
      <c r="BK19">
        <v>1.1520000000000001E-2</v>
      </c>
      <c r="BL19">
        <v>1.1480000000000001E-2</v>
      </c>
      <c r="BM19">
        <v>1.1050000000000001E-2</v>
      </c>
      <c r="BN19">
        <v>6.8100000000000001E-3</v>
      </c>
      <c r="BO19">
        <v>1.225E-2</v>
      </c>
      <c r="BP19">
        <v>8.4700000000000001E-3</v>
      </c>
      <c r="BQ19">
        <v>7.3600000000000002E-3</v>
      </c>
      <c r="BR19">
        <v>9.1999999999999998E-3</v>
      </c>
      <c r="BT19">
        <v>1.3729999999999999E-2</v>
      </c>
      <c r="BU19">
        <v>1.206E-2</v>
      </c>
      <c r="BV19">
        <v>1.243E-2</v>
      </c>
      <c r="BW19">
        <v>1.188E-2</v>
      </c>
      <c r="BX19">
        <v>1.1469999999999999E-2</v>
      </c>
      <c r="BY19">
        <v>1.208E-2</v>
      </c>
      <c r="BZ19">
        <v>1.095E-2</v>
      </c>
      <c r="CA19">
        <v>1.187E-2</v>
      </c>
      <c r="CB19">
        <v>8.2500000000000004E-3</v>
      </c>
      <c r="CC19">
        <v>9.3100000000000006E-3</v>
      </c>
      <c r="CD19">
        <v>8.1700000000000002E-3</v>
      </c>
      <c r="CE19">
        <v>7.0299999999999998E-3</v>
      </c>
      <c r="CF19">
        <v>6.8900000000000003E-3</v>
      </c>
      <c r="CG19">
        <v>6.7799999999999996E-3</v>
      </c>
      <c r="CH19">
        <v>6.7499999999999999E-3</v>
      </c>
      <c r="CI19">
        <v>6.8399999999999997E-3</v>
      </c>
      <c r="CJ19">
        <v>7.0299999999999998E-3</v>
      </c>
      <c r="CK19">
        <v>8.7299999999999999E-3</v>
      </c>
      <c r="CL19">
        <v>7.2399999999999999E-3</v>
      </c>
      <c r="CM19">
        <v>7.6800000000000002E-3</v>
      </c>
      <c r="CN19">
        <v>8.6899999999999998E-3</v>
      </c>
      <c r="CO19">
        <v>7.8600000000000007E-3</v>
      </c>
      <c r="CP19">
        <v>8.9599999999999992E-3</v>
      </c>
      <c r="CQ19">
        <v>7.5599999999999999E-3</v>
      </c>
      <c r="CR19">
        <v>7.6099999999999996E-3</v>
      </c>
      <c r="CS19">
        <v>8.8400000000000006E-3</v>
      </c>
      <c r="CT19">
        <v>9.2999999999999992E-3</v>
      </c>
      <c r="CU19">
        <v>7.2399999999999999E-3</v>
      </c>
      <c r="CV19">
        <v>7.0400000000000003E-3</v>
      </c>
      <c r="CW19">
        <v>7.6299999999999996E-3</v>
      </c>
      <c r="CX19">
        <v>7.9799999999999992E-3</v>
      </c>
      <c r="CY19">
        <v>9.0200000000000002E-3</v>
      </c>
      <c r="CZ19">
        <v>7.1799999999999998E-3</v>
      </c>
      <c r="DA19">
        <v>6.6100000000000004E-3</v>
      </c>
      <c r="DB19">
        <v>6.4599999999999996E-3</v>
      </c>
      <c r="DC19">
        <v>6.3600000000000002E-3</v>
      </c>
      <c r="DD19">
        <v>6.3299999999999997E-3</v>
      </c>
      <c r="DE19">
        <v>6.4799999999999996E-3</v>
      </c>
      <c r="DF19">
        <v>1.473E-2</v>
      </c>
      <c r="DG19">
        <v>8.4700000000000001E-3</v>
      </c>
      <c r="DH19">
        <v>1.3509999999999999E-2</v>
      </c>
      <c r="DI19">
        <v>1.286E-2</v>
      </c>
      <c r="DJ19">
        <v>1.2189999999999999E-2</v>
      </c>
      <c r="DK19">
        <v>1.12E-2</v>
      </c>
      <c r="DL19">
        <v>1.047E-2</v>
      </c>
      <c r="DM19">
        <v>1.184E-2</v>
      </c>
      <c r="DN19">
        <v>1.157E-2</v>
      </c>
      <c r="DO19">
        <v>1.0919999999999999E-2</v>
      </c>
      <c r="DQ19">
        <v>8.7399999999999995E-3</v>
      </c>
      <c r="DR19">
        <v>1.383E-2</v>
      </c>
      <c r="DS19">
        <v>1.3050000000000001E-2</v>
      </c>
      <c r="DT19">
        <v>1.2789999999999999E-2</v>
      </c>
      <c r="DU19">
        <v>1.192E-2</v>
      </c>
      <c r="DW19">
        <v>1.431E-2</v>
      </c>
      <c r="DX19">
        <v>1.397E-2</v>
      </c>
      <c r="DY19">
        <v>1.2239999999999999E-2</v>
      </c>
      <c r="DZ19">
        <v>1.106E-2</v>
      </c>
      <c r="EA19">
        <v>8.43E-3</v>
      </c>
      <c r="EB19">
        <v>8.3300000000000006E-3</v>
      </c>
      <c r="EC19">
        <v>7.8300000000000002E-3</v>
      </c>
      <c r="ED19">
        <v>2.8070000000000001E-2</v>
      </c>
      <c r="EF19">
        <v>2.7179999999999999E-2</v>
      </c>
      <c r="EH19">
        <v>2.5700000000000001E-2</v>
      </c>
      <c r="EI19">
        <v>7.4999999999999997E-3</v>
      </c>
      <c r="EJ19">
        <v>7.0800000000000004E-3</v>
      </c>
      <c r="EK19">
        <v>7.26E-3</v>
      </c>
      <c r="EL19">
        <v>8.3800000000000003E-3</v>
      </c>
      <c r="EM19">
        <v>9.11E-3</v>
      </c>
      <c r="EN19">
        <v>9.4699999999999993E-3</v>
      </c>
      <c r="EO19">
        <v>9.7999999999999997E-3</v>
      </c>
      <c r="EP19">
        <v>9.8799999999999999E-3</v>
      </c>
      <c r="EQ19">
        <v>1.0070000000000001E-2</v>
      </c>
      <c r="ER19">
        <v>1.4659999999999999E-2</v>
      </c>
      <c r="ES19">
        <v>1.2829999999999999E-2</v>
      </c>
      <c r="ET19">
        <v>1.4800000000000001E-2</v>
      </c>
      <c r="EU19">
        <v>1.4579999999999999E-2</v>
      </c>
      <c r="EV19">
        <v>1.346E-2</v>
      </c>
      <c r="EW19">
        <v>1.2500000000000001E-2</v>
      </c>
      <c r="EY19">
        <v>7.6299999999999996E-3</v>
      </c>
      <c r="EZ19">
        <v>7.8899999999999994E-3</v>
      </c>
      <c r="FA19">
        <v>1.0880000000000001E-2</v>
      </c>
      <c r="FB19">
        <v>1.1270000000000001E-2</v>
      </c>
      <c r="FC19">
        <v>1.0580000000000001E-2</v>
      </c>
      <c r="FD19">
        <v>9.5399999999999999E-3</v>
      </c>
      <c r="FE19">
        <v>1.112E-2</v>
      </c>
      <c r="FF19">
        <v>6.7099999999999998E-3</v>
      </c>
      <c r="FG19">
        <v>9.9500000000000005E-3</v>
      </c>
      <c r="FH19">
        <v>1.159E-2</v>
      </c>
      <c r="FI19">
        <v>1.0240000000000001E-2</v>
      </c>
      <c r="FJ19">
        <v>9.8799999999999999E-3</v>
      </c>
      <c r="FK19">
        <v>1.0120000000000001E-2</v>
      </c>
      <c r="FL19">
        <v>7.9600000000000001E-3</v>
      </c>
      <c r="FN19">
        <v>1.23E-2</v>
      </c>
      <c r="FO19">
        <v>1.023E-2</v>
      </c>
      <c r="FP19">
        <v>9.5399999999999999E-3</v>
      </c>
      <c r="FQ19">
        <v>1.498E-2</v>
      </c>
      <c r="FS19">
        <v>1.66E-2</v>
      </c>
      <c r="FT19">
        <v>1.422E-2</v>
      </c>
      <c r="FU19">
        <v>1.2760000000000001E-2</v>
      </c>
      <c r="FV19">
        <v>1.146E-2</v>
      </c>
      <c r="FW19">
        <v>1.1610000000000001E-2</v>
      </c>
      <c r="FX19">
        <v>1.2030000000000001E-2</v>
      </c>
      <c r="FY19">
        <v>1.282E-2</v>
      </c>
      <c r="FZ19">
        <v>1.125E-2</v>
      </c>
      <c r="GA19">
        <v>1.208E-2</v>
      </c>
      <c r="GB19">
        <v>1.09E-2</v>
      </c>
      <c r="GC19">
        <v>1.1769999999999999E-2</v>
      </c>
      <c r="GD19">
        <v>1.072E-2</v>
      </c>
      <c r="GE19">
        <v>1.155E-2</v>
      </c>
      <c r="GF19">
        <v>9.8099999999999993E-3</v>
      </c>
      <c r="GG19">
        <v>9.8700000000000003E-3</v>
      </c>
      <c r="GH19">
        <v>9.9799999999999993E-3</v>
      </c>
      <c r="GI19">
        <v>1.039E-2</v>
      </c>
      <c r="GJ19">
        <v>1.0580000000000001E-2</v>
      </c>
      <c r="GK19">
        <v>1.081E-2</v>
      </c>
      <c r="GM19">
        <v>9.75E-3</v>
      </c>
      <c r="GO19">
        <v>1.0580000000000001E-2</v>
      </c>
      <c r="GP19">
        <v>1.154E-2</v>
      </c>
      <c r="GQ19">
        <v>1.234E-2</v>
      </c>
      <c r="GR19">
        <v>1.391E-2</v>
      </c>
      <c r="GS19">
        <v>1.0749999999999999E-2</v>
      </c>
      <c r="GT19">
        <v>1.141E-2</v>
      </c>
      <c r="GV19">
        <v>1.11E-2</v>
      </c>
      <c r="GW19">
        <v>1.208E-2</v>
      </c>
      <c r="GY19">
        <v>1.5630000000000002E-2</v>
      </c>
      <c r="GZ19">
        <v>1.242E-2</v>
      </c>
      <c r="HC19">
        <v>1.089E-2</v>
      </c>
      <c r="HE19">
        <v>1.1169999999999999E-2</v>
      </c>
      <c r="HF19">
        <v>1.048E-2</v>
      </c>
      <c r="HG19">
        <v>9.2499999999999995E-3</v>
      </c>
      <c r="HH19">
        <v>9.3299999999999998E-3</v>
      </c>
      <c r="HI19">
        <v>1.1679999999999999E-2</v>
      </c>
      <c r="HJ19">
        <v>6.1500000000000001E-3</v>
      </c>
      <c r="HK19">
        <v>1.3350000000000001E-2</v>
      </c>
      <c r="HM19">
        <v>1.244E-2</v>
      </c>
      <c r="HN19">
        <v>1.2109999999999999E-2</v>
      </c>
      <c r="HO19">
        <v>1.24E-2</v>
      </c>
      <c r="HP19">
        <v>7.1700000000000002E-3</v>
      </c>
      <c r="HR19">
        <v>1.6289999999999999E-2</v>
      </c>
      <c r="HS19">
        <v>1.653E-2</v>
      </c>
      <c r="HT19">
        <v>1.2160000000000001E-2</v>
      </c>
      <c r="HU19">
        <v>7.5599999999999999E-3</v>
      </c>
      <c r="HV19">
        <v>9.8899999999999995E-3</v>
      </c>
      <c r="HW19">
        <v>7.92E-3</v>
      </c>
      <c r="HX19">
        <v>1.538E-2</v>
      </c>
      <c r="HZ19">
        <v>8.0199999999999994E-3</v>
      </c>
      <c r="IA19">
        <v>1.15E-2</v>
      </c>
      <c r="IB19">
        <v>1.3259999999999999E-2</v>
      </c>
      <c r="IC19">
        <v>1.005E-2</v>
      </c>
      <c r="ID19">
        <v>1.141E-2</v>
      </c>
      <c r="IF19">
        <v>8.8599999999999998E-3</v>
      </c>
      <c r="IG19">
        <v>9.8300000000000002E-3</v>
      </c>
      <c r="IH19">
        <v>1.1270000000000001E-2</v>
      </c>
      <c r="II19">
        <v>8.2799999999999992E-3</v>
      </c>
      <c r="IJ19">
        <v>8.43E-3</v>
      </c>
      <c r="IK19">
        <v>9.11E-3</v>
      </c>
      <c r="IL19">
        <v>1.0160000000000001E-2</v>
      </c>
      <c r="IM19">
        <v>1.129E-2</v>
      </c>
      <c r="IN19">
        <v>1.2409999999999999E-2</v>
      </c>
      <c r="IO19">
        <v>1.3520000000000001E-2</v>
      </c>
      <c r="IP19">
        <v>1.771E-2</v>
      </c>
      <c r="IQ19">
        <v>1.9550000000000001E-2</v>
      </c>
      <c r="IR19">
        <v>2.232E-2</v>
      </c>
      <c r="IS19">
        <v>6.11E-3</v>
      </c>
      <c r="IT19">
        <v>9.7400000000000004E-3</v>
      </c>
      <c r="IV19">
        <v>7.0000000000000001E-3</v>
      </c>
      <c r="IW19">
        <v>8.5299999999999994E-3</v>
      </c>
      <c r="IX19">
        <v>6.0699999999999999E-3</v>
      </c>
      <c r="IY19">
        <v>5.94E-3</v>
      </c>
      <c r="IZ19">
        <v>5.9899999999999997E-3</v>
      </c>
      <c r="JB19">
        <v>7.0699999999999999E-3</v>
      </c>
      <c r="JC19">
        <v>7.7299999999999999E-3</v>
      </c>
      <c r="JD19">
        <v>8.0499999999999999E-3</v>
      </c>
      <c r="JE19">
        <v>6.8500000000000002E-3</v>
      </c>
      <c r="JF19">
        <v>7.8300000000000002E-3</v>
      </c>
      <c r="JG19">
        <v>8.3099999999999997E-3</v>
      </c>
      <c r="JH19">
        <v>1.711E-2</v>
      </c>
      <c r="JI19">
        <v>1.252E-2</v>
      </c>
      <c r="JJ19">
        <v>1.1140000000000001E-2</v>
      </c>
      <c r="JL19">
        <v>1.1900000000000001E-2</v>
      </c>
      <c r="JN19">
        <v>1.5769999999999999E-2</v>
      </c>
      <c r="JO19">
        <v>3.0779999999999998E-2</v>
      </c>
      <c r="JP19">
        <v>1.5140000000000001E-2</v>
      </c>
      <c r="JQ19">
        <v>7.62E-3</v>
      </c>
      <c r="JR19">
        <v>8.2500000000000004E-3</v>
      </c>
      <c r="JS19">
        <v>7.5900000000000004E-3</v>
      </c>
      <c r="JT19">
        <v>8.4600000000000005E-3</v>
      </c>
      <c r="JU19">
        <v>8.6700000000000006E-3</v>
      </c>
      <c r="JV19">
        <v>1.0800000000000001E-2</v>
      </c>
      <c r="JW19">
        <v>1.023E-2</v>
      </c>
      <c r="JX19">
        <v>9.9699999999999997E-3</v>
      </c>
      <c r="JY19">
        <v>1.068E-2</v>
      </c>
      <c r="JZ19">
        <v>1.205E-2</v>
      </c>
      <c r="KA19">
        <v>1.2540000000000001E-2</v>
      </c>
      <c r="KB19">
        <v>7.8700000000000003E-3</v>
      </c>
      <c r="KC19">
        <v>8.2900000000000005E-3</v>
      </c>
      <c r="KD19">
        <v>8.9200000000000008E-3</v>
      </c>
      <c r="KE19">
        <v>9.6399999999999993E-3</v>
      </c>
      <c r="KF19">
        <v>1.133E-2</v>
      </c>
      <c r="KG19">
        <v>1.2800000000000001E-2</v>
      </c>
      <c r="KI19">
        <v>1.26E-2</v>
      </c>
      <c r="KJ19">
        <v>1.2829999999999999E-2</v>
      </c>
      <c r="KK19">
        <v>1.2880000000000001E-2</v>
      </c>
      <c r="KL19">
        <v>1.2840000000000001E-2</v>
      </c>
      <c r="KM19">
        <v>1.2880000000000001E-2</v>
      </c>
      <c r="KN19">
        <v>7.6499999999999997E-3</v>
      </c>
      <c r="KO19">
        <v>7.8700000000000003E-3</v>
      </c>
      <c r="KP19">
        <v>1.115E-2</v>
      </c>
      <c r="KQ19">
        <v>1.163E-2</v>
      </c>
      <c r="KR19">
        <v>1.341E-2</v>
      </c>
      <c r="KS19">
        <v>1.1650000000000001E-2</v>
      </c>
      <c r="KT19">
        <v>1.2930000000000001E-2</v>
      </c>
      <c r="KU19">
        <v>7.11E-3</v>
      </c>
      <c r="KV19">
        <v>6.6E-3</v>
      </c>
      <c r="KW19">
        <v>6.9499999999999996E-3</v>
      </c>
      <c r="KX19">
        <v>1.5709999999999998E-2</v>
      </c>
      <c r="KY19">
        <v>6.0000000000000001E-3</v>
      </c>
      <c r="KZ19">
        <v>7.3800000000000003E-3</v>
      </c>
      <c r="LA19">
        <v>1.04E-2</v>
      </c>
      <c r="LB19">
        <v>9.7099999999999999E-3</v>
      </c>
      <c r="LC19">
        <v>1.004E-2</v>
      </c>
      <c r="LD19">
        <v>1.004E-2</v>
      </c>
      <c r="LE19">
        <v>1.325E-2</v>
      </c>
      <c r="LG19">
        <v>1.576E-2</v>
      </c>
      <c r="LI19">
        <v>1.3180000000000001E-2</v>
      </c>
      <c r="LJ19">
        <v>1.3350000000000001E-2</v>
      </c>
      <c r="LK19">
        <v>1.353E-2</v>
      </c>
      <c r="LL19">
        <v>1.2279999999999999E-2</v>
      </c>
      <c r="LM19">
        <v>8.0999999999999996E-3</v>
      </c>
      <c r="LO19">
        <v>1.3899999999999999E-2</v>
      </c>
      <c r="LP19">
        <v>1.102E-2</v>
      </c>
      <c r="LR19">
        <v>1.355E-2</v>
      </c>
      <c r="LS19">
        <v>1.511E-2</v>
      </c>
      <c r="LT19">
        <v>1.089E-2</v>
      </c>
      <c r="LV19">
        <v>2.206E-2</v>
      </c>
      <c r="LW19">
        <v>6.2100000000000002E-3</v>
      </c>
      <c r="LX19">
        <v>6.6600000000000001E-3</v>
      </c>
      <c r="MA19">
        <v>1.1480000000000001E-2</v>
      </c>
      <c r="MB19">
        <v>5.9699999999999996E-3</v>
      </c>
      <c r="MC19">
        <v>1.047E-2</v>
      </c>
      <c r="MD19">
        <v>1.274E-2</v>
      </c>
      <c r="ME19">
        <v>1.8669999999999999E-2</v>
      </c>
      <c r="MF19">
        <v>2.162E-2</v>
      </c>
      <c r="MH19">
        <v>1.4109999999999999E-2</v>
      </c>
      <c r="MJ19">
        <v>1.495E-2</v>
      </c>
      <c r="MM19">
        <v>1.452E-2</v>
      </c>
      <c r="MN19">
        <v>7.3699999999999998E-3</v>
      </c>
      <c r="MO19">
        <v>8.3400000000000002E-3</v>
      </c>
      <c r="MP19">
        <v>8.4700000000000001E-3</v>
      </c>
      <c r="MQ19">
        <v>7.1700000000000002E-3</v>
      </c>
      <c r="MR19">
        <v>8.7500000000000008E-3</v>
      </c>
      <c r="MS19">
        <v>1.061E-2</v>
      </c>
      <c r="MT19">
        <v>1.091E-2</v>
      </c>
      <c r="MU19">
        <v>6.8500000000000002E-3</v>
      </c>
      <c r="MV19">
        <v>8.0499999999999999E-3</v>
      </c>
      <c r="MW19">
        <v>8.6199999999999992E-3</v>
      </c>
      <c r="MX19">
        <v>8.9499999999999996E-3</v>
      </c>
      <c r="MY19">
        <v>9.8099999999999993E-3</v>
      </c>
      <c r="MZ19">
        <v>1.0800000000000001E-2</v>
      </c>
      <c r="NA19">
        <v>9.6699999999999998E-3</v>
      </c>
      <c r="NB19">
        <v>1.013E-2</v>
      </c>
      <c r="ND19">
        <v>1.11E-2</v>
      </c>
      <c r="NE19">
        <v>1.2670000000000001E-2</v>
      </c>
      <c r="NF19">
        <v>1.191E-2</v>
      </c>
      <c r="NG19">
        <v>7.0499999999999998E-3</v>
      </c>
      <c r="NH19">
        <v>5.5599999999999998E-3</v>
      </c>
      <c r="NI19">
        <v>6.1700000000000001E-3</v>
      </c>
      <c r="NJ19">
        <v>7.0600000000000003E-3</v>
      </c>
      <c r="NK19">
        <v>6.0899999999999999E-3</v>
      </c>
      <c r="NL19">
        <v>6.62E-3</v>
      </c>
      <c r="NM19">
        <v>7.11E-3</v>
      </c>
      <c r="NN19">
        <v>7.5100000000000002E-3</v>
      </c>
      <c r="NO19">
        <v>7.8899999999999994E-3</v>
      </c>
      <c r="NP19">
        <v>6.11E-3</v>
      </c>
      <c r="NQ19">
        <v>6.6600000000000001E-3</v>
      </c>
      <c r="NR19">
        <v>6.7000000000000002E-3</v>
      </c>
      <c r="NS19">
        <v>7.1999999999999998E-3</v>
      </c>
      <c r="NT19">
        <v>7.9699999999999997E-3</v>
      </c>
      <c r="NU19">
        <v>6.2399999999999999E-3</v>
      </c>
      <c r="NV19">
        <v>6.77E-3</v>
      </c>
      <c r="NW19">
        <v>6.7499999999999999E-3</v>
      </c>
      <c r="NX19">
        <v>7.1199999999999996E-3</v>
      </c>
      <c r="NY19">
        <v>7.2700000000000004E-3</v>
      </c>
      <c r="NZ19">
        <v>7.7000000000000002E-3</v>
      </c>
      <c r="OA19">
        <v>8.0599999999999995E-3</v>
      </c>
      <c r="OB19">
        <v>6.3099999999999996E-3</v>
      </c>
      <c r="OC19">
        <v>6.8300000000000001E-3</v>
      </c>
      <c r="OD19">
        <v>7.0299999999999998E-3</v>
      </c>
      <c r="OE19">
        <v>7.0299999999999998E-3</v>
      </c>
      <c r="OF19">
        <v>1.1299999999999999E-2</v>
      </c>
      <c r="OG19">
        <v>7.3800000000000003E-3</v>
      </c>
      <c r="OH19">
        <v>7.5300000000000002E-3</v>
      </c>
      <c r="OI19">
        <v>8.1899999999999994E-3</v>
      </c>
      <c r="OJ19">
        <v>8.5199999999999998E-3</v>
      </c>
      <c r="OK19">
        <v>8.8299999999999993E-3</v>
      </c>
      <c r="OL19">
        <v>9.1400000000000006E-3</v>
      </c>
      <c r="OM19">
        <v>6.43E-3</v>
      </c>
      <c r="ON19">
        <v>6.9699999999999996E-3</v>
      </c>
      <c r="OO19">
        <v>7.4599999999999996E-3</v>
      </c>
      <c r="OP19">
        <v>8.2199999999999999E-3</v>
      </c>
      <c r="OQ19">
        <v>8.5900000000000004E-3</v>
      </c>
      <c r="OR19">
        <v>8.8699999999999994E-3</v>
      </c>
      <c r="OS19">
        <v>1.022E-2</v>
      </c>
      <c r="OT19">
        <v>6.8199999999999997E-3</v>
      </c>
      <c r="OU19">
        <v>7.1000000000000004E-3</v>
      </c>
      <c r="OV19">
        <v>5.4099999999999999E-3</v>
      </c>
      <c r="OW19">
        <v>4.9300000000000004E-3</v>
      </c>
      <c r="OX19">
        <v>4.7800000000000004E-3</v>
      </c>
      <c r="OY19">
        <v>4.7999999999999996E-3</v>
      </c>
      <c r="OZ19">
        <v>5.5399999999999998E-3</v>
      </c>
      <c r="PA19">
        <v>1.294E-2</v>
      </c>
      <c r="PB19">
        <v>1.4250000000000001E-2</v>
      </c>
      <c r="PC19">
        <v>1.042E-2</v>
      </c>
      <c r="PD19">
        <v>8.8699999999999994E-3</v>
      </c>
      <c r="PE19">
        <v>8.09E-3</v>
      </c>
      <c r="PF19">
        <v>7.6499999999999997E-3</v>
      </c>
      <c r="PH19">
        <v>7.5799999999999999E-3</v>
      </c>
      <c r="PJ19">
        <v>9.1800000000000007E-3</v>
      </c>
      <c r="PK19">
        <v>8.0599999999999995E-3</v>
      </c>
      <c r="PL19">
        <v>6.8100000000000001E-3</v>
      </c>
      <c r="PM19">
        <v>6.62E-3</v>
      </c>
      <c r="PN19">
        <v>7.5500000000000003E-3</v>
      </c>
      <c r="PO19">
        <v>8.3300000000000006E-3</v>
      </c>
      <c r="PP19">
        <v>8.6800000000000002E-3</v>
      </c>
      <c r="PQ19">
        <v>8.3300000000000006E-3</v>
      </c>
      <c r="PR19">
        <v>7.1399999999999996E-3</v>
      </c>
      <c r="PS19">
        <v>9.2399999999999999E-3</v>
      </c>
      <c r="PT19">
        <v>8.8999999999999999E-3</v>
      </c>
      <c r="PU19">
        <v>6.1900000000000002E-3</v>
      </c>
      <c r="PV19">
        <v>8.2500000000000004E-3</v>
      </c>
      <c r="PW19">
        <v>9.9500000000000005E-3</v>
      </c>
      <c r="PX19">
        <v>1.158E-2</v>
      </c>
      <c r="PY19">
        <v>1.358E-2</v>
      </c>
      <c r="QA19">
        <v>5.79E-3</v>
      </c>
      <c r="QB19">
        <v>5.9500000000000004E-3</v>
      </c>
      <c r="QC19">
        <v>7.0699999999999999E-3</v>
      </c>
      <c r="QD19">
        <v>6.3600000000000002E-3</v>
      </c>
      <c r="QE19">
        <v>6.2399999999999999E-3</v>
      </c>
      <c r="QF19">
        <v>6.4900000000000001E-3</v>
      </c>
      <c r="QG19">
        <v>6.5900000000000004E-3</v>
      </c>
      <c r="QH19">
        <v>6.4099999999999999E-3</v>
      </c>
      <c r="QI19">
        <v>6.6600000000000001E-3</v>
      </c>
      <c r="QJ19">
        <v>6.9100000000000003E-3</v>
      </c>
      <c r="QK19">
        <v>6.3800000000000003E-3</v>
      </c>
      <c r="QL19">
        <v>6.0800000000000003E-3</v>
      </c>
      <c r="QM19">
        <v>7.0299999999999998E-3</v>
      </c>
      <c r="QN19">
        <v>9.5200000000000007E-3</v>
      </c>
      <c r="QO19">
        <v>8.7899999999999992E-3</v>
      </c>
      <c r="QP19">
        <v>8.6999999999999994E-3</v>
      </c>
      <c r="QQ19">
        <v>8.6999999999999994E-3</v>
      </c>
      <c r="QR19">
        <v>1.035E-2</v>
      </c>
      <c r="QS19">
        <v>1.051E-2</v>
      </c>
      <c r="QT19">
        <v>8.6499999999999997E-3</v>
      </c>
      <c r="QU19">
        <v>8.8599999999999998E-3</v>
      </c>
      <c r="QV19">
        <v>9.11E-3</v>
      </c>
      <c r="QW19">
        <v>8.2900000000000005E-3</v>
      </c>
      <c r="QX19">
        <v>8.6599999999999993E-3</v>
      </c>
      <c r="QY19">
        <v>7.9399999999999991E-3</v>
      </c>
      <c r="QZ19">
        <v>8.3300000000000006E-3</v>
      </c>
      <c r="RA19">
        <v>1.076E-2</v>
      </c>
      <c r="RB19">
        <v>1.337E-2</v>
      </c>
      <c r="RC19">
        <v>1.1259999999999999E-2</v>
      </c>
      <c r="RD19">
        <v>2.198E-2</v>
      </c>
      <c r="RE19">
        <v>2.3040000000000001E-2</v>
      </c>
      <c r="RF19">
        <v>1.2189999999999999E-2</v>
      </c>
      <c r="RG19">
        <v>8.0199999999999994E-3</v>
      </c>
      <c r="RH19">
        <v>7.1500000000000001E-3</v>
      </c>
      <c r="RI19">
        <v>1.2619999999999999E-2</v>
      </c>
      <c r="RJ19">
        <v>1.3990000000000001E-2</v>
      </c>
      <c r="RK19">
        <v>1.315E-2</v>
      </c>
      <c r="RL19">
        <v>1.1679999999999999E-2</v>
      </c>
      <c r="RM19">
        <v>6.4900000000000001E-3</v>
      </c>
      <c r="RN19">
        <v>6.4400000000000004E-3</v>
      </c>
      <c r="RO19">
        <v>6.4400000000000004E-3</v>
      </c>
      <c r="RP19">
        <v>6.1500000000000001E-3</v>
      </c>
      <c r="RQ19">
        <v>6.6100000000000004E-3</v>
      </c>
      <c r="RR19">
        <v>6.3E-3</v>
      </c>
      <c r="RS19">
        <v>6.45E-3</v>
      </c>
      <c r="RT19">
        <v>5.8799999999999998E-3</v>
      </c>
      <c r="RU19">
        <v>6.2300000000000003E-3</v>
      </c>
      <c r="RV19">
        <v>7.0400000000000003E-3</v>
      </c>
      <c r="RW19">
        <v>7.9100000000000004E-3</v>
      </c>
      <c r="RX19">
        <v>7.1500000000000001E-3</v>
      </c>
      <c r="RY19">
        <v>5.8500000000000002E-3</v>
      </c>
      <c r="RZ19">
        <v>9.6699999999999998E-3</v>
      </c>
      <c r="SA19">
        <v>1.9220000000000001E-2</v>
      </c>
      <c r="SC19">
        <v>9.4000000000000004E-3</v>
      </c>
      <c r="SD19">
        <v>9.3100000000000006E-3</v>
      </c>
      <c r="SE19">
        <v>8.3700000000000007E-3</v>
      </c>
      <c r="SF19">
        <v>8.94E-3</v>
      </c>
      <c r="SG19">
        <v>1.1979999999999999E-2</v>
      </c>
      <c r="SH19">
        <v>1.4619999999999999E-2</v>
      </c>
      <c r="SI19">
        <v>8.6300000000000005E-3</v>
      </c>
      <c r="SJ19">
        <v>6.9199999999999999E-3</v>
      </c>
      <c r="SK19">
        <v>6.45E-3</v>
      </c>
      <c r="SL19">
        <v>6.3800000000000003E-3</v>
      </c>
      <c r="SM19">
        <v>6.4599999999999996E-3</v>
      </c>
      <c r="SN19">
        <v>5.8900000000000003E-3</v>
      </c>
      <c r="SO19">
        <v>5.9199999999999999E-3</v>
      </c>
      <c r="SP19">
        <v>6.7999999999999996E-3</v>
      </c>
      <c r="SQ19">
        <v>7.3299999999999997E-3</v>
      </c>
      <c r="SR19">
        <v>6.6899999999999998E-3</v>
      </c>
      <c r="SS19">
        <v>6.4200000000000004E-3</v>
      </c>
      <c r="ST19">
        <v>6.3899999999999998E-3</v>
      </c>
      <c r="SU19">
        <v>6.7299999999999999E-3</v>
      </c>
      <c r="SV19">
        <v>6.7099999999999998E-3</v>
      </c>
      <c r="SW19">
        <v>6.7099999999999998E-3</v>
      </c>
      <c r="SX19">
        <v>8.1300000000000001E-3</v>
      </c>
      <c r="SY19">
        <v>6.4900000000000001E-3</v>
      </c>
      <c r="SZ19">
        <v>6.7999999999999996E-3</v>
      </c>
      <c r="TA19">
        <v>7.1900000000000002E-3</v>
      </c>
      <c r="TB19">
        <v>6.8700000000000002E-3</v>
      </c>
      <c r="TC19">
        <v>6.0499999999999998E-3</v>
      </c>
      <c r="TD19">
        <v>8.7100000000000007E-3</v>
      </c>
      <c r="TE19">
        <v>7.9299999999999995E-3</v>
      </c>
      <c r="TF19">
        <v>8.3800000000000003E-3</v>
      </c>
      <c r="TG19">
        <v>7.1900000000000002E-3</v>
      </c>
      <c r="TH19">
        <v>9.0699999999999999E-3</v>
      </c>
      <c r="TI19">
        <v>7.0600000000000003E-3</v>
      </c>
      <c r="TJ19">
        <v>6.8300000000000001E-3</v>
      </c>
      <c r="TK19">
        <v>6.28E-3</v>
      </c>
      <c r="TL19">
        <v>5.8599999999999998E-3</v>
      </c>
      <c r="TM19">
        <v>5.4099999999999999E-3</v>
      </c>
      <c r="TN19">
        <v>6.3899999999999998E-3</v>
      </c>
      <c r="TO19">
        <v>6.9300000000000004E-3</v>
      </c>
      <c r="TP19">
        <v>6.6400000000000001E-3</v>
      </c>
      <c r="TQ19">
        <v>5.7999999999999996E-3</v>
      </c>
      <c r="TR19">
        <v>7.8100000000000001E-3</v>
      </c>
      <c r="TS19">
        <v>9.1900000000000003E-3</v>
      </c>
      <c r="TT19">
        <v>8.9099999999999995E-3</v>
      </c>
      <c r="TU19">
        <v>7.8499999999999993E-3</v>
      </c>
      <c r="TV19">
        <v>7.9500000000000005E-3</v>
      </c>
      <c r="TW19">
        <v>6.1599999999999997E-3</v>
      </c>
      <c r="TX19">
        <v>6.0400000000000002E-3</v>
      </c>
      <c r="TY19">
        <v>5.47E-3</v>
      </c>
      <c r="TZ19">
        <v>5.8199999999999997E-3</v>
      </c>
      <c r="UA19">
        <v>5.28E-3</v>
      </c>
      <c r="UB19">
        <v>6.2599999999999999E-3</v>
      </c>
      <c r="UC19">
        <v>5.9899999999999997E-3</v>
      </c>
      <c r="UD19">
        <v>5.9899999999999997E-3</v>
      </c>
      <c r="UE19">
        <v>6.0800000000000003E-3</v>
      </c>
      <c r="UF19">
        <v>6.8500000000000002E-3</v>
      </c>
      <c r="UG19">
        <v>6.5500000000000003E-3</v>
      </c>
      <c r="UH19">
        <v>6.4099999999999999E-3</v>
      </c>
      <c r="UI19">
        <v>7.0099999999999997E-3</v>
      </c>
      <c r="UJ19">
        <v>6.7200000000000003E-3</v>
      </c>
      <c r="UK19">
        <v>5.9300000000000004E-3</v>
      </c>
      <c r="UL19">
        <v>6.43E-3</v>
      </c>
      <c r="UM19">
        <v>6.8999999999999999E-3</v>
      </c>
      <c r="UN19">
        <v>6.0000000000000001E-3</v>
      </c>
      <c r="UO19">
        <v>6.3899999999999998E-3</v>
      </c>
      <c r="UP19">
        <v>8.6300000000000005E-3</v>
      </c>
      <c r="UQ19">
        <v>5.9699999999999996E-3</v>
      </c>
      <c r="UR19">
        <v>6.2399999999999999E-3</v>
      </c>
      <c r="US19">
        <v>6.3699999999999998E-3</v>
      </c>
      <c r="UT19">
        <v>6.0200000000000002E-3</v>
      </c>
      <c r="UU19">
        <v>6.1000000000000004E-3</v>
      </c>
      <c r="UV19">
        <v>6.3099999999999996E-3</v>
      </c>
      <c r="UW19">
        <v>9.4599999999999997E-3</v>
      </c>
      <c r="UX19">
        <v>7.1300000000000001E-3</v>
      </c>
      <c r="UY19">
        <v>7.2399999999999999E-3</v>
      </c>
      <c r="VA19">
        <v>1.01E-2</v>
      </c>
      <c r="VB19">
        <v>7.8600000000000007E-3</v>
      </c>
      <c r="VC19">
        <v>9.8399999999999998E-3</v>
      </c>
      <c r="VD19">
        <v>2.0500000000000001E-2</v>
      </c>
      <c r="VE19">
        <v>1.619E-2</v>
      </c>
      <c r="VF19">
        <v>2.3820000000000001E-2</v>
      </c>
      <c r="VH19">
        <v>1.1310000000000001E-2</v>
      </c>
    </row>
    <row r="20" spans="1:581" x14ac:dyDescent="0.25">
      <c r="A20">
        <v>425000</v>
      </c>
      <c r="B20">
        <v>5.1599999999999997E-3</v>
      </c>
      <c r="C20">
        <v>5.0600000000000003E-3</v>
      </c>
      <c r="D20">
        <v>4.9699999999999996E-3</v>
      </c>
      <c r="E20">
        <v>4.8500000000000001E-3</v>
      </c>
      <c r="F20">
        <v>4.9300000000000004E-3</v>
      </c>
      <c r="G20">
        <v>5.2100000000000002E-3</v>
      </c>
      <c r="H20">
        <v>4.9100000000000003E-3</v>
      </c>
      <c r="I20">
        <v>4.8599999999999997E-3</v>
      </c>
      <c r="J20">
        <v>4.8199999999999996E-3</v>
      </c>
      <c r="K20">
        <v>5.1399999999999996E-3</v>
      </c>
      <c r="L20">
        <v>5.0299999999999997E-3</v>
      </c>
      <c r="M20">
        <v>4.9500000000000004E-3</v>
      </c>
      <c r="N20">
        <v>4.8999999999999998E-3</v>
      </c>
      <c r="O20">
        <v>6.9899999999999997E-3</v>
      </c>
      <c r="P20">
        <v>6.7200000000000003E-3</v>
      </c>
      <c r="Q20">
        <v>6.5500000000000003E-3</v>
      </c>
      <c r="R20">
        <v>5.9500000000000004E-3</v>
      </c>
      <c r="T20">
        <v>5.7400000000000003E-3</v>
      </c>
      <c r="U20">
        <v>6.11E-3</v>
      </c>
      <c r="V20">
        <v>5.8599999999999998E-3</v>
      </c>
      <c r="W20">
        <v>5.28E-3</v>
      </c>
      <c r="X20">
        <v>5.4799999999999996E-3</v>
      </c>
      <c r="Y20">
        <v>4.5900000000000003E-3</v>
      </c>
      <c r="Z20">
        <v>4.6699999999999997E-3</v>
      </c>
      <c r="AA20">
        <v>1.223E-2</v>
      </c>
      <c r="AB20">
        <v>8.2799999999999992E-3</v>
      </c>
      <c r="AC20">
        <v>9.58E-3</v>
      </c>
      <c r="AD20">
        <v>7.5199999999999998E-3</v>
      </c>
      <c r="AE20">
        <v>8.6800000000000002E-3</v>
      </c>
      <c r="AG20">
        <v>1.174E-2</v>
      </c>
      <c r="AH20">
        <v>1.171E-2</v>
      </c>
      <c r="AI20">
        <v>1.438E-2</v>
      </c>
      <c r="AJ20">
        <v>9.3100000000000006E-3</v>
      </c>
      <c r="AK20">
        <v>9.5499999999999995E-3</v>
      </c>
      <c r="AL20">
        <v>1.01E-2</v>
      </c>
      <c r="AM20">
        <v>1.2239999999999999E-2</v>
      </c>
      <c r="AN20">
        <v>1.269E-2</v>
      </c>
      <c r="AO20">
        <v>2.0330000000000001E-2</v>
      </c>
      <c r="AP20">
        <v>1.153E-2</v>
      </c>
      <c r="AR20">
        <v>1.225E-2</v>
      </c>
      <c r="AS20">
        <v>1.325E-2</v>
      </c>
      <c r="AT20">
        <v>1.078E-2</v>
      </c>
      <c r="AU20">
        <v>1.1560000000000001E-2</v>
      </c>
      <c r="AV20">
        <v>1.678E-2</v>
      </c>
      <c r="AW20">
        <v>1.2319999999999999E-2</v>
      </c>
      <c r="AX20">
        <v>1.1780000000000001E-2</v>
      </c>
      <c r="AY20">
        <v>1.367E-2</v>
      </c>
      <c r="AZ20">
        <v>1.17E-2</v>
      </c>
      <c r="BA20">
        <v>1.473E-2</v>
      </c>
      <c r="BB20">
        <v>9.6399999999999993E-3</v>
      </c>
      <c r="BC20">
        <v>1.0630000000000001E-2</v>
      </c>
      <c r="BD20">
        <v>1.1339999999999999E-2</v>
      </c>
      <c r="BE20">
        <v>1.413E-2</v>
      </c>
      <c r="BF20">
        <v>1.444E-2</v>
      </c>
      <c r="BG20">
        <v>1.072E-2</v>
      </c>
      <c r="BH20">
        <v>1.239E-2</v>
      </c>
      <c r="BI20">
        <v>1.5140000000000001E-2</v>
      </c>
      <c r="BJ20">
        <v>1.1270000000000001E-2</v>
      </c>
      <c r="BK20">
        <v>1.11E-2</v>
      </c>
      <c r="BL20">
        <v>1.1140000000000001E-2</v>
      </c>
      <c r="BM20">
        <v>1.065E-2</v>
      </c>
      <c r="BN20">
        <v>6.6E-3</v>
      </c>
      <c r="BP20">
        <v>8.3000000000000001E-3</v>
      </c>
      <c r="BQ20">
        <v>7.1799999999999998E-3</v>
      </c>
      <c r="BR20">
        <v>8.9800000000000001E-3</v>
      </c>
      <c r="BS20">
        <v>1.3310000000000001E-2</v>
      </c>
      <c r="BT20">
        <v>1.328E-2</v>
      </c>
      <c r="BU20">
        <v>1.1860000000000001E-2</v>
      </c>
      <c r="BV20">
        <v>1.2149999999999999E-2</v>
      </c>
      <c r="BX20">
        <v>1.1270000000000001E-2</v>
      </c>
      <c r="BY20">
        <v>1.1769999999999999E-2</v>
      </c>
      <c r="BZ20">
        <v>1.072E-2</v>
      </c>
      <c r="CA20">
        <v>1.155E-2</v>
      </c>
      <c r="CC20">
        <v>9.1599999999999997E-3</v>
      </c>
      <c r="CD20">
        <v>7.9600000000000001E-3</v>
      </c>
      <c r="CE20">
        <v>6.8700000000000002E-3</v>
      </c>
      <c r="CF20">
        <v>6.7200000000000003E-3</v>
      </c>
      <c r="CG20">
        <v>6.6100000000000004E-3</v>
      </c>
      <c r="CH20">
        <v>6.5700000000000003E-3</v>
      </c>
      <c r="CI20">
        <v>6.6600000000000001E-3</v>
      </c>
      <c r="CJ20">
        <v>6.8700000000000002E-3</v>
      </c>
      <c r="CK20">
        <v>8.4700000000000001E-3</v>
      </c>
      <c r="CL20">
        <v>7.0800000000000004E-3</v>
      </c>
      <c r="CM20">
        <v>7.4999999999999997E-3</v>
      </c>
      <c r="CN20">
        <v>8.4799999999999997E-3</v>
      </c>
      <c r="CO20">
        <v>7.7000000000000002E-3</v>
      </c>
      <c r="CP20">
        <v>8.7899999999999992E-3</v>
      </c>
      <c r="CQ20">
        <v>7.3800000000000003E-3</v>
      </c>
      <c r="CR20">
        <v>7.4700000000000001E-3</v>
      </c>
      <c r="CS20">
        <v>8.6400000000000001E-3</v>
      </c>
      <c r="CT20">
        <v>9.11E-3</v>
      </c>
      <c r="CU20">
        <v>7.0699999999999999E-3</v>
      </c>
      <c r="CV20">
        <v>6.8500000000000002E-3</v>
      </c>
      <c r="CW20">
        <v>7.45E-3</v>
      </c>
      <c r="CX20">
        <v>7.6899999999999998E-3</v>
      </c>
      <c r="CY20">
        <v>8.7200000000000003E-3</v>
      </c>
      <c r="CZ20">
        <v>7.0499999999999998E-3</v>
      </c>
      <c r="DA20">
        <v>6.45E-3</v>
      </c>
      <c r="DB20">
        <v>6.3E-3</v>
      </c>
      <c r="DC20">
        <v>6.1999999999999998E-3</v>
      </c>
      <c r="DD20">
        <v>6.1500000000000001E-3</v>
      </c>
      <c r="DE20">
        <v>6.2700000000000004E-3</v>
      </c>
      <c r="DF20">
        <v>1.405E-2</v>
      </c>
      <c r="DG20">
        <v>8.1700000000000002E-3</v>
      </c>
      <c r="DH20">
        <v>1.295E-2</v>
      </c>
      <c r="DI20">
        <v>1.2330000000000001E-2</v>
      </c>
      <c r="DJ20">
        <v>1.158E-2</v>
      </c>
      <c r="DK20">
        <v>1.077E-2</v>
      </c>
      <c r="DL20">
        <v>1.017E-2</v>
      </c>
      <c r="DN20">
        <v>1.1259999999999999E-2</v>
      </c>
      <c r="DO20">
        <v>1.059E-2</v>
      </c>
      <c r="DP20">
        <v>8.5699999999999995E-3</v>
      </c>
      <c r="DQ20">
        <v>8.5100000000000002E-3</v>
      </c>
      <c r="DR20">
        <v>1.353E-2</v>
      </c>
      <c r="DS20">
        <v>1.282E-2</v>
      </c>
      <c r="DT20">
        <v>1.238E-2</v>
      </c>
      <c r="DU20">
        <v>1.1209999999999999E-2</v>
      </c>
      <c r="DW20">
        <v>1.406E-2</v>
      </c>
      <c r="DX20">
        <v>1.359E-2</v>
      </c>
      <c r="DY20">
        <v>1.2189999999999999E-2</v>
      </c>
      <c r="DZ20">
        <v>1.0489999999999999E-2</v>
      </c>
      <c r="EA20">
        <v>8.1399999999999997E-3</v>
      </c>
      <c r="EB20">
        <v>8.0099999999999998E-3</v>
      </c>
      <c r="EC20">
        <v>7.5399999999999998E-3</v>
      </c>
      <c r="ED20">
        <v>2.759E-2</v>
      </c>
      <c r="EF20">
        <v>2.5850000000000001E-2</v>
      </c>
      <c r="EH20">
        <v>2.5530000000000001E-2</v>
      </c>
      <c r="EI20">
        <v>7.3200000000000001E-3</v>
      </c>
      <c r="EJ20">
        <v>6.8799999999999998E-3</v>
      </c>
      <c r="EK20">
        <v>7.1199999999999996E-3</v>
      </c>
      <c r="EL20">
        <v>8.1799999999999998E-3</v>
      </c>
      <c r="EM20">
        <v>8.8699999999999994E-3</v>
      </c>
      <c r="EN20">
        <v>9.2200000000000008E-3</v>
      </c>
      <c r="EO20">
        <v>9.5499999999999995E-3</v>
      </c>
      <c r="EP20">
        <v>9.6299999999999997E-3</v>
      </c>
      <c r="EQ20">
        <v>9.7999999999999997E-3</v>
      </c>
      <c r="ER20">
        <v>1.371E-2</v>
      </c>
      <c r="ES20">
        <v>1.196E-2</v>
      </c>
      <c r="EU20">
        <v>1.431E-2</v>
      </c>
      <c r="EV20">
        <v>1.324E-2</v>
      </c>
      <c r="EW20">
        <v>1.217E-2</v>
      </c>
      <c r="EY20">
        <v>7.5399999999999998E-3</v>
      </c>
      <c r="EZ20">
        <v>7.79E-3</v>
      </c>
      <c r="FA20">
        <v>1.0489999999999999E-2</v>
      </c>
      <c r="FB20">
        <v>1.0869999999999999E-2</v>
      </c>
      <c r="FC20">
        <v>1.0160000000000001E-2</v>
      </c>
      <c r="FD20">
        <v>9.2200000000000008E-3</v>
      </c>
      <c r="FE20">
        <v>1.0699999999999999E-2</v>
      </c>
      <c r="FF20">
        <v>6.43E-3</v>
      </c>
      <c r="FG20">
        <v>9.8700000000000003E-3</v>
      </c>
      <c r="FH20">
        <v>1.1379999999999999E-2</v>
      </c>
      <c r="FI20">
        <v>1.0120000000000001E-2</v>
      </c>
      <c r="FJ20">
        <v>9.8099999999999993E-3</v>
      </c>
      <c r="FK20">
        <v>9.9699999999999997E-3</v>
      </c>
      <c r="FL20">
        <v>7.6800000000000002E-3</v>
      </c>
      <c r="FN20">
        <v>1.1809999999999999E-2</v>
      </c>
      <c r="FO20">
        <v>9.8700000000000003E-3</v>
      </c>
      <c r="FP20">
        <v>9.1500000000000001E-3</v>
      </c>
      <c r="FQ20">
        <v>1.404E-2</v>
      </c>
      <c r="FS20">
        <v>1.5800000000000002E-2</v>
      </c>
      <c r="FT20">
        <v>1.342E-2</v>
      </c>
      <c r="FU20">
        <v>1.2239999999999999E-2</v>
      </c>
      <c r="FV20">
        <v>1.1050000000000001E-2</v>
      </c>
      <c r="FW20">
        <v>1.112E-2</v>
      </c>
      <c r="FX20">
        <v>1.1639999999999999E-2</v>
      </c>
      <c r="FY20">
        <v>1.238E-2</v>
      </c>
      <c r="FZ20">
        <v>1.086E-2</v>
      </c>
      <c r="GA20">
        <v>1.174E-2</v>
      </c>
      <c r="GB20">
        <v>1.0619999999999999E-2</v>
      </c>
      <c r="GC20">
        <v>1.1440000000000001E-2</v>
      </c>
      <c r="GD20">
        <v>1.0449999999999999E-2</v>
      </c>
      <c r="GE20">
        <v>1.1259999999999999E-2</v>
      </c>
      <c r="GF20">
        <v>9.5700000000000004E-3</v>
      </c>
      <c r="GG20">
        <v>9.5999999999999992E-3</v>
      </c>
      <c r="GH20">
        <v>9.75E-3</v>
      </c>
      <c r="GI20">
        <v>1.0189999999999999E-2</v>
      </c>
      <c r="GJ20">
        <v>1.034E-2</v>
      </c>
      <c r="GK20">
        <v>1.0619999999999999E-2</v>
      </c>
      <c r="GL20">
        <v>1.107E-2</v>
      </c>
      <c r="GM20">
        <v>9.5600000000000008E-3</v>
      </c>
      <c r="GO20">
        <v>1.026E-2</v>
      </c>
      <c r="GP20">
        <v>1.1089999999999999E-2</v>
      </c>
      <c r="GQ20">
        <v>1.192E-2</v>
      </c>
      <c r="GR20">
        <v>1.34E-2</v>
      </c>
      <c r="GS20">
        <v>1.0330000000000001E-2</v>
      </c>
      <c r="GT20">
        <v>1.099E-2</v>
      </c>
      <c r="GV20">
        <v>1.086E-2</v>
      </c>
      <c r="GW20">
        <v>1.1769999999999999E-2</v>
      </c>
      <c r="GX20">
        <v>1.022E-2</v>
      </c>
      <c r="GY20">
        <v>1.495E-2</v>
      </c>
      <c r="GZ20">
        <v>1.201E-2</v>
      </c>
      <c r="HC20">
        <v>1.0279999999999999E-2</v>
      </c>
      <c r="HE20">
        <v>1.0880000000000001E-2</v>
      </c>
      <c r="HF20">
        <v>1.013E-2</v>
      </c>
      <c r="HG20">
        <v>8.8199999999999997E-3</v>
      </c>
      <c r="HH20">
        <v>8.9800000000000001E-3</v>
      </c>
      <c r="HI20">
        <v>1.1520000000000001E-2</v>
      </c>
      <c r="HJ20">
        <v>5.9800000000000001E-3</v>
      </c>
      <c r="HK20">
        <v>1.282E-2</v>
      </c>
      <c r="HL20">
        <v>1.193E-2</v>
      </c>
      <c r="HM20">
        <v>1.1900000000000001E-2</v>
      </c>
      <c r="HN20">
        <v>1.159E-2</v>
      </c>
      <c r="HO20">
        <v>1.1900000000000001E-2</v>
      </c>
      <c r="HP20">
        <v>6.96E-3</v>
      </c>
      <c r="HR20">
        <v>1.555E-2</v>
      </c>
      <c r="HS20">
        <v>1.6150000000000001E-2</v>
      </c>
      <c r="HT20">
        <v>1.155E-2</v>
      </c>
      <c r="HU20">
        <v>7.3400000000000002E-3</v>
      </c>
      <c r="HV20">
        <v>9.7300000000000008E-3</v>
      </c>
      <c r="HW20">
        <v>7.7000000000000002E-3</v>
      </c>
      <c r="HX20">
        <v>1.4749999999999999E-2</v>
      </c>
      <c r="HY20">
        <v>1.4160000000000001E-2</v>
      </c>
      <c r="IA20">
        <v>1.112E-2</v>
      </c>
      <c r="IB20">
        <v>1.302E-2</v>
      </c>
      <c r="ID20">
        <v>1.0659999999999999E-2</v>
      </c>
      <c r="IE20">
        <v>9.6200000000000001E-3</v>
      </c>
      <c r="IF20">
        <v>8.5400000000000007E-3</v>
      </c>
      <c r="IG20">
        <v>9.4900000000000002E-3</v>
      </c>
      <c r="IH20">
        <v>1.091E-2</v>
      </c>
      <c r="II20">
        <v>7.9399999999999991E-3</v>
      </c>
      <c r="IJ20">
        <v>8.2199999999999999E-3</v>
      </c>
      <c r="IK20">
        <v>8.8900000000000003E-3</v>
      </c>
      <c r="IL20">
        <v>9.9699999999999997E-3</v>
      </c>
      <c r="IM20">
        <v>1.1010000000000001E-2</v>
      </c>
      <c r="IN20">
        <v>1.208E-2</v>
      </c>
      <c r="IO20">
        <v>1.311E-2</v>
      </c>
      <c r="IP20">
        <v>1.6990000000000002E-2</v>
      </c>
      <c r="IQ20">
        <v>1.8790000000000001E-2</v>
      </c>
      <c r="IR20">
        <v>2.1309999999999999E-2</v>
      </c>
      <c r="IS20">
        <v>6.0200000000000002E-3</v>
      </c>
      <c r="IT20">
        <v>9.3200000000000002E-3</v>
      </c>
      <c r="IV20">
        <v>6.7799999999999996E-3</v>
      </c>
      <c r="IW20">
        <v>8.2100000000000003E-3</v>
      </c>
      <c r="IX20">
        <v>5.79E-3</v>
      </c>
      <c r="IY20">
        <v>5.7800000000000004E-3</v>
      </c>
      <c r="IZ20">
        <v>5.8300000000000001E-3</v>
      </c>
      <c r="JA20">
        <v>6.3699999999999998E-3</v>
      </c>
      <c r="JB20">
        <v>6.8199999999999997E-3</v>
      </c>
      <c r="JC20">
        <v>7.45E-3</v>
      </c>
      <c r="JD20">
        <v>7.79E-3</v>
      </c>
      <c r="JF20">
        <v>7.5900000000000004E-3</v>
      </c>
      <c r="JG20">
        <v>8.0800000000000004E-3</v>
      </c>
      <c r="JH20">
        <v>1.6590000000000001E-2</v>
      </c>
      <c r="JI20">
        <v>1.1979999999999999E-2</v>
      </c>
      <c r="JJ20">
        <v>1.055E-2</v>
      </c>
      <c r="JL20">
        <v>1.1339999999999999E-2</v>
      </c>
      <c r="JO20">
        <v>2.9600000000000001E-2</v>
      </c>
      <c r="JQ20">
        <v>7.4200000000000004E-3</v>
      </c>
      <c r="JR20">
        <v>8.0599999999999995E-3</v>
      </c>
      <c r="JS20">
        <v>7.4000000000000003E-3</v>
      </c>
      <c r="JT20">
        <v>8.26E-3</v>
      </c>
      <c r="JU20">
        <v>8.4799999999999997E-3</v>
      </c>
      <c r="JV20">
        <v>1.017E-2</v>
      </c>
      <c r="JW20">
        <v>9.8700000000000003E-3</v>
      </c>
      <c r="JX20">
        <v>9.4800000000000006E-3</v>
      </c>
      <c r="JY20">
        <v>1.04E-2</v>
      </c>
      <c r="JZ20">
        <v>1.167E-2</v>
      </c>
      <c r="KA20">
        <v>1.2019999999999999E-2</v>
      </c>
      <c r="KB20">
        <v>7.7000000000000002E-3</v>
      </c>
      <c r="KC20">
        <v>8.0599999999999995E-3</v>
      </c>
      <c r="KD20">
        <v>8.7200000000000003E-3</v>
      </c>
      <c r="KE20">
        <v>9.3900000000000008E-3</v>
      </c>
      <c r="KF20">
        <v>1.1180000000000001E-2</v>
      </c>
      <c r="KG20">
        <v>1.3129999999999999E-2</v>
      </c>
      <c r="KI20">
        <v>1.23E-2</v>
      </c>
      <c r="KJ20">
        <v>1.234E-2</v>
      </c>
      <c r="KK20">
        <v>1.238E-2</v>
      </c>
      <c r="KL20">
        <v>1.2370000000000001E-2</v>
      </c>
      <c r="KM20">
        <v>1.2529999999999999E-2</v>
      </c>
      <c r="KN20">
        <v>7.5500000000000003E-3</v>
      </c>
      <c r="KO20">
        <v>7.7099999999999998E-3</v>
      </c>
      <c r="KP20">
        <v>1.0829999999999999E-2</v>
      </c>
      <c r="KQ20">
        <v>1.1270000000000001E-2</v>
      </c>
      <c r="KR20">
        <v>1.299E-2</v>
      </c>
      <c r="KS20">
        <v>1.1010000000000001E-2</v>
      </c>
      <c r="KT20">
        <v>1.2120000000000001E-2</v>
      </c>
      <c r="KU20">
        <v>6.8399999999999997E-3</v>
      </c>
      <c r="KV20">
        <v>6.43E-3</v>
      </c>
      <c r="KW20">
        <v>6.8199999999999997E-3</v>
      </c>
      <c r="KX20">
        <v>1.541E-2</v>
      </c>
      <c r="KY20">
        <v>5.9199999999999999E-3</v>
      </c>
      <c r="LA20">
        <v>9.9699999999999997E-3</v>
      </c>
      <c r="LB20">
        <v>9.3399999999999993E-3</v>
      </c>
      <c r="LC20">
        <v>9.6600000000000002E-3</v>
      </c>
      <c r="LD20">
        <v>9.6600000000000002E-3</v>
      </c>
      <c r="LE20">
        <v>1.3010000000000001E-2</v>
      </c>
      <c r="LG20">
        <v>1.486E-2</v>
      </c>
      <c r="LI20">
        <v>1.285E-2</v>
      </c>
      <c r="LJ20">
        <v>1.306E-2</v>
      </c>
      <c r="LK20">
        <v>1.3180000000000001E-2</v>
      </c>
      <c r="LL20">
        <v>1.166E-2</v>
      </c>
      <c r="LM20">
        <v>7.79E-3</v>
      </c>
      <c r="LO20">
        <v>1.346E-2</v>
      </c>
      <c r="LR20">
        <v>1.319E-2</v>
      </c>
      <c r="LS20">
        <v>1.4800000000000001E-2</v>
      </c>
      <c r="LT20">
        <v>1.044E-2</v>
      </c>
      <c r="LV20">
        <v>2.0930000000000001E-2</v>
      </c>
      <c r="LW20">
        <v>6.0000000000000001E-3</v>
      </c>
      <c r="LX20">
        <v>6.4999999999999997E-3</v>
      </c>
      <c r="MA20">
        <v>1.102E-2</v>
      </c>
      <c r="MB20">
        <v>5.7200000000000003E-3</v>
      </c>
      <c r="MC20">
        <v>1.018E-2</v>
      </c>
      <c r="MD20">
        <v>1.2659999999999999E-2</v>
      </c>
      <c r="ME20">
        <v>1.7680000000000001E-2</v>
      </c>
      <c r="MF20">
        <v>2.061E-2</v>
      </c>
      <c r="MJ20">
        <v>1.397E-2</v>
      </c>
      <c r="MK20">
        <v>1.5610000000000001E-2</v>
      </c>
      <c r="MN20">
        <v>7.2300000000000003E-3</v>
      </c>
      <c r="MO20">
        <v>8.1700000000000002E-3</v>
      </c>
      <c r="MP20">
        <v>8.2299999999999995E-3</v>
      </c>
      <c r="MQ20">
        <v>6.96E-3</v>
      </c>
      <c r="MR20">
        <v>8.5000000000000006E-3</v>
      </c>
      <c r="MS20">
        <v>1.0149999999999999E-2</v>
      </c>
      <c r="MT20">
        <v>1.056E-2</v>
      </c>
      <c r="MU20">
        <v>6.6800000000000002E-3</v>
      </c>
      <c r="MV20">
        <v>7.7999999999999996E-3</v>
      </c>
      <c r="MW20">
        <v>8.3700000000000007E-3</v>
      </c>
      <c r="MX20">
        <v>8.6599999999999993E-3</v>
      </c>
      <c r="MY20">
        <v>9.4800000000000006E-3</v>
      </c>
      <c r="MZ20">
        <v>1.0460000000000001E-2</v>
      </c>
      <c r="NA20">
        <v>9.4000000000000004E-3</v>
      </c>
      <c r="NB20">
        <v>9.7999999999999997E-3</v>
      </c>
      <c r="ND20">
        <v>1.1509999999999999E-2</v>
      </c>
      <c r="NE20">
        <v>1.214E-2</v>
      </c>
      <c r="NF20">
        <v>1.163E-2</v>
      </c>
      <c r="NG20">
        <v>6.8700000000000002E-3</v>
      </c>
      <c r="NH20">
        <v>5.4200000000000003E-3</v>
      </c>
      <c r="NI20">
        <v>6.0200000000000002E-3</v>
      </c>
      <c r="NJ20">
        <v>6.8799999999999998E-3</v>
      </c>
      <c r="NK20">
        <v>5.9500000000000004E-3</v>
      </c>
      <c r="NL20">
        <v>6.45E-3</v>
      </c>
      <c r="NM20">
        <v>6.9300000000000004E-3</v>
      </c>
      <c r="NN20">
        <v>7.3299999999999997E-3</v>
      </c>
      <c r="NO20">
        <v>7.6800000000000002E-3</v>
      </c>
      <c r="NP20">
        <v>5.9800000000000001E-3</v>
      </c>
      <c r="NQ20">
        <v>6.5100000000000002E-3</v>
      </c>
      <c r="NR20">
        <v>6.5300000000000002E-3</v>
      </c>
      <c r="NS20">
        <v>7.0000000000000001E-3</v>
      </c>
      <c r="NT20">
        <v>7.7299999999999999E-3</v>
      </c>
      <c r="NU20">
        <v>6.0899999999999999E-3</v>
      </c>
      <c r="NV20">
        <v>6.5900000000000004E-3</v>
      </c>
      <c r="NW20">
        <v>6.5799999999999999E-3</v>
      </c>
      <c r="NX20">
        <v>6.9100000000000003E-3</v>
      </c>
      <c r="NY20">
        <v>7.0600000000000003E-3</v>
      </c>
      <c r="NZ20">
        <v>7.4999999999999997E-3</v>
      </c>
      <c r="OA20">
        <v>7.8100000000000001E-3</v>
      </c>
      <c r="OB20">
        <v>6.1599999999999997E-3</v>
      </c>
      <c r="OC20">
        <v>6.6400000000000001E-3</v>
      </c>
      <c r="OD20">
        <v>6.8300000000000001E-3</v>
      </c>
      <c r="OE20">
        <v>6.8300000000000001E-3</v>
      </c>
      <c r="OF20">
        <v>1.089E-2</v>
      </c>
      <c r="OG20">
        <v>7.1799999999999998E-3</v>
      </c>
      <c r="OH20">
        <v>7.3400000000000002E-3</v>
      </c>
      <c r="OI20">
        <v>7.9500000000000005E-3</v>
      </c>
      <c r="OJ20">
        <v>8.2699999999999996E-3</v>
      </c>
      <c r="OK20">
        <v>8.5299999999999994E-3</v>
      </c>
      <c r="OL20">
        <v>8.8599999999999998E-3</v>
      </c>
      <c r="OM20">
        <v>6.28E-3</v>
      </c>
      <c r="ON20">
        <v>6.7799999999999996E-3</v>
      </c>
      <c r="OO20">
        <v>7.2399999999999999E-3</v>
      </c>
      <c r="OP20">
        <v>7.9799999999999992E-3</v>
      </c>
      <c r="OQ20">
        <v>8.3400000000000002E-3</v>
      </c>
      <c r="OR20">
        <v>8.6400000000000001E-3</v>
      </c>
      <c r="OS20">
        <v>9.8700000000000003E-3</v>
      </c>
      <c r="OT20">
        <v>6.6400000000000001E-3</v>
      </c>
      <c r="OU20">
        <v>6.9199999999999999E-3</v>
      </c>
      <c r="OV20">
        <v>5.2700000000000004E-3</v>
      </c>
      <c r="OW20">
        <v>4.79E-3</v>
      </c>
      <c r="OX20">
        <v>4.64E-3</v>
      </c>
      <c r="OY20">
        <v>4.6600000000000001E-3</v>
      </c>
      <c r="OZ20">
        <v>5.4999999999999997E-3</v>
      </c>
      <c r="PA20">
        <v>1.268E-2</v>
      </c>
      <c r="PB20">
        <v>1.387E-2</v>
      </c>
      <c r="PD20">
        <v>8.6700000000000006E-3</v>
      </c>
      <c r="PE20">
        <v>7.92E-3</v>
      </c>
      <c r="PF20">
        <v>7.4700000000000001E-3</v>
      </c>
      <c r="PG20">
        <v>7.7499999999999999E-3</v>
      </c>
      <c r="PH20">
        <v>7.4099999999999999E-3</v>
      </c>
      <c r="PI20">
        <v>9.6600000000000002E-3</v>
      </c>
      <c r="PJ20">
        <v>8.9599999999999992E-3</v>
      </c>
      <c r="PK20">
        <v>7.9100000000000004E-3</v>
      </c>
      <c r="PL20">
        <v>6.6299999999999996E-3</v>
      </c>
      <c r="PM20">
        <v>6.4700000000000001E-3</v>
      </c>
      <c r="PN20">
        <v>7.3200000000000001E-3</v>
      </c>
      <c r="PO20">
        <v>7.8899999999999994E-3</v>
      </c>
      <c r="PP20">
        <v>8.3400000000000002E-3</v>
      </c>
      <c r="PQ20">
        <v>8.0800000000000004E-3</v>
      </c>
      <c r="PR20">
        <v>6.96E-3</v>
      </c>
      <c r="PS20">
        <v>8.9200000000000008E-3</v>
      </c>
      <c r="PT20">
        <v>8.5900000000000004E-3</v>
      </c>
      <c r="PU20">
        <v>6.0400000000000002E-3</v>
      </c>
      <c r="PV20">
        <v>7.9600000000000001E-3</v>
      </c>
      <c r="PW20">
        <v>9.5399999999999999E-3</v>
      </c>
      <c r="PX20">
        <v>1.11E-2</v>
      </c>
      <c r="PY20">
        <v>1.3050000000000001E-2</v>
      </c>
      <c r="PZ20">
        <v>1.52E-2</v>
      </c>
      <c r="QA20">
        <v>5.5999999999999999E-3</v>
      </c>
      <c r="QB20">
        <v>5.77E-3</v>
      </c>
      <c r="QC20">
        <v>6.8700000000000002E-3</v>
      </c>
      <c r="QD20">
        <v>6.1999999999999998E-3</v>
      </c>
      <c r="QE20">
        <v>6.0899999999999999E-3</v>
      </c>
      <c r="QF20">
        <v>6.3099999999999996E-3</v>
      </c>
      <c r="QG20">
        <v>6.5500000000000003E-3</v>
      </c>
      <c r="QH20">
        <v>6.2599999999999999E-3</v>
      </c>
      <c r="QI20">
        <v>6.4700000000000001E-3</v>
      </c>
      <c r="QJ20">
        <v>6.6699999999999997E-3</v>
      </c>
      <c r="QK20">
        <v>6.1900000000000002E-3</v>
      </c>
      <c r="QL20">
        <v>5.9300000000000004E-3</v>
      </c>
      <c r="QM20">
        <v>6.8300000000000001E-3</v>
      </c>
      <c r="QN20">
        <v>9.1800000000000007E-3</v>
      </c>
      <c r="QO20">
        <v>8.5400000000000007E-3</v>
      </c>
      <c r="QP20">
        <v>8.4600000000000005E-3</v>
      </c>
      <c r="QQ20">
        <v>8.5199999999999998E-3</v>
      </c>
      <c r="QR20">
        <v>1.0160000000000001E-2</v>
      </c>
      <c r="QS20">
        <v>1.0330000000000001E-2</v>
      </c>
      <c r="QT20">
        <v>8.3999999999999995E-3</v>
      </c>
      <c r="QU20">
        <v>8.6E-3</v>
      </c>
      <c r="QV20">
        <v>8.8199999999999997E-3</v>
      </c>
      <c r="QW20">
        <v>8.0700000000000008E-3</v>
      </c>
      <c r="QX20">
        <v>8.3400000000000002E-3</v>
      </c>
      <c r="QY20">
        <v>7.6699999999999997E-3</v>
      </c>
      <c r="QZ20">
        <v>8.0800000000000004E-3</v>
      </c>
      <c r="RA20">
        <v>1.0359999999999999E-2</v>
      </c>
      <c r="RB20">
        <v>1.2880000000000001E-2</v>
      </c>
      <c r="RC20">
        <v>1.0840000000000001E-2</v>
      </c>
      <c r="RD20">
        <v>2.111E-2</v>
      </c>
      <c r="RE20">
        <v>2.2460000000000001E-2</v>
      </c>
      <c r="RF20">
        <v>1.1780000000000001E-2</v>
      </c>
      <c r="RG20">
        <v>7.79E-3</v>
      </c>
      <c r="RH20">
        <v>6.94E-3</v>
      </c>
      <c r="RI20">
        <v>1.206E-2</v>
      </c>
      <c r="RK20">
        <v>1.255E-2</v>
      </c>
      <c r="RL20">
        <v>1.12E-2</v>
      </c>
      <c r="RM20">
        <v>6.3E-3</v>
      </c>
      <c r="RN20">
        <v>6.2500000000000003E-3</v>
      </c>
      <c r="RO20">
        <v>6.2500000000000003E-3</v>
      </c>
      <c r="RP20">
        <v>5.94E-3</v>
      </c>
      <c r="RQ20">
        <v>6.4099999999999999E-3</v>
      </c>
      <c r="RR20">
        <v>6.1000000000000004E-3</v>
      </c>
      <c r="RS20">
        <v>6.2500000000000003E-3</v>
      </c>
      <c r="RT20">
        <v>5.64E-3</v>
      </c>
      <c r="RU20">
        <v>6.0800000000000003E-3</v>
      </c>
      <c r="RV20">
        <v>6.8700000000000002E-3</v>
      </c>
      <c r="RW20">
        <v>7.7000000000000002E-3</v>
      </c>
      <c r="RX20">
        <v>6.9499999999999996E-3</v>
      </c>
      <c r="RY20">
        <v>5.62E-3</v>
      </c>
      <c r="RZ20">
        <v>9.1900000000000003E-3</v>
      </c>
      <c r="SA20">
        <v>1.7989999999999999E-2</v>
      </c>
      <c r="SB20">
        <v>1.627E-2</v>
      </c>
      <c r="SC20">
        <v>9.1400000000000006E-3</v>
      </c>
      <c r="SD20">
        <v>9.1299999999999992E-3</v>
      </c>
      <c r="SE20">
        <v>8.2199999999999999E-3</v>
      </c>
      <c r="SG20">
        <v>1.17E-2</v>
      </c>
      <c r="SH20">
        <v>1.4330000000000001E-2</v>
      </c>
      <c r="SI20">
        <v>8.4399999999999996E-3</v>
      </c>
      <c r="SJ20">
        <v>6.7499999999999999E-3</v>
      </c>
      <c r="SK20">
        <v>6.2399999999999999E-3</v>
      </c>
      <c r="SL20">
        <v>6.1900000000000002E-3</v>
      </c>
      <c r="SM20">
        <v>6.1999999999999998E-3</v>
      </c>
      <c r="SN20">
        <v>5.7000000000000002E-3</v>
      </c>
      <c r="SO20">
        <v>5.7200000000000003E-3</v>
      </c>
      <c r="SP20">
        <v>6.6600000000000001E-3</v>
      </c>
      <c r="SQ20">
        <v>7.1500000000000001E-3</v>
      </c>
      <c r="SR20">
        <v>6.5599999999999999E-3</v>
      </c>
      <c r="SS20">
        <v>6.2399999999999999E-3</v>
      </c>
      <c r="ST20">
        <v>6.2100000000000002E-3</v>
      </c>
      <c r="SU20">
        <v>6.5900000000000004E-3</v>
      </c>
      <c r="SV20">
        <v>6.4999999999999997E-3</v>
      </c>
      <c r="SW20">
        <v>6.5599999999999999E-3</v>
      </c>
      <c r="SX20">
        <v>7.8899999999999994E-3</v>
      </c>
      <c r="SY20">
        <v>6.3400000000000001E-3</v>
      </c>
      <c r="SZ20">
        <v>6.6E-3</v>
      </c>
      <c r="TA20">
        <v>6.94E-3</v>
      </c>
      <c r="TB20">
        <v>6.7600000000000004E-3</v>
      </c>
      <c r="TC20">
        <v>5.8700000000000002E-3</v>
      </c>
      <c r="TD20">
        <v>8.3099999999999997E-3</v>
      </c>
      <c r="TE20">
        <v>7.9000000000000008E-3</v>
      </c>
      <c r="TF20">
        <v>8.1600000000000006E-3</v>
      </c>
      <c r="TG20">
        <v>6.9899999999999997E-3</v>
      </c>
      <c r="TH20">
        <v>9.0399999999999994E-3</v>
      </c>
      <c r="TI20">
        <v>6.8900000000000003E-3</v>
      </c>
      <c r="TJ20">
        <v>6.6499999999999997E-3</v>
      </c>
      <c r="TK20">
        <v>6.1000000000000004E-3</v>
      </c>
      <c r="TL20">
        <v>5.6899999999999997E-3</v>
      </c>
      <c r="TM20">
        <v>5.2599999999999999E-3</v>
      </c>
      <c r="TN20">
        <v>6.2899999999999996E-3</v>
      </c>
      <c r="TO20">
        <v>6.7600000000000004E-3</v>
      </c>
      <c r="TQ20">
        <v>5.7099999999999998E-3</v>
      </c>
      <c r="TR20">
        <v>7.6400000000000001E-3</v>
      </c>
      <c r="TS20">
        <v>8.9099999999999995E-3</v>
      </c>
      <c r="TT20">
        <v>8.6999999999999994E-3</v>
      </c>
      <c r="TU20">
        <v>7.6600000000000001E-3</v>
      </c>
      <c r="TV20">
        <v>7.6699999999999997E-3</v>
      </c>
      <c r="TW20">
        <v>6.0299999999999998E-3</v>
      </c>
      <c r="TX20">
        <v>5.9199999999999999E-3</v>
      </c>
      <c r="TY20">
        <v>5.2900000000000004E-3</v>
      </c>
      <c r="TZ20">
        <v>5.7299999999999999E-3</v>
      </c>
      <c r="UA20">
        <v>5.1000000000000004E-3</v>
      </c>
      <c r="UB20">
        <v>6.0899999999999999E-3</v>
      </c>
      <c r="UC20">
        <v>5.8500000000000002E-3</v>
      </c>
      <c r="UD20">
        <v>5.8300000000000001E-3</v>
      </c>
      <c r="UE20">
        <v>5.9100000000000003E-3</v>
      </c>
      <c r="UF20">
        <v>6.5399999999999998E-3</v>
      </c>
      <c r="UG20">
        <v>6.3400000000000001E-3</v>
      </c>
      <c r="UH20">
        <v>6.2899999999999996E-3</v>
      </c>
      <c r="UI20">
        <v>6.79E-3</v>
      </c>
      <c r="UJ20">
        <v>6.5199999999999998E-3</v>
      </c>
      <c r="UK20">
        <v>5.8399999999999997E-3</v>
      </c>
      <c r="UL20">
        <v>6.3299999999999997E-3</v>
      </c>
      <c r="UM20">
        <v>6.7799999999999996E-3</v>
      </c>
      <c r="UN20">
        <v>5.8300000000000001E-3</v>
      </c>
      <c r="UO20">
        <v>6.2599999999999999E-3</v>
      </c>
      <c r="UQ20">
        <v>5.7999999999999996E-3</v>
      </c>
      <c r="UR20">
        <v>6.0600000000000003E-3</v>
      </c>
      <c r="US20">
        <v>6.2100000000000002E-3</v>
      </c>
      <c r="UT20">
        <v>5.8500000000000002E-3</v>
      </c>
      <c r="UU20">
        <v>5.9500000000000004E-3</v>
      </c>
      <c r="UV20">
        <v>6.1500000000000001E-3</v>
      </c>
      <c r="UW20">
        <v>9.2099999999999994E-3</v>
      </c>
      <c r="UX20">
        <v>6.8700000000000002E-3</v>
      </c>
      <c r="UY20">
        <v>7.0099999999999997E-3</v>
      </c>
      <c r="VA20">
        <v>9.8700000000000003E-3</v>
      </c>
      <c r="VB20">
        <v>7.6E-3</v>
      </c>
      <c r="VC20">
        <v>9.5300000000000003E-3</v>
      </c>
      <c r="VE20">
        <v>1.487E-2</v>
      </c>
      <c r="VF20">
        <v>2.2880000000000001E-2</v>
      </c>
      <c r="VG20">
        <v>1.609E-2</v>
      </c>
      <c r="VH20">
        <v>1.077E-2</v>
      </c>
    </row>
    <row r="21" spans="1:581" x14ac:dyDescent="0.25">
      <c r="A21">
        <v>450000</v>
      </c>
      <c r="B21">
        <v>5.0400000000000002E-3</v>
      </c>
      <c r="C21">
        <v>4.9500000000000004E-3</v>
      </c>
      <c r="D21">
        <v>4.8199999999999996E-3</v>
      </c>
      <c r="E21">
        <v>4.7099999999999998E-3</v>
      </c>
      <c r="F21">
        <v>4.79E-3</v>
      </c>
      <c r="G21">
        <v>5.1000000000000004E-3</v>
      </c>
      <c r="H21">
        <v>4.81E-3</v>
      </c>
      <c r="I21">
        <v>4.7299999999999998E-3</v>
      </c>
      <c r="J21">
        <v>4.6800000000000001E-3</v>
      </c>
      <c r="K21">
        <v>5.0200000000000002E-3</v>
      </c>
      <c r="L21">
        <v>4.9199999999999999E-3</v>
      </c>
      <c r="M21">
        <v>4.8300000000000001E-3</v>
      </c>
      <c r="N21">
        <v>4.7800000000000004E-3</v>
      </c>
      <c r="O21">
        <v>6.8700000000000002E-3</v>
      </c>
      <c r="P21">
        <v>6.62E-3</v>
      </c>
      <c r="Q21">
        <v>6.4799999999999996E-3</v>
      </c>
      <c r="R21">
        <v>5.8700000000000002E-3</v>
      </c>
      <c r="S21">
        <v>5.77E-3</v>
      </c>
      <c r="T21">
        <v>5.6499999999999996E-3</v>
      </c>
      <c r="U21">
        <v>6.0600000000000003E-3</v>
      </c>
      <c r="V21">
        <v>5.7600000000000004E-3</v>
      </c>
      <c r="W21">
        <v>5.28E-3</v>
      </c>
      <c r="X21">
        <v>5.4099999999999999E-3</v>
      </c>
      <c r="Y21">
        <v>4.4799999999999996E-3</v>
      </c>
      <c r="Z21">
        <v>4.5500000000000002E-3</v>
      </c>
      <c r="AA21">
        <v>1.171E-2</v>
      </c>
      <c r="AB21">
        <v>8.1300000000000001E-3</v>
      </c>
      <c r="AC21">
        <v>9.2700000000000005E-3</v>
      </c>
      <c r="AD21">
        <v>7.3400000000000002E-3</v>
      </c>
      <c r="AE21">
        <v>8.4799999999999997E-3</v>
      </c>
      <c r="AG21">
        <v>1.1180000000000001E-2</v>
      </c>
      <c r="AH21">
        <v>1.1129999999999999E-2</v>
      </c>
      <c r="AI21">
        <v>1.3639999999999999E-2</v>
      </c>
      <c r="AK21">
        <v>9.1599999999999997E-3</v>
      </c>
      <c r="AL21">
        <v>9.8099999999999993E-3</v>
      </c>
      <c r="AM21">
        <v>1.1509999999999999E-2</v>
      </c>
      <c r="AN21">
        <v>1.2019999999999999E-2</v>
      </c>
      <c r="AO21">
        <v>1.9730000000000001E-2</v>
      </c>
      <c r="AP21">
        <v>1.1140000000000001E-2</v>
      </c>
      <c r="AR21">
        <v>1.1809999999999999E-2</v>
      </c>
      <c r="AS21">
        <v>1.2749999999999999E-2</v>
      </c>
      <c r="AT21">
        <v>1.034E-2</v>
      </c>
      <c r="AU21">
        <v>1.107E-2</v>
      </c>
      <c r="AV21">
        <v>1.5980000000000001E-2</v>
      </c>
      <c r="AW21">
        <v>1.184E-2</v>
      </c>
      <c r="AX21">
        <v>1.1310000000000001E-2</v>
      </c>
      <c r="AY21">
        <v>1.3129999999999999E-2</v>
      </c>
      <c r="AZ21">
        <v>1.132E-2</v>
      </c>
      <c r="BA21">
        <v>1.4E-2</v>
      </c>
      <c r="BB21">
        <v>9.3500000000000007E-3</v>
      </c>
      <c r="BC21">
        <v>1.0330000000000001E-2</v>
      </c>
      <c r="BD21">
        <v>1.111E-2</v>
      </c>
      <c r="BE21">
        <v>1.3769999999999999E-2</v>
      </c>
      <c r="BF21">
        <v>1.404E-2</v>
      </c>
      <c r="BG21">
        <v>1.0319999999999999E-2</v>
      </c>
      <c r="BH21">
        <v>1.192E-2</v>
      </c>
      <c r="BI21">
        <v>1.4659999999999999E-2</v>
      </c>
      <c r="BJ21">
        <v>1.0869999999999999E-2</v>
      </c>
      <c r="BK21">
        <v>1.073E-2</v>
      </c>
      <c r="BL21">
        <v>1.082E-2</v>
      </c>
      <c r="BM21">
        <v>1.03E-2</v>
      </c>
      <c r="BN21">
        <v>6.4200000000000004E-3</v>
      </c>
      <c r="BO21">
        <v>1.1639999999999999E-2</v>
      </c>
      <c r="BP21">
        <v>8.1700000000000002E-3</v>
      </c>
      <c r="BQ21">
        <v>7.0200000000000002E-3</v>
      </c>
      <c r="BR21">
        <v>8.7399999999999995E-3</v>
      </c>
      <c r="BS21">
        <v>1.321E-2</v>
      </c>
      <c r="BT21">
        <v>1.281E-2</v>
      </c>
      <c r="BU21">
        <v>1.167E-2</v>
      </c>
      <c r="BV21">
        <v>1.193E-2</v>
      </c>
      <c r="BW21">
        <v>1.1469999999999999E-2</v>
      </c>
      <c r="BX21">
        <v>1.102E-2</v>
      </c>
      <c r="BY21">
        <v>1.1509999999999999E-2</v>
      </c>
      <c r="BZ21">
        <v>1.0489999999999999E-2</v>
      </c>
      <c r="CA21">
        <v>1.119E-2</v>
      </c>
      <c r="CB21">
        <v>7.9799999999999992E-3</v>
      </c>
      <c r="CC21">
        <v>8.9599999999999992E-3</v>
      </c>
      <c r="CD21">
        <v>7.77E-3</v>
      </c>
      <c r="CE21">
        <v>6.6899999999999998E-3</v>
      </c>
      <c r="CF21">
        <v>6.5599999999999999E-3</v>
      </c>
      <c r="CG21">
        <v>6.4400000000000004E-3</v>
      </c>
      <c r="CH21">
        <v>6.4200000000000004E-3</v>
      </c>
      <c r="CI21">
        <v>6.4999999999999997E-3</v>
      </c>
      <c r="CJ21">
        <v>6.7099999999999998E-3</v>
      </c>
      <c r="CK21">
        <v>8.2100000000000003E-3</v>
      </c>
      <c r="CL21">
        <v>6.8999999999999999E-3</v>
      </c>
      <c r="CM21">
        <v>7.3099999999999997E-3</v>
      </c>
      <c r="CN21">
        <v>8.2900000000000005E-3</v>
      </c>
      <c r="CO21">
        <v>7.5700000000000003E-3</v>
      </c>
      <c r="CP21">
        <v>8.5699999999999995E-3</v>
      </c>
      <c r="CQ21">
        <v>7.2399999999999999E-3</v>
      </c>
      <c r="CR21">
        <v>7.3200000000000001E-3</v>
      </c>
      <c r="CS21">
        <v>8.4600000000000005E-3</v>
      </c>
      <c r="CT21">
        <v>8.9200000000000008E-3</v>
      </c>
      <c r="CU21">
        <v>6.9300000000000004E-3</v>
      </c>
      <c r="CV21">
        <v>6.6800000000000002E-3</v>
      </c>
      <c r="CW21">
        <v>7.3099999999999997E-3</v>
      </c>
      <c r="CX21">
        <v>7.45E-3</v>
      </c>
      <c r="CY21">
        <v>8.43E-3</v>
      </c>
      <c r="CZ21">
        <v>6.8999999999999999E-3</v>
      </c>
      <c r="DA21">
        <v>6.3099999999999996E-3</v>
      </c>
      <c r="DB21">
        <v>6.1700000000000001E-3</v>
      </c>
      <c r="DC21">
        <v>6.0699999999999999E-3</v>
      </c>
      <c r="DD21">
        <v>6.0000000000000001E-3</v>
      </c>
      <c r="DE21">
        <v>6.0800000000000003E-3</v>
      </c>
      <c r="DF21">
        <v>1.355E-2</v>
      </c>
      <c r="DG21">
        <v>7.8700000000000003E-3</v>
      </c>
      <c r="DH21">
        <v>1.242E-2</v>
      </c>
      <c r="DI21">
        <v>1.18E-2</v>
      </c>
      <c r="DJ21">
        <v>1.119E-2</v>
      </c>
      <c r="DK21">
        <v>1.031E-2</v>
      </c>
      <c r="DL21">
        <v>9.8399999999999998E-3</v>
      </c>
      <c r="DM21">
        <v>1.1220000000000001E-2</v>
      </c>
      <c r="DN21">
        <v>1.102E-2</v>
      </c>
      <c r="DO21">
        <v>1.0279999999999999E-2</v>
      </c>
      <c r="DQ21">
        <v>8.2799999999999992E-3</v>
      </c>
      <c r="DR21">
        <v>1.3169999999999999E-2</v>
      </c>
      <c r="DS21">
        <v>1.2619999999999999E-2</v>
      </c>
      <c r="DT21">
        <v>1.2019999999999999E-2</v>
      </c>
      <c r="DU21">
        <v>9.9399999999999992E-3</v>
      </c>
      <c r="DV21">
        <v>8.9200000000000008E-3</v>
      </c>
      <c r="DX21">
        <v>1.302E-2</v>
      </c>
      <c r="DY21">
        <v>1.1979999999999999E-2</v>
      </c>
      <c r="DZ21">
        <v>1.0109999999999999E-2</v>
      </c>
      <c r="EA21">
        <v>7.9100000000000004E-3</v>
      </c>
      <c r="EB21">
        <v>7.7600000000000004E-3</v>
      </c>
      <c r="EC21">
        <v>7.28E-3</v>
      </c>
      <c r="ED21">
        <v>2.6700000000000002E-2</v>
      </c>
      <c r="EF21">
        <v>2.546E-2</v>
      </c>
      <c r="EH21">
        <v>2.5319999999999999E-2</v>
      </c>
      <c r="EI21">
        <v>7.1399999999999996E-3</v>
      </c>
      <c r="EJ21">
        <v>6.7099999999999998E-3</v>
      </c>
      <c r="EK21">
        <v>7.0299999999999998E-3</v>
      </c>
      <c r="EL21">
        <v>8.0199999999999994E-3</v>
      </c>
      <c r="EM21">
        <v>8.6599999999999993E-3</v>
      </c>
      <c r="EN21">
        <v>9.0100000000000006E-3</v>
      </c>
      <c r="EO21">
        <v>9.2899999999999996E-3</v>
      </c>
      <c r="EP21">
        <v>9.4199999999999996E-3</v>
      </c>
      <c r="EQ21">
        <v>9.5700000000000004E-3</v>
      </c>
      <c r="ES21">
        <v>1.12E-2</v>
      </c>
      <c r="ET21">
        <v>1.324E-2</v>
      </c>
      <c r="EU21">
        <v>1.4E-2</v>
      </c>
      <c r="EV21">
        <v>1.2869999999999999E-2</v>
      </c>
      <c r="EW21">
        <v>1.189E-2</v>
      </c>
      <c r="EX21">
        <v>1.26E-2</v>
      </c>
      <c r="EY21">
        <v>7.4599999999999996E-3</v>
      </c>
      <c r="EZ21">
        <v>7.7200000000000003E-3</v>
      </c>
      <c r="FA21">
        <v>1.017E-2</v>
      </c>
      <c r="FB21">
        <v>1.0540000000000001E-2</v>
      </c>
      <c r="FC21">
        <v>9.7400000000000004E-3</v>
      </c>
      <c r="FD21">
        <v>8.9300000000000004E-3</v>
      </c>
      <c r="FE21">
        <v>1.038E-2</v>
      </c>
      <c r="FF21">
        <v>6.1399999999999996E-3</v>
      </c>
      <c r="FG21">
        <v>9.7800000000000005E-3</v>
      </c>
      <c r="FH21">
        <v>1.123E-2</v>
      </c>
      <c r="FI21">
        <v>1.0019999999999999E-2</v>
      </c>
      <c r="FJ21">
        <v>9.7199999999999995E-3</v>
      </c>
      <c r="FK21">
        <v>9.7599999999999996E-3</v>
      </c>
      <c r="FL21">
        <v>7.43E-3</v>
      </c>
      <c r="FN21">
        <v>1.1310000000000001E-2</v>
      </c>
      <c r="FO21">
        <v>9.4900000000000002E-3</v>
      </c>
      <c r="FP21">
        <v>8.7899999999999992E-3</v>
      </c>
      <c r="FQ21">
        <v>1.328E-2</v>
      </c>
      <c r="FR21">
        <v>1.528E-2</v>
      </c>
      <c r="FS21">
        <v>1.502E-2</v>
      </c>
      <c r="FT21">
        <v>1.308E-2</v>
      </c>
      <c r="FU21">
        <v>1.17E-2</v>
      </c>
      <c r="FV21">
        <v>1.0699999999999999E-2</v>
      </c>
      <c r="FW21">
        <v>1.0699999999999999E-2</v>
      </c>
      <c r="FX21">
        <v>1.1220000000000001E-2</v>
      </c>
      <c r="FY21">
        <v>1.2019999999999999E-2</v>
      </c>
      <c r="FZ21">
        <v>1.052E-2</v>
      </c>
      <c r="GA21">
        <v>1.1379999999999999E-2</v>
      </c>
      <c r="GB21">
        <v>1.038E-2</v>
      </c>
      <c r="GC21">
        <v>1.129E-2</v>
      </c>
      <c r="GD21">
        <v>1.0200000000000001E-2</v>
      </c>
      <c r="GE21">
        <v>1.103E-2</v>
      </c>
      <c r="GF21">
        <v>9.3200000000000002E-3</v>
      </c>
      <c r="GG21">
        <v>9.3799999999999994E-3</v>
      </c>
      <c r="GH21">
        <v>9.4999999999999998E-3</v>
      </c>
      <c r="GI21">
        <v>9.9699999999999997E-3</v>
      </c>
      <c r="GJ21">
        <v>1.0160000000000001E-2</v>
      </c>
      <c r="GK21">
        <v>1.038E-2</v>
      </c>
      <c r="GL21">
        <v>1.0829999999999999E-2</v>
      </c>
      <c r="GM21">
        <v>9.3799999999999994E-3</v>
      </c>
      <c r="GO21">
        <v>1.0030000000000001E-2</v>
      </c>
      <c r="GP21">
        <v>1.0710000000000001E-2</v>
      </c>
      <c r="GQ21">
        <v>1.15E-2</v>
      </c>
      <c r="GR21">
        <v>1.303E-2</v>
      </c>
      <c r="GS21">
        <v>9.9500000000000005E-3</v>
      </c>
      <c r="GT21">
        <v>1.065E-2</v>
      </c>
      <c r="GV21">
        <v>1.068E-2</v>
      </c>
      <c r="GW21">
        <v>1.155E-2</v>
      </c>
      <c r="GX21">
        <v>1.0019999999999999E-2</v>
      </c>
      <c r="GY21">
        <v>1.436E-2</v>
      </c>
      <c r="GZ21">
        <v>1.158E-2</v>
      </c>
      <c r="HC21">
        <v>9.4199999999999996E-3</v>
      </c>
      <c r="HE21">
        <v>1.052E-2</v>
      </c>
      <c r="HF21">
        <v>9.8099999999999993E-3</v>
      </c>
      <c r="HG21">
        <v>8.4499999999999992E-3</v>
      </c>
      <c r="HH21">
        <v>8.6400000000000001E-3</v>
      </c>
      <c r="HI21">
        <v>1.1310000000000001E-2</v>
      </c>
      <c r="HJ21">
        <v>5.8199999999999997E-3</v>
      </c>
      <c r="HK21">
        <v>1.235E-2</v>
      </c>
      <c r="HL21">
        <v>1.1429999999999999E-2</v>
      </c>
      <c r="HM21">
        <v>1.1390000000000001E-2</v>
      </c>
      <c r="HN21">
        <v>1.111E-2</v>
      </c>
      <c r="HO21">
        <v>1.14E-2</v>
      </c>
      <c r="HP21">
        <v>6.77E-3</v>
      </c>
      <c r="HQ21">
        <v>1.3010000000000001E-2</v>
      </c>
      <c r="HR21">
        <v>1.49E-2</v>
      </c>
      <c r="HS21">
        <v>1.5679999999999999E-2</v>
      </c>
      <c r="HT21">
        <v>1.099E-2</v>
      </c>
      <c r="HU21">
        <v>7.1500000000000001E-3</v>
      </c>
      <c r="HV21">
        <v>9.5499999999999995E-3</v>
      </c>
      <c r="HW21">
        <v>7.4900000000000001E-3</v>
      </c>
      <c r="HX21">
        <v>1.413E-2</v>
      </c>
      <c r="HY21">
        <v>1.2840000000000001E-2</v>
      </c>
      <c r="HZ21">
        <v>7.1999999999999998E-3</v>
      </c>
      <c r="IA21">
        <v>1.0840000000000001E-2</v>
      </c>
      <c r="IB21">
        <v>1.277E-2</v>
      </c>
      <c r="IC21">
        <v>9.6799999999999994E-3</v>
      </c>
      <c r="ID21">
        <v>1.0030000000000001E-2</v>
      </c>
      <c r="IE21">
        <v>9.0399999999999994E-3</v>
      </c>
      <c r="IF21">
        <v>8.2299999999999995E-3</v>
      </c>
      <c r="IG21">
        <v>9.2099999999999994E-3</v>
      </c>
      <c r="IH21">
        <v>1.051E-2</v>
      </c>
      <c r="II21">
        <v>7.5799999999999999E-3</v>
      </c>
      <c r="IJ21">
        <v>8.0199999999999994E-3</v>
      </c>
      <c r="IK21">
        <v>8.6899999999999998E-3</v>
      </c>
      <c r="IL21">
        <v>9.75E-3</v>
      </c>
      <c r="IM21">
        <v>1.074E-2</v>
      </c>
      <c r="IN21">
        <v>1.179E-2</v>
      </c>
      <c r="IO21">
        <v>1.278E-2</v>
      </c>
      <c r="IP21">
        <v>1.6389999999999998E-2</v>
      </c>
      <c r="IQ21">
        <v>1.8329999999999999E-2</v>
      </c>
      <c r="IR21">
        <v>2.0570000000000001E-2</v>
      </c>
      <c r="IS21">
        <v>5.9199999999999999E-3</v>
      </c>
      <c r="IT21">
        <v>8.8299999999999993E-3</v>
      </c>
      <c r="IU21">
        <v>1.0529999999999999E-2</v>
      </c>
      <c r="IV21">
        <v>6.5700000000000003E-3</v>
      </c>
      <c r="IW21">
        <v>7.9600000000000001E-3</v>
      </c>
      <c r="IX21">
        <v>5.5300000000000002E-3</v>
      </c>
      <c r="IY21">
        <v>5.6299999999999996E-3</v>
      </c>
      <c r="IZ21">
        <v>5.6800000000000002E-3</v>
      </c>
      <c r="JA21">
        <v>6.2100000000000002E-3</v>
      </c>
      <c r="JB21">
        <v>6.6299999999999996E-3</v>
      </c>
      <c r="JC21">
        <v>7.2100000000000003E-3</v>
      </c>
      <c r="JD21">
        <v>7.5700000000000003E-3</v>
      </c>
      <c r="JE21">
        <v>6.5100000000000002E-3</v>
      </c>
      <c r="JF21">
        <v>7.3899999999999999E-3</v>
      </c>
      <c r="JG21">
        <v>7.8799999999999999E-3</v>
      </c>
      <c r="JH21">
        <v>1.6209999999999999E-2</v>
      </c>
      <c r="JI21">
        <v>1.149E-2</v>
      </c>
      <c r="JJ21">
        <v>1.004E-2</v>
      </c>
      <c r="JL21">
        <v>1.078E-2</v>
      </c>
      <c r="JM21">
        <v>1.044E-2</v>
      </c>
      <c r="JQ21">
        <v>7.26E-3</v>
      </c>
      <c r="JR21">
        <v>7.9299999999999995E-3</v>
      </c>
      <c r="JS21">
        <v>7.2300000000000003E-3</v>
      </c>
      <c r="JT21">
        <v>8.0599999999999995E-3</v>
      </c>
      <c r="JU21">
        <v>8.3000000000000001E-3</v>
      </c>
      <c r="JV21">
        <v>9.6200000000000001E-3</v>
      </c>
      <c r="JW21">
        <v>9.5700000000000004E-3</v>
      </c>
      <c r="JX21">
        <v>9.0600000000000003E-3</v>
      </c>
      <c r="JY21">
        <v>1.0109999999999999E-2</v>
      </c>
      <c r="JZ21">
        <v>1.125E-2</v>
      </c>
      <c r="KA21">
        <v>1.157E-2</v>
      </c>
      <c r="KB21">
        <v>7.5199999999999998E-3</v>
      </c>
      <c r="KC21">
        <v>7.8799999999999999E-3</v>
      </c>
      <c r="KD21">
        <v>8.5100000000000002E-3</v>
      </c>
      <c r="KE21">
        <v>9.1900000000000003E-3</v>
      </c>
      <c r="KF21">
        <v>1.102E-2</v>
      </c>
      <c r="KG21">
        <v>1.3140000000000001E-2</v>
      </c>
      <c r="KH21">
        <v>9.8499999999999994E-3</v>
      </c>
      <c r="KI21">
        <v>1.1950000000000001E-2</v>
      </c>
      <c r="KJ21">
        <v>1.193E-2</v>
      </c>
      <c r="KK21">
        <v>1.196E-2</v>
      </c>
      <c r="KL21">
        <v>1.197E-2</v>
      </c>
      <c r="KM21">
        <v>1.214E-2</v>
      </c>
      <c r="KN21">
        <v>7.1500000000000001E-3</v>
      </c>
      <c r="KO21">
        <v>7.5799999999999999E-3</v>
      </c>
      <c r="KP21">
        <v>1.065E-2</v>
      </c>
      <c r="KQ21">
        <v>1.098E-2</v>
      </c>
      <c r="KR21">
        <v>1.2489999999999999E-2</v>
      </c>
      <c r="KS21">
        <v>1.0449999999999999E-2</v>
      </c>
      <c r="KT21">
        <v>1.1440000000000001E-2</v>
      </c>
      <c r="KU21">
        <v>6.6100000000000004E-3</v>
      </c>
      <c r="KV21">
        <v>6.28E-3</v>
      </c>
      <c r="KW21">
        <v>6.7000000000000002E-3</v>
      </c>
      <c r="KX21">
        <v>1.523E-2</v>
      </c>
      <c r="KY21">
        <v>5.8700000000000002E-3</v>
      </c>
      <c r="KZ21">
        <v>7.3099999999999997E-3</v>
      </c>
      <c r="LA21">
        <v>9.6100000000000005E-3</v>
      </c>
      <c r="LB21">
        <v>9.0100000000000006E-3</v>
      </c>
      <c r="LC21">
        <v>9.3399999999999993E-3</v>
      </c>
      <c r="LD21">
        <v>9.3399999999999993E-3</v>
      </c>
      <c r="LE21">
        <v>1.274E-2</v>
      </c>
      <c r="LG21">
        <v>1.4109999999999999E-2</v>
      </c>
      <c r="LI21">
        <v>1.2619999999999999E-2</v>
      </c>
      <c r="LJ21">
        <v>1.289E-2</v>
      </c>
      <c r="LK21">
        <v>1.2880000000000001E-2</v>
      </c>
      <c r="LL21">
        <v>1.1209999999999999E-2</v>
      </c>
      <c r="LM21">
        <v>7.5500000000000003E-3</v>
      </c>
      <c r="LO21">
        <v>1.2919999999999999E-2</v>
      </c>
      <c r="LP21">
        <v>1.0189999999999999E-2</v>
      </c>
      <c r="LR21">
        <v>1.289E-2</v>
      </c>
      <c r="LS21">
        <v>1.44E-2</v>
      </c>
      <c r="LT21">
        <v>1.0030000000000001E-2</v>
      </c>
      <c r="LV21">
        <v>2.001E-2</v>
      </c>
      <c r="LW21">
        <v>5.8300000000000001E-3</v>
      </c>
      <c r="LX21">
        <v>6.3600000000000002E-3</v>
      </c>
      <c r="MA21">
        <v>1.065E-2</v>
      </c>
      <c r="MB21">
        <v>5.4999999999999997E-3</v>
      </c>
      <c r="MC21">
        <v>9.8700000000000003E-3</v>
      </c>
      <c r="MD21">
        <v>1.2789999999999999E-2</v>
      </c>
      <c r="ME21">
        <v>1.685E-2</v>
      </c>
      <c r="MF21">
        <v>1.9810000000000001E-2</v>
      </c>
      <c r="MJ21">
        <v>1.3180000000000001E-2</v>
      </c>
      <c r="MK21">
        <v>1.451E-2</v>
      </c>
      <c r="ML21">
        <v>1.6119999999999999E-2</v>
      </c>
      <c r="MM21">
        <v>1.325E-2</v>
      </c>
      <c r="MN21">
        <v>7.0800000000000004E-3</v>
      </c>
      <c r="MO21">
        <v>7.9600000000000001E-3</v>
      </c>
      <c r="MP21">
        <v>8.0000000000000002E-3</v>
      </c>
      <c r="MQ21">
        <v>6.7799999999999996E-3</v>
      </c>
      <c r="MR21">
        <v>8.3099999999999997E-3</v>
      </c>
      <c r="MS21">
        <v>9.7699999999999992E-3</v>
      </c>
      <c r="MT21">
        <v>1.0279999999999999E-2</v>
      </c>
      <c r="MU21">
        <v>6.4999999999999997E-3</v>
      </c>
      <c r="MV21">
        <v>7.5900000000000004E-3</v>
      </c>
      <c r="MW21">
        <v>8.1200000000000005E-3</v>
      </c>
      <c r="MX21">
        <v>8.3999999999999995E-3</v>
      </c>
      <c r="MY21">
        <v>9.2300000000000004E-3</v>
      </c>
      <c r="MZ21">
        <v>1.014E-2</v>
      </c>
      <c r="NA21">
        <v>9.1900000000000003E-3</v>
      </c>
      <c r="NB21">
        <v>9.5099999999999994E-3</v>
      </c>
      <c r="ND21">
        <v>1.1639999999999999E-2</v>
      </c>
      <c r="NE21">
        <v>1.171E-2</v>
      </c>
      <c r="NF21">
        <v>1.133E-2</v>
      </c>
      <c r="NG21">
        <v>6.7000000000000002E-3</v>
      </c>
      <c r="NH21">
        <v>5.3E-3</v>
      </c>
      <c r="NI21">
        <v>5.9199999999999999E-3</v>
      </c>
      <c r="NJ21">
        <v>6.7000000000000002E-3</v>
      </c>
      <c r="NK21">
        <v>5.8399999999999997E-3</v>
      </c>
      <c r="NL21">
        <v>6.3E-3</v>
      </c>
      <c r="NM21">
        <v>6.7499999999999999E-3</v>
      </c>
      <c r="NN21">
        <v>7.1300000000000001E-3</v>
      </c>
      <c r="NO21">
        <v>7.4799999999999997E-3</v>
      </c>
      <c r="NP21">
        <v>5.8799999999999998E-3</v>
      </c>
      <c r="NQ21">
        <v>6.3899999999999998E-3</v>
      </c>
      <c r="NR21">
        <v>6.3800000000000003E-3</v>
      </c>
      <c r="NS21">
        <v>6.8199999999999997E-3</v>
      </c>
      <c r="NT21">
        <v>7.5199999999999998E-3</v>
      </c>
      <c r="NU21">
        <v>5.9800000000000001E-3</v>
      </c>
      <c r="NV21">
        <v>6.43E-3</v>
      </c>
      <c r="NW21">
        <v>6.43E-3</v>
      </c>
      <c r="NX21">
        <v>6.7499999999999999E-3</v>
      </c>
      <c r="NY21">
        <v>6.8900000000000003E-3</v>
      </c>
      <c r="NZ21">
        <v>7.3000000000000001E-3</v>
      </c>
      <c r="OA21">
        <v>7.62E-3</v>
      </c>
      <c r="OB21">
        <v>6.0400000000000002E-3</v>
      </c>
      <c r="OC21">
        <v>6.4999999999999997E-3</v>
      </c>
      <c r="OD21">
        <v>6.6600000000000001E-3</v>
      </c>
      <c r="OE21">
        <v>6.6600000000000001E-3</v>
      </c>
      <c r="OF21">
        <v>1.048E-2</v>
      </c>
      <c r="OG21">
        <v>6.9800000000000001E-3</v>
      </c>
      <c r="OH21">
        <v>7.1599999999999997E-3</v>
      </c>
      <c r="OI21">
        <v>7.7299999999999999E-3</v>
      </c>
      <c r="OJ21">
        <v>8.0599999999999995E-3</v>
      </c>
      <c r="OK21">
        <v>8.2900000000000005E-3</v>
      </c>
      <c r="OL21">
        <v>8.6300000000000005E-3</v>
      </c>
      <c r="OM21">
        <v>6.1500000000000001E-3</v>
      </c>
      <c r="ON21">
        <v>6.6100000000000004E-3</v>
      </c>
      <c r="OO21">
        <v>7.0600000000000003E-3</v>
      </c>
      <c r="OP21">
        <v>7.7799999999999996E-3</v>
      </c>
      <c r="OQ21">
        <v>8.1099999999999992E-3</v>
      </c>
      <c r="OR21">
        <v>8.3800000000000003E-3</v>
      </c>
      <c r="OS21">
        <v>9.5700000000000004E-3</v>
      </c>
      <c r="OT21">
        <v>6.4900000000000001E-3</v>
      </c>
      <c r="OU21">
        <v>6.7499999999999999E-3</v>
      </c>
      <c r="OV21">
        <v>5.1399999999999996E-3</v>
      </c>
      <c r="OW21">
        <v>4.6600000000000001E-3</v>
      </c>
      <c r="OX21">
        <v>4.5100000000000001E-3</v>
      </c>
      <c r="OY21">
        <v>4.5399999999999998E-3</v>
      </c>
      <c r="OZ21">
        <v>5.4599999999999996E-3</v>
      </c>
      <c r="PA21">
        <v>1.239E-2</v>
      </c>
      <c r="PB21">
        <v>1.371E-2</v>
      </c>
      <c r="PC21">
        <v>1.005E-2</v>
      </c>
      <c r="PD21">
        <v>8.5100000000000002E-3</v>
      </c>
      <c r="PE21">
        <v>7.7799999999999996E-3</v>
      </c>
      <c r="PG21">
        <v>7.5100000000000002E-3</v>
      </c>
      <c r="PI21">
        <v>9.4500000000000001E-3</v>
      </c>
      <c r="PJ21">
        <v>8.7799999999999996E-3</v>
      </c>
      <c r="PK21">
        <v>7.7499999999999999E-3</v>
      </c>
      <c r="PL21">
        <v>6.5100000000000002E-3</v>
      </c>
      <c r="PM21">
        <v>6.3499999999999997E-3</v>
      </c>
      <c r="PN21">
        <v>7.1000000000000004E-3</v>
      </c>
      <c r="PO21">
        <v>7.6099999999999996E-3</v>
      </c>
      <c r="PP21">
        <v>8.0000000000000002E-3</v>
      </c>
      <c r="PQ21">
        <v>7.8700000000000003E-3</v>
      </c>
      <c r="PR21">
        <v>6.79E-3</v>
      </c>
      <c r="PS21">
        <v>8.6E-3</v>
      </c>
      <c r="PT21">
        <v>8.3000000000000001E-3</v>
      </c>
      <c r="PU21">
        <v>5.9100000000000003E-3</v>
      </c>
      <c r="PV21">
        <v>7.7299999999999999E-3</v>
      </c>
      <c r="PW21">
        <v>9.0799999999999995E-3</v>
      </c>
      <c r="PY21">
        <v>1.234E-2</v>
      </c>
      <c r="PZ21">
        <v>1.4590000000000001E-2</v>
      </c>
      <c r="QA21">
        <v>5.4400000000000004E-3</v>
      </c>
      <c r="QB21">
        <v>5.6100000000000004E-3</v>
      </c>
      <c r="QC21">
        <v>6.6800000000000002E-3</v>
      </c>
      <c r="QD21">
        <v>6.0699999999999999E-3</v>
      </c>
      <c r="QE21">
        <v>5.94E-3</v>
      </c>
      <c r="QF21">
        <v>6.1199999999999996E-3</v>
      </c>
      <c r="QG21">
        <v>6.5500000000000003E-3</v>
      </c>
      <c r="QH21">
        <v>6.0899999999999999E-3</v>
      </c>
      <c r="QI21">
        <v>6.28E-3</v>
      </c>
      <c r="QJ21">
        <v>6.4599999999999996E-3</v>
      </c>
      <c r="QK21">
        <v>6.0299999999999998E-3</v>
      </c>
      <c r="QL21">
        <v>5.7800000000000004E-3</v>
      </c>
      <c r="QM21">
        <v>6.6600000000000001E-3</v>
      </c>
      <c r="QN21">
        <v>8.8900000000000003E-3</v>
      </c>
      <c r="QO21">
        <v>8.3300000000000006E-3</v>
      </c>
      <c r="QP21">
        <v>8.26E-3</v>
      </c>
      <c r="QQ21">
        <v>8.3000000000000001E-3</v>
      </c>
      <c r="QR21">
        <v>1.001E-2</v>
      </c>
      <c r="QS21">
        <v>1.0200000000000001E-2</v>
      </c>
      <c r="QT21">
        <v>8.1899999999999994E-3</v>
      </c>
      <c r="QU21">
        <v>8.3800000000000003E-3</v>
      </c>
      <c r="QV21">
        <v>8.5699999999999995E-3</v>
      </c>
      <c r="QW21">
        <v>7.8700000000000003E-3</v>
      </c>
      <c r="QX21">
        <v>8.09E-3</v>
      </c>
      <c r="QY21">
        <v>7.45E-3</v>
      </c>
      <c r="RA21">
        <v>1.009E-2</v>
      </c>
      <c r="RB21">
        <v>1.247E-2</v>
      </c>
      <c r="RC21">
        <v>1.044E-2</v>
      </c>
      <c r="RD21">
        <v>2.0330000000000001E-2</v>
      </c>
      <c r="RE21">
        <v>2.1659999999999999E-2</v>
      </c>
      <c r="RG21">
        <v>7.5799999999999999E-3</v>
      </c>
      <c r="RH21">
        <v>6.7600000000000004E-3</v>
      </c>
      <c r="RI21">
        <v>1.163E-2</v>
      </c>
      <c r="RJ21">
        <v>1.289E-2</v>
      </c>
      <c r="RK21">
        <v>1.2030000000000001E-2</v>
      </c>
      <c r="RL21">
        <v>1.0829999999999999E-2</v>
      </c>
      <c r="RM21">
        <v>6.13E-3</v>
      </c>
      <c r="RN21">
        <v>6.0899999999999999E-3</v>
      </c>
      <c r="RO21">
        <v>6.0899999999999999E-3</v>
      </c>
      <c r="RP21">
        <v>5.7600000000000004E-3</v>
      </c>
      <c r="RQ21">
        <v>6.2300000000000003E-3</v>
      </c>
      <c r="RR21">
        <v>5.9199999999999999E-3</v>
      </c>
      <c r="RS21">
        <v>6.0800000000000003E-3</v>
      </c>
      <c r="RT21">
        <v>5.4299999999999999E-3</v>
      </c>
      <c r="RU21">
        <v>5.9300000000000004E-3</v>
      </c>
      <c r="RV21">
        <v>6.7200000000000003E-3</v>
      </c>
      <c r="RW21">
        <v>7.5300000000000002E-3</v>
      </c>
      <c r="RX21">
        <v>6.7799999999999996E-3</v>
      </c>
      <c r="RY21">
        <v>5.3899999999999998E-3</v>
      </c>
      <c r="RZ21">
        <v>8.8400000000000006E-3</v>
      </c>
      <c r="SA21">
        <v>1.685E-2</v>
      </c>
      <c r="SB21">
        <v>1.541E-2</v>
      </c>
      <c r="SC21">
        <v>8.9499999999999996E-3</v>
      </c>
      <c r="SD21">
        <v>8.9099999999999995E-3</v>
      </c>
      <c r="SE21">
        <v>8.0400000000000003E-3</v>
      </c>
      <c r="SF21">
        <v>8.8900000000000003E-3</v>
      </c>
      <c r="SG21">
        <v>1.1469999999999999E-2</v>
      </c>
      <c r="SH21">
        <v>1.4109999999999999E-2</v>
      </c>
      <c r="SI21">
        <v>8.2400000000000008E-3</v>
      </c>
      <c r="SJ21">
        <v>6.5900000000000004E-3</v>
      </c>
      <c r="SK21">
        <v>6.0499999999999998E-3</v>
      </c>
      <c r="SL21">
        <v>6.0499999999999998E-3</v>
      </c>
      <c r="SM21">
        <v>5.96E-3</v>
      </c>
      <c r="SN21">
        <v>5.5500000000000002E-3</v>
      </c>
      <c r="SO21">
        <v>5.5500000000000002E-3</v>
      </c>
      <c r="SP21">
        <v>6.6400000000000001E-3</v>
      </c>
      <c r="SQ21">
        <v>6.9899999999999997E-3</v>
      </c>
      <c r="SR21">
        <v>6.4599999999999996E-3</v>
      </c>
      <c r="SS21">
        <v>6.0800000000000003E-3</v>
      </c>
      <c r="ST21">
        <v>6.0499999999999998E-3</v>
      </c>
      <c r="SU21">
        <v>6.4400000000000004E-3</v>
      </c>
      <c r="SV21">
        <v>6.3099999999999996E-3</v>
      </c>
      <c r="SW21">
        <v>6.4000000000000003E-3</v>
      </c>
      <c r="SX21">
        <v>7.6899999999999998E-3</v>
      </c>
      <c r="SY21">
        <v>6.1799999999999997E-3</v>
      </c>
      <c r="SZ21">
        <v>6.4400000000000004E-3</v>
      </c>
      <c r="TA21">
        <v>6.7099999999999998E-3</v>
      </c>
      <c r="TB21">
        <v>6.6499999999999997E-3</v>
      </c>
      <c r="TC21">
        <v>5.7099999999999998E-3</v>
      </c>
      <c r="TD21">
        <v>8.0199999999999994E-3</v>
      </c>
      <c r="TE21">
        <v>7.8899999999999994E-3</v>
      </c>
      <c r="TF21">
        <v>7.9699999999999997E-3</v>
      </c>
      <c r="TG21">
        <v>6.8399999999999997E-3</v>
      </c>
      <c r="TH21">
        <v>8.9899999999999997E-3</v>
      </c>
      <c r="TJ21">
        <v>6.4999999999999997E-3</v>
      </c>
      <c r="TK21">
        <v>5.9500000000000004E-3</v>
      </c>
      <c r="TL21">
        <v>5.5500000000000002E-3</v>
      </c>
      <c r="TM21">
        <v>5.11E-3</v>
      </c>
      <c r="TN21">
        <v>6.1999999999999998E-3</v>
      </c>
      <c r="TO21">
        <v>6.6E-3</v>
      </c>
      <c r="TP21">
        <v>6.2300000000000003E-3</v>
      </c>
      <c r="TQ21">
        <v>5.64E-3</v>
      </c>
      <c r="TR21">
        <v>7.5199999999999998E-3</v>
      </c>
      <c r="TS21">
        <v>8.6999999999999994E-3</v>
      </c>
      <c r="TT21">
        <v>8.4700000000000001E-3</v>
      </c>
      <c r="TU21">
        <v>7.4999999999999997E-3</v>
      </c>
      <c r="TV21">
        <v>7.4000000000000003E-3</v>
      </c>
      <c r="TW21">
        <v>5.9100000000000003E-3</v>
      </c>
      <c r="TX21">
        <v>5.8100000000000001E-3</v>
      </c>
      <c r="TY21">
        <v>5.1399999999999996E-3</v>
      </c>
      <c r="TZ21">
        <v>5.6499999999999996E-3</v>
      </c>
      <c r="UA21">
        <v>4.9500000000000004E-3</v>
      </c>
      <c r="UB21">
        <v>5.94E-3</v>
      </c>
      <c r="UC21">
        <v>5.7200000000000003E-3</v>
      </c>
      <c r="UD21">
        <v>5.7000000000000002E-3</v>
      </c>
      <c r="UE21">
        <v>5.7499999999999999E-3</v>
      </c>
      <c r="UF21">
        <v>6.28E-3</v>
      </c>
      <c r="UG21">
        <v>6.1399999999999996E-3</v>
      </c>
      <c r="UH21">
        <v>6.2199999999999998E-3</v>
      </c>
      <c r="UI21">
        <v>6.5900000000000004E-3</v>
      </c>
      <c r="UJ21">
        <v>6.3699999999999998E-3</v>
      </c>
      <c r="UK21">
        <v>5.7499999999999999E-3</v>
      </c>
      <c r="UL21">
        <v>6.2199999999999998E-3</v>
      </c>
      <c r="UM21">
        <v>6.7000000000000002E-3</v>
      </c>
      <c r="UN21">
        <v>5.6899999999999997E-3</v>
      </c>
      <c r="UO21">
        <v>6.1500000000000001E-3</v>
      </c>
      <c r="UP21">
        <v>8.3199999999999993E-3</v>
      </c>
      <c r="UQ21">
        <v>5.6499999999999996E-3</v>
      </c>
      <c r="UR21">
        <v>5.8900000000000003E-3</v>
      </c>
      <c r="US21">
        <v>6.0899999999999999E-3</v>
      </c>
      <c r="UT21">
        <v>5.7000000000000002E-3</v>
      </c>
      <c r="UU21">
        <v>5.8100000000000001E-3</v>
      </c>
      <c r="UV21">
        <v>6.0299999999999998E-3</v>
      </c>
      <c r="UW21">
        <v>8.9800000000000001E-3</v>
      </c>
      <c r="UX21">
        <v>6.6400000000000001E-3</v>
      </c>
      <c r="VA21">
        <v>9.6699999999999998E-3</v>
      </c>
      <c r="VB21">
        <v>7.3699999999999998E-3</v>
      </c>
      <c r="VC21">
        <v>9.2399999999999999E-3</v>
      </c>
      <c r="VD21">
        <v>1.9210000000000001E-2</v>
      </c>
      <c r="VE21">
        <v>1.393E-2</v>
      </c>
      <c r="VF21">
        <v>2.1930000000000002E-2</v>
      </c>
      <c r="VG21">
        <v>1.491E-2</v>
      </c>
      <c r="VH21">
        <v>1.042E-2</v>
      </c>
    </row>
    <row r="22" spans="1:581" x14ac:dyDescent="0.25">
      <c r="A22">
        <v>475000</v>
      </c>
      <c r="B22">
        <v>4.9500000000000004E-3</v>
      </c>
      <c r="C22">
        <v>4.8500000000000001E-3</v>
      </c>
      <c r="D22">
        <v>4.6899999999999997E-3</v>
      </c>
      <c r="E22">
        <v>4.5799999999999999E-3</v>
      </c>
      <c r="F22">
        <v>4.6499999999999996E-3</v>
      </c>
      <c r="G22">
        <v>5.0000000000000001E-3</v>
      </c>
      <c r="H22">
        <v>4.7200000000000002E-3</v>
      </c>
      <c r="I22">
        <v>4.6299999999999996E-3</v>
      </c>
      <c r="J22">
        <v>4.5599999999999998E-3</v>
      </c>
      <c r="K22">
        <v>4.9300000000000004E-3</v>
      </c>
      <c r="L22">
        <v>4.8199999999999996E-3</v>
      </c>
      <c r="M22">
        <v>4.7299999999999998E-3</v>
      </c>
      <c r="N22">
        <v>4.6699999999999997E-3</v>
      </c>
      <c r="O22">
        <v>6.77E-3</v>
      </c>
      <c r="P22">
        <v>6.5399999999999998E-3</v>
      </c>
      <c r="Q22">
        <v>6.4000000000000003E-3</v>
      </c>
      <c r="R22">
        <v>5.7999999999999996E-3</v>
      </c>
      <c r="S22">
        <v>5.6899999999999997E-3</v>
      </c>
      <c r="T22">
        <v>5.5599999999999998E-3</v>
      </c>
      <c r="U22">
        <v>6.0400000000000002E-3</v>
      </c>
      <c r="V22">
        <v>5.64E-3</v>
      </c>
      <c r="W22">
        <v>5.3E-3</v>
      </c>
      <c r="X22">
        <v>5.3400000000000001E-3</v>
      </c>
      <c r="Y22">
        <v>4.4299999999999999E-3</v>
      </c>
      <c r="Z22">
        <v>4.4799999999999996E-3</v>
      </c>
      <c r="AA22">
        <v>1.125E-2</v>
      </c>
      <c r="AB22">
        <v>8.0000000000000002E-3</v>
      </c>
      <c r="AC22">
        <v>9.11E-3</v>
      </c>
      <c r="AD22">
        <v>7.1799999999999998E-3</v>
      </c>
      <c r="AE22">
        <v>8.3000000000000001E-3</v>
      </c>
      <c r="AG22">
        <v>1.068E-2</v>
      </c>
      <c r="AH22">
        <v>1.06E-2</v>
      </c>
      <c r="AI22">
        <v>1.304E-2</v>
      </c>
      <c r="AJ22">
        <v>8.5400000000000007E-3</v>
      </c>
      <c r="AK22">
        <v>8.8000000000000005E-3</v>
      </c>
      <c r="AL22">
        <v>9.5499999999999995E-3</v>
      </c>
      <c r="AM22">
        <v>1.0959999999999999E-2</v>
      </c>
      <c r="AN22">
        <v>1.141E-2</v>
      </c>
      <c r="AO22">
        <v>1.9619999999999999E-2</v>
      </c>
      <c r="AP22">
        <v>1.072E-2</v>
      </c>
      <c r="AR22">
        <v>1.1440000000000001E-2</v>
      </c>
      <c r="AS22">
        <v>1.2279999999999999E-2</v>
      </c>
      <c r="AT22">
        <v>9.9500000000000005E-3</v>
      </c>
      <c r="AU22">
        <v>1.0630000000000001E-2</v>
      </c>
      <c r="AW22">
        <v>1.137E-2</v>
      </c>
      <c r="AX22">
        <v>1.086E-2</v>
      </c>
      <c r="AY22">
        <v>1.2449999999999999E-2</v>
      </c>
      <c r="AZ22">
        <v>1.085E-2</v>
      </c>
      <c r="BB22">
        <v>9.1000000000000004E-3</v>
      </c>
      <c r="BC22">
        <v>1.0160000000000001E-2</v>
      </c>
      <c r="BD22">
        <v>1.0789999999999999E-2</v>
      </c>
      <c r="BE22">
        <v>1.3339999999999999E-2</v>
      </c>
      <c r="BF22">
        <v>1.372E-2</v>
      </c>
      <c r="BG22">
        <v>9.9500000000000005E-3</v>
      </c>
      <c r="BH22">
        <v>1.1480000000000001E-2</v>
      </c>
      <c r="BI22">
        <v>1.4290000000000001E-2</v>
      </c>
      <c r="BJ22">
        <v>1.0489999999999999E-2</v>
      </c>
      <c r="BK22">
        <v>1.043E-2</v>
      </c>
      <c r="BL22">
        <v>1.0540000000000001E-2</v>
      </c>
      <c r="BN22">
        <v>6.2399999999999999E-3</v>
      </c>
      <c r="BO22">
        <v>1.1390000000000001E-2</v>
      </c>
      <c r="BP22">
        <v>8.0300000000000007E-3</v>
      </c>
      <c r="BQ22">
        <v>6.8999999999999999E-3</v>
      </c>
      <c r="BR22">
        <v>8.5699999999999995E-3</v>
      </c>
      <c r="BS22">
        <v>1.3140000000000001E-2</v>
      </c>
      <c r="BT22">
        <v>1.234E-2</v>
      </c>
      <c r="BU22">
        <v>1.1429999999999999E-2</v>
      </c>
      <c r="BV22">
        <v>1.171E-2</v>
      </c>
      <c r="BW22">
        <v>1.1220000000000001E-2</v>
      </c>
      <c r="BX22">
        <v>1.081E-2</v>
      </c>
      <c r="BY22">
        <v>1.1310000000000001E-2</v>
      </c>
      <c r="BZ22">
        <v>1.027E-2</v>
      </c>
      <c r="CA22">
        <v>1.089E-2</v>
      </c>
      <c r="CB22">
        <v>7.8700000000000003E-3</v>
      </c>
      <c r="CC22">
        <v>8.8000000000000005E-3</v>
      </c>
      <c r="CD22">
        <v>7.6400000000000001E-3</v>
      </c>
      <c r="CE22">
        <v>6.5300000000000002E-3</v>
      </c>
      <c r="CF22">
        <v>6.4000000000000003E-3</v>
      </c>
      <c r="CG22">
        <v>6.28E-3</v>
      </c>
      <c r="CH22">
        <v>6.2700000000000004E-3</v>
      </c>
      <c r="CI22">
        <v>6.3600000000000002E-3</v>
      </c>
      <c r="CJ22">
        <v>6.5599999999999999E-3</v>
      </c>
      <c r="CK22">
        <v>8.0000000000000002E-3</v>
      </c>
      <c r="CL22">
        <v>6.7400000000000003E-3</v>
      </c>
      <c r="CM22">
        <v>7.1599999999999997E-3</v>
      </c>
      <c r="CN22">
        <v>8.1600000000000006E-3</v>
      </c>
      <c r="CO22">
        <v>7.4799999999999997E-3</v>
      </c>
      <c r="CP22">
        <v>8.3999999999999995E-3</v>
      </c>
      <c r="CQ22">
        <v>7.1000000000000004E-3</v>
      </c>
      <c r="CR22">
        <v>7.1900000000000002E-3</v>
      </c>
      <c r="CS22">
        <v>8.3300000000000006E-3</v>
      </c>
      <c r="CT22">
        <v>8.7799999999999996E-3</v>
      </c>
      <c r="CU22">
        <v>6.8199999999999997E-3</v>
      </c>
      <c r="CV22">
        <v>6.5300000000000002E-3</v>
      </c>
      <c r="CW22">
        <v>7.1700000000000002E-3</v>
      </c>
      <c r="CX22">
        <v>7.2500000000000004E-3</v>
      </c>
      <c r="CY22">
        <v>8.1799999999999998E-3</v>
      </c>
      <c r="CZ22">
        <v>6.7600000000000004E-3</v>
      </c>
      <c r="DA22">
        <v>6.1799999999999997E-3</v>
      </c>
      <c r="DB22">
        <v>6.0499999999999998E-3</v>
      </c>
      <c r="DC22">
        <v>5.9500000000000004E-3</v>
      </c>
      <c r="DD22">
        <v>5.8599999999999998E-3</v>
      </c>
      <c r="DE22">
        <v>5.9100000000000003E-3</v>
      </c>
      <c r="DF22">
        <v>1.304E-2</v>
      </c>
      <c r="DG22">
        <v>7.6099999999999996E-3</v>
      </c>
      <c r="DH22">
        <v>1.189E-2</v>
      </c>
      <c r="DJ22">
        <v>1.06E-2</v>
      </c>
      <c r="DK22">
        <v>9.9100000000000004E-3</v>
      </c>
      <c r="DL22">
        <v>9.5499999999999995E-3</v>
      </c>
      <c r="DM22">
        <v>1.093E-2</v>
      </c>
      <c r="DN22">
        <v>1.0800000000000001E-2</v>
      </c>
      <c r="DO22">
        <v>9.9100000000000004E-3</v>
      </c>
      <c r="DP22">
        <v>8.0700000000000008E-3</v>
      </c>
      <c r="DQ22">
        <v>8.0700000000000008E-3</v>
      </c>
      <c r="DR22">
        <v>1.286E-2</v>
      </c>
      <c r="DS22">
        <v>1.225E-2</v>
      </c>
      <c r="DT22">
        <v>1.1639999999999999E-2</v>
      </c>
      <c r="DU22">
        <v>9.5999999999999992E-3</v>
      </c>
      <c r="DV22">
        <v>8.6599999999999993E-3</v>
      </c>
      <c r="DX22">
        <v>1.205E-2</v>
      </c>
      <c r="DY22">
        <v>1.18E-2</v>
      </c>
      <c r="DZ22">
        <v>9.7699999999999992E-3</v>
      </c>
      <c r="EA22">
        <v>7.7000000000000002E-3</v>
      </c>
      <c r="EB22">
        <v>7.5500000000000003E-3</v>
      </c>
      <c r="EC22">
        <v>7.0699999999999999E-3</v>
      </c>
      <c r="ED22">
        <v>2.6110000000000001E-2</v>
      </c>
      <c r="EF22">
        <v>2.4989999999999998E-2</v>
      </c>
      <c r="EH22">
        <v>2.5389999999999999E-2</v>
      </c>
      <c r="EI22">
        <v>6.9899999999999997E-3</v>
      </c>
      <c r="EJ22">
        <v>6.5799999999999999E-3</v>
      </c>
      <c r="EK22">
        <v>6.9199999999999999E-3</v>
      </c>
      <c r="EL22">
        <v>7.9000000000000008E-3</v>
      </c>
      <c r="EM22">
        <v>8.4899999999999993E-3</v>
      </c>
      <c r="EN22">
        <v>8.8000000000000005E-3</v>
      </c>
      <c r="EO22">
        <v>9.0699999999999999E-3</v>
      </c>
      <c r="EP22">
        <v>9.2499999999999995E-3</v>
      </c>
      <c r="EQ22">
        <v>9.41E-3</v>
      </c>
      <c r="ES22">
        <v>1.057E-2</v>
      </c>
      <c r="EU22">
        <v>1.3639999999999999E-2</v>
      </c>
      <c r="EV22">
        <v>1.256E-2</v>
      </c>
      <c r="EW22">
        <v>1.1690000000000001E-2</v>
      </c>
      <c r="EX22">
        <v>1.227E-2</v>
      </c>
      <c r="EY22">
        <v>7.3800000000000003E-3</v>
      </c>
      <c r="EZ22">
        <v>7.6499999999999997E-3</v>
      </c>
      <c r="FA22">
        <v>9.8099999999999993E-3</v>
      </c>
      <c r="FB22">
        <v>1.026E-2</v>
      </c>
      <c r="FC22">
        <v>9.3699999999999999E-3</v>
      </c>
      <c r="FD22">
        <v>8.6499999999999997E-3</v>
      </c>
      <c r="FE22">
        <v>1.0030000000000001E-2</v>
      </c>
      <c r="FF22">
        <v>5.8799999999999998E-3</v>
      </c>
      <c r="FG22">
        <v>9.7099999999999999E-3</v>
      </c>
      <c r="FH22">
        <v>1.1089999999999999E-2</v>
      </c>
      <c r="FI22">
        <v>9.9100000000000004E-3</v>
      </c>
      <c r="FJ22">
        <v>9.6600000000000002E-3</v>
      </c>
      <c r="FK22">
        <v>9.58E-3</v>
      </c>
      <c r="FL22">
        <v>7.2100000000000003E-3</v>
      </c>
      <c r="FN22">
        <v>1.0840000000000001E-2</v>
      </c>
      <c r="FO22">
        <v>9.1599999999999997E-3</v>
      </c>
      <c r="FP22">
        <v>8.4799999999999997E-3</v>
      </c>
      <c r="FQ22">
        <v>1.298E-2</v>
      </c>
      <c r="FR22">
        <v>1.4590000000000001E-2</v>
      </c>
      <c r="FS22">
        <v>1.4290000000000001E-2</v>
      </c>
      <c r="FT22">
        <v>1.257E-2</v>
      </c>
      <c r="FU22">
        <v>1.125E-2</v>
      </c>
      <c r="FV22">
        <v>1.038E-2</v>
      </c>
      <c r="FW22">
        <v>1.0410000000000001E-2</v>
      </c>
      <c r="FX22">
        <v>1.081E-2</v>
      </c>
      <c r="FY22">
        <v>1.159E-2</v>
      </c>
      <c r="FZ22">
        <v>1.025E-2</v>
      </c>
      <c r="GA22">
        <v>1.1089999999999999E-2</v>
      </c>
      <c r="GB22">
        <v>1.01E-2</v>
      </c>
      <c r="GC22">
        <v>1.094E-2</v>
      </c>
      <c r="GD22">
        <v>9.9399999999999992E-3</v>
      </c>
      <c r="GE22">
        <v>1.0789999999999999E-2</v>
      </c>
      <c r="GF22">
        <v>9.11E-3</v>
      </c>
      <c r="GG22">
        <v>9.2099999999999994E-3</v>
      </c>
      <c r="GI22">
        <v>9.7800000000000005E-3</v>
      </c>
      <c r="GJ22">
        <v>0.01</v>
      </c>
      <c r="GK22">
        <v>1.018E-2</v>
      </c>
      <c r="GL22">
        <v>1.0630000000000001E-2</v>
      </c>
      <c r="GM22">
        <v>9.2200000000000008E-3</v>
      </c>
      <c r="GO22">
        <v>9.7800000000000005E-3</v>
      </c>
      <c r="GP22">
        <v>1.048E-2</v>
      </c>
      <c r="GQ22">
        <v>1.107E-2</v>
      </c>
      <c r="GR22">
        <v>1.2659999999999999E-2</v>
      </c>
      <c r="GS22">
        <v>9.6299999999999997E-3</v>
      </c>
      <c r="GT22">
        <v>1.0279999999999999E-2</v>
      </c>
      <c r="GV22">
        <v>1.0540000000000001E-2</v>
      </c>
      <c r="GW22">
        <v>1.1339999999999999E-2</v>
      </c>
      <c r="GX22">
        <v>9.8499999999999994E-3</v>
      </c>
      <c r="GY22">
        <v>1.3690000000000001E-2</v>
      </c>
      <c r="GZ22">
        <v>1.115E-2</v>
      </c>
      <c r="HC22">
        <v>9.0299999999999998E-3</v>
      </c>
      <c r="HE22">
        <v>1.0149999999999999E-2</v>
      </c>
      <c r="HF22">
        <v>9.3699999999999999E-3</v>
      </c>
      <c r="HG22">
        <v>8.1799999999999998E-3</v>
      </c>
      <c r="HH22">
        <v>8.3599999999999994E-3</v>
      </c>
      <c r="HI22">
        <v>1.111E-2</v>
      </c>
      <c r="HJ22">
        <v>5.6899999999999997E-3</v>
      </c>
      <c r="HK22">
        <v>1.193E-2</v>
      </c>
      <c r="HL22">
        <v>1.1039999999999999E-2</v>
      </c>
      <c r="HM22">
        <v>1.093E-2</v>
      </c>
      <c r="HN22">
        <v>1.0670000000000001E-2</v>
      </c>
      <c r="HO22">
        <v>1.093E-2</v>
      </c>
      <c r="HP22">
        <v>6.6E-3</v>
      </c>
      <c r="HQ22">
        <v>1.239E-2</v>
      </c>
      <c r="HR22">
        <v>1.426E-2</v>
      </c>
      <c r="HS22">
        <v>1.523E-2</v>
      </c>
      <c r="HU22">
        <v>6.9800000000000001E-3</v>
      </c>
      <c r="HV22">
        <v>9.3600000000000003E-3</v>
      </c>
      <c r="HW22">
        <v>7.3200000000000001E-3</v>
      </c>
      <c r="HX22">
        <v>1.3599999999999999E-2</v>
      </c>
      <c r="HY22">
        <v>1.174E-2</v>
      </c>
      <c r="HZ22">
        <v>6.8399999999999997E-3</v>
      </c>
      <c r="IA22">
        <v>1.059E-2</v>
      </c>
      <c r="IB22">
        <v>1.24E-2</v>
      </c>
      <c r="IC22">
        <v>9.5200000000000007E-3</v>
      </c>
      <c r="ID22">
        <v>9.4800000000000006E-3</v>
      </c>
      <c r="IE22">
        <v>8.5500000000000003E-3</v>
      </c>
      <c r="IF22">
        <v>7.9600000000000001E-3</v>
      </c>
      <c r="IG22">
        <v>9.0100000000000006E-3</v>
      </c>
      <c r="IH22">
        <v>1.0149999999999999E-2</v>
      </c>
      <c r="II22">
        <v>7.2700000000000004E-3</v>
      </c>
      <c r="IJ22">
        <v>7.8799999999999999E-3</v>
      </c>
      <c r="IK22">
        <v>8.5400000000000007E-3</v>
      </c>
      <c r="IL22">
        <v>9.5099999999999994E-3</v>
      </c>
      <c r="IM22">
        <v>1.0500000000000001E-2</v>
      </c>
      <c r="IN22">
        <v>1.149E-2</v>
      </c>
      <c r="IO22">
        <v>1.251E-2</v>
      </c>
      <c r="IP22">
        <v>1.5869999999999999E-2</v>
      </c>
      <c r="IQ22">
        <v>1.8180000000000002E-2</v>
      </c>
      <c r="IR22">
        <v>2.018E-2</v>
      </c>
      <c r="IS22">
        <v>5.8399999999999997E-3</v>
      </c>
      <c r="IT22">
        <v>8.5000000000000006E-3</v>
      </c>
      <c r="IU22">
        <v>1.009E-2</v>
      </c>
      <c r="IV22">
        <v>6.4099999999999999E-3</v>
      </c>
      <c r="IW22">
        <v>7.7299999999999999E-3</v>
      </c>
      <c r="IX22">
        <v>5.3099999999999996E-3</v>
      </c>
      <c r="IY22">
        <v>5.5100000000000001E-3</v>
      </c>
      <c r="JA22">
        <v>6.0499999999999998E-3</v>
      </c>
      <c r="JB22">
        <v>6.4400000000000004E-3</v>
      </c>
      <c r="JC22">
        <v>7.0299999999999998E-3</v>
      </c>
      <c r="JD22">
        <v>7.4000000000000003E-3</v>
      </c>
      <c r="JE22">
        <v>6.3499999999999997E-3</v>
      </c>
      <c r="JF22">
        <v>7.2100000000000003E-3</v>
      </c>
      <c r="JG22">
        <v>7.7299999999999999E-3</v>
      </c>
      <c r="JH22">
        <v>1.5949999999999999E-2</v>
      </c>
      <c r="JI22">
        <v>1.1039999999999999E-2</v>
      </c>
      <c r="JL22">
        <v>1.025E-2</v>
      </c>
      <c r="JN22">
        <v>1.392E-2</v>
      </c>
      <c r="JQ22">
        <v>7.0899999999999999E-3</v>
      </c>
      <c r="JR22">
        <v>7.7499999999999999E-3</v>
      </c>
      <c r="JS22">
        <v>7.0600000000000003E-3</v>
      </c>
      <c r="JT22">
        <v>7.92E-3</v>
      </c>
      <c r="JU22">
        <v>8.1499999999999993E-3</v>
      </c>
      <c r="JV22">
        <v>9.1500000000000001E-3</v>
      </c>
      <c r="JW22">
        <v>9.3100000000000006E-3</v>
      </c>
      <c r="JX22">
        <v>8.6899999999999998E-3</v>
      </c>
      <c r="JY22">
        <v>9.8499999999999994E-3</v>
      </c>
      <c r="JZ22">
        <v>1.0880000000000001E-2</v>
      </c>
      <c r="KA22">
        <v>1.1169999999999999E-2</v>
      </c>
      <c r="KB22">
        <v>7.3600000000000002E-3</v>
      </c>
      <c r="KC22">
        <v>7.7499999999999999E-3</v>
      </c>
      <c r="KD22">
        <v>8.3199999999999993E-3</v>
      </c>
      <c r="KE22">
        <v>9.0299999999999998E-3</v>
      </c>
      <c r="KF22">
        <v>1.0869999999999999E-2</v>
      </c>
      <c r="KG22">
        <v>1.295E-2</v>
      </c>
      <c r="KH22">
        <v>9.5999999999999992E-3</v>
      </c>
      <c r="KI22">
        <v>1.154E-2</v>
      </c>
      <c r="KJ22">
        <v>1.159E-2</v>
      </c>
      <c r="KK22">
        <v>1.1599999999999999E-2</v>
      </c>
      <c r="KL22">
        <v>1.163E-2</v>
      </c>
      <c r="KM22">
        <v>1.184E-2</v>
      </c>
      <c r="KN22">
        <v>6.8300000000000001E-3</v>
      </c>
      <c r="KO22">
        <v>7.4200000000000004E-3</v>
      </c>
      <c r="KP22">
        <v>1.0370000000000001E-2</v>
      </c>
      <c r="KQ22">
        <v>1.069E-2</v>
      </c>
      <c r="KR22">
        <v>1.206E-2</v>
      </c>
      <c r="KS22">
        <v>9.9900000000000006E-3</v>
      </c>
      <c r="KU22">
        <v>6.3899999999999998E-3</v>
      </c>
      <c r="KV22">
        <v>6.1399999999999996E-3</v>
      </c>
      <c r="KW22">
        <v>6.5799999999999999E-3</v>
      </c>
      <c r="KX22">
        <v>1.499E-2</v>
      </c>
      <c r="KY22">
        <v>5.8399999999999997E-3</v>
      </c>
      <c r="KZ22">
        <v>7.2899999999999996E-3</v>
      </c>
      <c r="LA22">
        <v>9.2800000000000001E-3</v>
      </c>
      <c r="LB22">
        <v>8.7100000000000007E-3</v>
      </c>
      <c r="LC22">
        <v>9.0900000000000009E-3</v>
      </c>
      <c r="LD22">
        <v>9.0900000000000009E-3</v>
      </c>
      <c r="LE22">
        <v>1.2489999999999999E-2</v>
      </c>
      <c r="LF22">
        <v>1.269E-2</v>
      </c>
      <c r="LG22">
        <v>1.342E-2</v>
      </c>
      <c r="LI22">
        <v>1.251E-2</v>
      </c>
      <c r="LJ22">
        <v>1.272E-2</v>
      </c>
      <c r="LK22">
        <v>1.264E-2</v>
      </c>
      <c r="LL22">
        <v>1.0829999999999999E-2</v>
      </c>
      <c r="LM22">
        <v>7.3099999999999997E-3</v>
      </c>
      <c r="LO22">
        <v>1.239E-2</v>
      </c>
      <c r="LP22">
        <v>9.8799999999999999E-3</v>
      </c>
      <c r="LR22">
        <v>1.272E-2</v>
      </c>
      <c r="LS22">
        <v>1.405E-2</v>
      </c>
      <c r="LT22">
        <v>9.6600000000000002E-3</v>
      </c>
      <c r="LV22">
        <v>1.908E-2</v>
      </c>
      <c r="LW22">
        <v>5.6699999999999997E-3</v>
      </c>
      <c r="LX22">
        <v>6.2500000000000003E-3</v>
      </c>
      <c r="MA22">
        <v>1.0290000000000001E-2</v>
      </c>
      <c r="MB22">
        <v>5.3099999999999996E-3</v>
      </c>
      <c r="MC22">
        <v>9.5899999999999996E-3</v>
      </c>
      <c r="ME22">
        <v>1.6119999999999999E-2</v>
      </c>
      <c r="MF22">
        <v>1.907E-2</v>
      </c>
      <c r="MH22">
        <v>1.15E-2</v>
      </c>
      <c r="MI22">
        <v>1.2840000000000001E-2</v>
      </c>
      <c r="MJ22">
        <v>1.274E-2</v>
      </c>
      <c r="MK22">
        <v>1.3599999999999999E-2</v>
      </c>
      <c r="ML22">
        <v>1.511E-2</v>
      </c>
      <c r="MM22">
        <v>1.2699999999999999E-2</v>
      </c>
      <c r="MN22">
        <v>6.9699999999999996E-3</v>
      </c>
      <c r="MO22">
        <v>7.79E-3</v>
      </c>
      <c r="MP22">
        <v>7.79E-3</v>
      </c>
      <c r="MQ22">
        <v>6.6E-3</v>
      </c>
      <c r="MR22">
        <v>8.1099999999999992E-3</v>
      </c>
      <c r="MS22">
        <v>9.4900000000000002E-3</v>
      </c>
      <c r="MT22">
        <v>1.0070000000000001E-2</v>
      </c>
      <c r="MU22">
        <v>6.3400000000000001E-3</v>
      </c>
      <c r="MV22">
        <v>7.3899999999999999E-3</v>
      </c>
      <c r="MW22">
        <v>7.9100000000000004E-3</v>
      </c>
      <c r="MX22">
        <v>8.1700000000000002E-3</v>
      </c>
      <c r="MY22">
        <v>8.9700000000000005E-3</v>
      </c>
      <c r="MZ22">
        <v>9.8600000000000007E-3</v>
      </c>
      <c r="NA22">
        <v>8.9300000000000004E-3</v>
      </c>
      <c r="NB22">
        <v>9.3200000000000002E-3</v>
      </c>
      <c r="ND22">
        <v>1.1639999999999999E-2</v>
      </c>
      <c r="NE22">
        <v>1.132E-2</v>
      </c>
      <c r="NF22">
        <v>1.099E-2</v>
      </c>
      <c r="NG22">
        <v>6.5700000000000003E-3</v>
      </c>
      <c r="NH22">
        <v>5.2100000000000002E-3</v>
      </c>
      <c r="NI22">
        <v>5.79E-3</v>
      </c>
      <c r="NJ22">
        <v>6.5700000000000003E-3</v>
      </c>
      <c r="NK22">
        <v>5.7299999999999999E-3</v>
      </c>
      <c r="NL22">
        <v>6.1700000000000001E-3</v>
      </c>
      <c r="NM22">
        <v>6.6100000000000004E-3</v>
      </c>
      <c r="NN22">
        <v>6.96E-3</v>
      </c>
      <c r="NO22">
        <v>7.3000000000000001E-3</v>
      </c>
      <c r="NP22">
        <v>5.77E-3</v>
      </c>
      <c r="NQ22">
        <v>6.2599999999999999E-3</v>
      </c>
      <c r="NR22">
        <v>6.2500000000000003E-3</v>
      </c>
      <c r="NS22">
        <v>6.6499999999999997E-3</v>
      </c>
      <c r="NT22">
        <v>7.3699999999999998E-3</v>
      </c>
      <c r="NU22">
        <v>5.8500000000000002E-3</v>
      </c>
      <c r="NV22">
        <v>6.3E-3</v>
      </c>
      <c r="NW22">
        <v>6.2899999999999996E-3</v>
      </c>
      <c r="NX22">
        <v>6.5900000000000004E-3</v>
      </c>
      <c r="NY22">
        <v>6.7299999999999999E-3</v>
      </c>
      <c r="NZ22">
        <v>7.11E-3</v>
      </c>
      <c r="OA22">
        <v>7.4400000000000004E-3</v>
      </c>
      <c r="OB22">
        <v>5.9100000000000003E-3</v>
      </c>
      <c r="OC22">
        <v>6.3400000000000001E-3</v>
      </c>
      <c r="OD22">
        <v>6.5199999999999998E-3</v>
      </c>
      <c r="OE22">
        <v>6.5199999999999998E-3</v>
      </c>
      <c r="OF22">
        <v>1.0109999999999999E-2</v>
      </c>
      <c r="OG22">
        <v>6.8199999999999997E-3</v>
      </c>
      <c r="OH22">
        <v>7.0200000000000002E-3</v>
      </c>
      <c r="OI22">
        <v>7.5399999999999998E-3</v>
      </c>
      <c r="OJ22">
        <v>7.8399999999999997E-3</v>
      </c>
      <c r="OK22">
        <v>8.1200000000000005E-3</v>
      </c>
      <c r="OL22">
        <v>8.3800000000000003E-3</v>
      </c>
      <c r="OM22">
        <v>6.0400000000000002E-3</v>
      </c>
      <c r="ON22">
        <v>6.45E-3</v>
      </c>
      <c r="OO22">
        <v>6.8900000000000003E-3</v>
      </c>
      <c r="OP22">
        <v>7.5900000000000004E-3</v>
      </c>
      <c r="OQ22">
        <v>7.92E-3</v>
      </c>
      <c r="OR22">
        <v>8.1600000000000006E-3</v>
      </c>
      <c r="OS22">
        <v>9.3299999999999998E-3</v>
      </c>
      <c r="OT22">
        <v>6.3800000000000003E-3</v>
      </c>
      <c r="OU22">
        <v>6.5900000000000004E-3</v>
      </c>
      <c r="OV22">
        <v>5.0200000000000002E-3</v>
      </c>
      <c r="OW22">
        <v>4.5399999999999998E-3</v>
      </c>
      <c r="OX22">
        <v>4.3899999999999998E-3</v>
      </c>
      <c r="OY22">
        <v>4.4299999999999999E-3</v>
      </c>
      <c r="OZ22">
        <v>5.4200000000000003E-3</v>
      </c>
      <c r="PA22">
        <v>1.2109999999999999E-2</v>
      </c>
      <c r="PB22">
        <v>1.34E-2</v>
      </c>
      <c r="PC22">
        <v>9.8700000000000003E-3</v>
      </c>
      <c r="PD22">
        <v>8.3800000000000003E-3</v>
      </c>
      <c r="PE22">
        <v>7.6800000000000002E-3</v>
      </c>
      <c r="PF22">
        <v>7.1799999999999998E-3</v>
      </c>
      <c r="PG22">
        <v>7.3000000000000001E-3</v>
      </c>
      <c r="PI22">
        <v>9.2399999999999999E-3</v>
      </c>
      <c r="PJ22">
        <v>8.5800000000000008E-3</v>
      </c>
      <c r="PK22">
        <v>7.62E-3</v>
      </c>
      <c r="PL22">
        <v>6.4099999999999999E-3</v>
      </c>
      <c r="PM22">
        <v>6.2599999999999999E-3</v>
      </c>
      <c r="PO22">
        <v>7.3299999999999997E-3</v>
      </c>
      <c r="PP22">
        <v>7.6899999999999998E-3</v>
      </c>
      <c r="PQ22">
        <v>7.6800000000000002E-3</v>
      </c>
      <c r="PR22">
        <v>6.6499999999999997E-3</v>
      </c>
      <c r="PS22">
        <v>8.3099999999999997E-3</v>
      </c>
      <c r="PT22">
        <v>8.0599999999999995E-3</v>
      </c>
      <c r="PU22">
        <v>5.79E-3</v>
      </c>
      <c r="PV22">
        <v>7.5500000000000003E-3</v>
      </c>
      <c r="PW22">
        <v>8.7299999999999999E-3</v>
      </c>
      <c r="PY22">
        <v>1.197E-2</v>
      </c>
      <c r="PZ22">
        <v>1.393E-2</v>
      </c>
      <c r="QA22">
        <v>5.3E-3</v>
      </c>
      <c r="QB22">
        <v>5.4799999999999996E-3</v>
      </c>
      <c r="QC22">
        <v>6.5100000000000002E-3</v>
      </c>
      <c r="QD22">
        <v>5.9199999999999999E-3</v>
      </c>
      <c r="QE22">
        <v>5.7999999999999996E-3</v>
      </c>
      <c r="QF22">
        <v>5.96E-3</v>
      </c>
      <c r="QG22">
        <v>6.5399999999999998E-3</v>
      </c>
      <c r="QH22">
        <v>5.9500000000000004E-3</v>
      </c>
      <c r="QI22">
        <v>6.1199999999999996E-3</v>
      </c>
      <c r="QJ22">
        <v>6.2899999999999996E-3</v>
      </c>
      <c r="QK22">
        <v>5.8999999999999999E-3</v>
      </c>
      <c r="QL22">
        <v>5.6499999999999996E-3</v>
      </c>
      <c r="QM22">
        <v>6.5100000000000002E-3</v>
      </c>
      <c r="QN22">
        <v>8.6700000000000006E-3</v>
      </c>
      <c r="QO22">
        <v>8.0999999999999996E-3</v>
      </c>
      <c r="QP22">
        <v>8.0599999999999995E-3</v>
      </c>
      <c r="QQ22">
        <v>8.1099999999999992E-3</v>
      </c>
      <c r="QR22">
        <v>9.8799999999999999E-3</v>
      </c>
      <c r="QS22">
        <v>1.0019999999999999E-2</v>
      </c>
      <c r="QT22">
        <v>8.0000000000000002E-3</v>
      </c>
      <c r="QU22">
        <v>8.1899999999999994E-3</v>
      </c>
      <c r="QV22">
        <v>8.3700000000000007E-3</v>
      </c>
      <c r="QW22">
        <v>7.6899999999999998E-3</v>
      </c>
      <c r="QX22">
        <v>7.8600000000000007E-3</v>
      </c>
      <c r="QY22">
        <v>7.26E-3</v>
      </c>
      <c r="QZ22">
        <v>7.6800000000000002E-3</v>
      </c>
      <c r="RA22">
        <v>9.8099999999999993E-3</v>
      </c>
      <c r="RB22">
        <v>1.217E-2</v>
      </c>
      <c r="RC22">
        <v>1.0070000000000001E-2</v>
      </c>
      <c r="RE22">
        <v>2.0799999999999999E-2</v>
      </c>
      <c r="RF22">
        <v>1.111E-2</v>
      </c>
      <c r="RG22">
        <v>7.3899999999999999E-3</v>
      </c>
      <c r="RH22">
        <v>6.5799999999999999E-3</v>
      </c>
      <c r="RI22">
        <v>1.1440000000000001E-2</v>
      </c>
      <c r="RJ22">
        <v>1.24E-2</v>
      </c>
      <c r="RK22">
        <v>1.1650000000000001E-2</v>
      </c>
      <c r="RL22">
        <v>1.0540000000000001E-2</v>
      </c>
      <c r="RM22">
        <v>5.9899999999999997E-3</v>
      </c>
      <c r="RN22">
        <v>5.9500000000000004E-3</v>
      </c>
      <c r="RO22">
        <v>5.9500000000000004E-3</v>
      </c>
      <c r="RP22">
        <v>5.6100000000000004E-3</v>
      </c>
      <c r="RQ22">
        <v>6.0899999999999999E-3</v>
      </c>
      <c r="RR22">
        <v>5.77E-3</v>
      </c>
      <c r="RS22">
        <v>5.9300000000000004E-3</v>
      </c>
      <c r="RT22">
        <v>5.2399999999999999E-3</v>
      </c>
      <c r="RU22">
        <v>5.8100000000000001E-3</v>
      </c>
      <c r="RV22">
        <v>6.5799999999999999E-3</v>
      </c>
      <c r="RW22">
        <v>7.3899999999999999E-3</v>
      </c>
      <c r="RX22">
        <v>6.6400000000000001E-3</v>
      </c>
      <c r="RY22">
        <v>5.1900000000000002E-3</v>
      </c>
      <c r="RZ22">
        <v>8.5000000000000006E-3</v>
      </c>
      <c r="SA22">
        <v>1.5869999999999999E-2</v>
      </c>
      <c r="SB22">
        <v>1.456E-2</v>
      </c>
      <c r="SC22">
        <v>8.7299999999999999E-3</v>
      </c>
      <c r="SD22">
        <v>8.7399999999999995E-3</v>
      </c>
      <c r="SE22">
        <v>7.8899999999999994E-3</v>
      </c>
      <c r="SF22">
        <v>8.7100000000000007E-3</v>
      </c>
      <c r="SG22">
        <v>1.128E-2</v>
      </c>
      <c r="SH22">
        <v>1.392E-2</v>
      </c>
      <c r="SI22">
        <v>8.09E-3</v>
      </c>
      <c r="SJ22">
        <v>6.45E-3</v>
      </c>
      <c r="SK22">
        <v>5.8999999999999999E-3</v>
      </c>
      <c r="SL22">
        <v>5.9199999999999999E-3</v>
      </c>
      <c r="SM22">
        <v>5.7600000000000004E-3</v>
      </c>
      <c r="SN22">
        <v>5.4099999999999999E-3</v>
      </c>
      <c r="SO22">
        <v>5.4000000000000003E-3</v>
      </c>
      <c r="SP22">
        <v>6.6E-3</v>
      </c>
      <c r="SQ22">
        <v>6.8100000000000001E-3</v>
      </c>
      <c r="SR22">
        <v>6.3499999999999997E-3</v>
      </c>
      <c r="SS22">
        <v>5.94E-3</v>
      </c>
      <c r="ST22">
        <v>5.8900000000000003E-3</v>
      </c>
      <c r="SU22">
        <v>6.3099999999999996E-3</v>
      </c>
      <c r="SV22">
        <v>6.13E-3</v>
      </c>
      <c r="SW22">
        <v>6.2700000000000004E-3</v>
      </c>
      <c r="SX22">
        <v>7.5199999999999998E-3</v>
      </c>
      <c r="SY22">
        <v>6.0600000000000003E-3</v>
      </c>
      <c r="SZ22">
        <v>6.2700000000000004E-3</v>
      </c>
      <c r="TA22">
        <v>6.4999999999999997E-3</v>
      </c>
      <c r="TB22">
        <v>6.5500000000000003E-3</v>
      </c>
      <c r="TC22">
        <v>5.5900000000000004E-3</v>
      </c>
      <c r="TD22">
        <v>7.7499999999999999E-3</v>
      </c>
      <c r="TE22">
        <v>7.8499999999999993E-3</v>
      </c>
      <c r="TF22">
        <v>7.8100000000000001E-3</v>
      </c>
      <c r="TG22">
        <v>6.7000000000000002E-3</v>
      </c>
      <c r="TH22">
        <v>8.9200000000000008E-3</v>
      </c>
      <c r="TI22">
        <v>6.6E-3</v>
      </c>
      <c r="TJ22">
        <v>6.3800000000000003E-3</v>
      </c>
      <c r="TK22">
        <v>5.7999999999999996E-3</v>
      </c>
      <c r="TL22">
        <v>5.4099999999999999E-3</v>
      </c>
      <c r="TM22">
        <v>4.9800000000000001E-3</v>
      </c>
      <c r="TN22">
        <v>6.1000000000000004E-3</v>
      </c>
      <c r="TO22">
        <v>6.4799999999999996E-3</v>
      </c>
      <c r="TP22">
        <v>6.0499999999999998E-3</v>
      </c>
      <c r="TQ22">
        <v>5.5799999999999999E-3</v>
      </c>
      <c r="TR22">
        <v>7.3800000000000003E-3</v>
      </c>
      <c r="TS22">
        <v>8.5100000000000002E-3</v>
      </c>
      <c r="TT22">
        <v>8.2500000000000004E-3</v>
      </c>
      <c r="TU22">
        <v>7.3600000000000002E-3</v>
      </c>
      <c r="TV22">
        <v>7.1599999999999997E-3</v>
      </c>
      <c r="TW22">
        <v>5.8100000000000001E-3</v>
      </c>
      <c r="TX22">
        <v>5.7299999999999999E-3</v>
      </c>
      <c r="TY22">
        <v>5.0299999999999997E-3</v>
      </c>
      <c r="TZ22">
        <v>5.5999999999999999E-3</v>
      </c>
      <c r="UA22">
        <v>4.8399999999999997E-3</v>
      </c>
      <c r="UB22">
        <v>5.8199999999999997E-3</v>
      </c>
      <c r="UC22">
        <v>5.5999999999999999E-3</v>
      </c>
      <c r="UD22">
        <v>5.5900000000000004E-3</v>
      </c>
      <c r="UE22">
        <v>5.6299999999999996E-3</v>
      </c>
      <c r="UF22">
        <v>6.0400000000000002E-3</v>
      </c>
      <c r="UG22">
        <v>5.9699999999999996E-3</v>
      </c>
      <c r="UH22">
        <v>6.13E-3</v>
      </c>
      <c r="UI22">
        <v>6.4200000000000004E-3</v>
      </c>
      <c r="UJ22">
        <v>6.2199999999999998E-3</v>
      </c>
      <c r="UK22">
        <v>5.6899999999999997E-3</v>
      </c>
      <c r="UL22">
        <v>6.1399999999999996E-3</v>
      </c>
      <c r="UM22">
        <v>6.62E-3</v>
      </c>
      <c r="UN22">
        <v>5.5799999999999999E-3</v>
      </c>
      <c r="UO22">
        <v>6.0400000000000002E-3</v>
      </c>
      <c r="UP22">
        <v>8.1899999999999994E-3</v>
      </c>
      <c r="UQ22">
        <v>5.5199999999999997E-3</v>
      </c>
      <c r="UR22">
        <v>5.7299999999999999E-3</v>
      </c>
      <c r="US22">
        <v>5.9699999999999996E-3</v>
      </c>
      <c r="UT22">
        <v>5.5700000000000003E-3</v>
      </c>
      <c r="UU22">
        <v>5.7000000000000002E-3</v>
      </c>
      <c r="UV22">
        <v>5.9100000000000003E-3</v>
      </c>
      <c r="UW22">
        <v>8.7299999999999999E-3</v>
      </c>
      <c r="UY22">
        <v>6.6400000000000001E-3</v>
      </c>
      <c r="VA22">
        <v>9.4999999999999998E-3</v>
      </c>
      <c r="VB22">
        <v>7.1599999999999997E-3</v>
      </c>
      <c r="VC22">
        <v>8.9700000000000005E-3</v>
      </c>
      <c r="VD22">
        <v>1.856E-2</v>
      </c>
      <c r="VF22">
        <v>2.103E-2</v>
      </c>
      <c r="VG22">
        <v>1.393E-2</v>
      </c>
      <c r="VH22">
        <v>1.0019999999999999E-2</v>
      </c>
    </row>
    <row r="23" spans="1:581" x14ac:dyDescent="0.25">
      <c r="A23">
        <v>500000</v>
      </c>
      <c r="B23">
        <v>4.8599999999999997E-3</v>
      </c>
      <c r="C23">
        <v>4.7600000000000003E-3</v>
      </c>
      <c r="D23">
        <v>4.5799999999999999E-3</v>
      </c>
      <c r="E23">
        <v>4.47E-3</v>
      </c>
      <c r="F23">
        <v>4.5300000000000002E-3</v>
      </c>
      <c r="G23">
        <v>4.9199999999999999E-3</v>
      </c>
      <c r="H23">
        <v>4.6499999999999996E-3</v>
      </c>
      <c r="I23">
        <v>4.5399999999999998E-3</v>
      </c>
      <c r="J23">
        <v>4.4600000000000004E-3</v>
      </c>
      <c r="K23">
        <v>4.8500000000000001E-3</v>
      </c>
      <c r="L23">
        <v>4.7400000000000003E-3</v>
      </c>
      <c r="M23">
        <v>4.64E-3</v>
      </c>
      <c r="N23">
        <v>4.5799999999999999E-3</v>
      </c>
      <c r="O23">
        <v>6.6800000000000002E-3</v>
      </c>
      <c r="P23">
        <v>6.45E-3</v>
      </c>
      <c r="Q23">
        <v>6.3299999999999997E-3</v>
      </c>
      <c r="R23">
        <v>5.7299999999999999E-3</v>
      </c>
      <c r="S23">
        <v>5.5900000000000004E-3</v>
      </c>
      <c r="T23">
        <v>5.4599999999999996E-3</v>
      </c>
      <c r="U23">
        <v>6.0099999999999997E-3</v>
      </c>
      <c r="V23">
        <v>5.5500000000000002E-3</v>
      </c>
      <c r="X23">
        <v>5.28E-3</v>
      </c>
      <c r="Y23">
        <v>4.4099999999999999E-3</v>
      </c>
      <c r="Z23">
        <v>4.45E-3</v>
      </c>
      <c r="AA23">
        <v>1.0840000000000001E-2</v>
      </c>
      <c r="AB23">
        <v>7.8899999999999994E-3</v>
      </c>
      <c r="AC23">
        <v>8.9599999999999992E-3</v>
      </c>
      <c r="AD23">
        <v>7.0400000000000003E-3</v>
      </c>
      <c r="AE23">
        <v>8.1499999999999993E-3</v>
      </c>
      <c r="AG23">
        <v>1.021E-2</v>
      </c>
      <c r="AH23">
        <v>1.0149999999999999E-2</v>
      </c>
      <c r="AI23">
        <v>1.255E-2</v>
      </c>
      <c r="AJ23">
        <v>8.1799999999999998E-3</v>
      </c>
      <c r="AK23">
        <v>8.4799999999999997E-3</v>
      </c>
      <c r="AL23">
        <v>9.3299999999999998E-3</v>
      </c>
      <c r="AM23">
        <v>1.056E-2</v>
      </c>
      <c r="AO23">
        <v>1.864E-2</v>
      </c>
      <c r="AP23">
        <v>1.0330000000000001E-2</v>
      </c>
      <c r="AR23">
        <v>1.11E-2</v>
      </c>
      <c r="AS23">
        <v>1.1849999999999999E-2</v>
      </c>
      <c r="AT23">
        <v>9.5499999999999995E-3</v>
      </c>
      <c r="AU23">
        <v>1.023E-2</v>
      </c>
      <c r="AV23">
        <v>1.44E-2</v>
      </c>
      <c r="AW23">
        <v>1.093E-2</v>
      </c>
      <c r="AX23">
        <v>1.0460000000000001E-2</v>
      </c>
      <c r="AZ23">
        <v>1.027E-2</v>
      </c>
      <c r="BB23">
        <v>8.8800000000000007E-3</v>
      </c>
      <c r="BC23">
        <v>9.8799999999999999E-3</v>
      </c>
      <c r="BD23">
        <v>1.0500000000000001E-2</v>
      </c>
      <c r="BE23">
        <v>1.289E-2</v>
      </c>
      <c r="BF23">
        <v>1.345E-2</v>
      </c>
      <c r="BG23">
        <v>9.6399999999999993E-3</v>
      </c>
      <c r="BH23">
        <v>1.11E-2</v>
      </c>
      <c r="BI23">
        <v>1.3990000000000001E-2</v>
      </c>
      <c r="BJ23">
        <v>1.0149999999999999E-2</v>
      </c>
      <c r="BK23">
        <v>1.0240000000000001E-2</v>
      </c>
      <c r="BL23">
        <v>1.0290000000000001E-2</v>
      </c>
      <c r="BM23">
        <v>9.7800000000000005E-3</v>
      </c>
      <c r="BN23">
        <v>6.2399999999999999E-3</v>
      </c>
      <c r="BO23">
        <v>1.111E-2</v>
      </c>
      <c r="BP23">
        <v>7.92E-3</v>
      </c>
      <c r="BQ23">
        <v>6.79E-3</v>
      </c>
      <c r="BR23">
        <v>8.3599999999999994E-3</v>
      </c>
      <c r="BS23">
        <v>1.294E-2</v>
      </c>
      <c r="BT23">
        <v>1.191E-2</v>
      </c>
      <c r="BU23">
        <v>1.123E-2</v>
      </c>
      <c r="BV23">
        <v>1.149E-2</v>
      </c>
      <c r="BW23">
        <v>1.102E-2</v>
      </c>
      <c r="BX23">
        <v>1.0630000000000001E-2</v>
      </c>
      <c r="BY23">
        <v>1.115E-2</v>
      </c>
      <c r="BZ23">
        <v>1.0109999999999999E-2</v>
      </c>
      <c r="CA23">
        <v>1.0659999999999999E-2</v>
      </c>
      <c r="CB23">
        <v>7.77E-3</v>
      </c>
      <c r="CC23">
        <v>8.6800000000000002E-3</v>
      </c>
      <c r="CD23">
        <v>7.4799999999999997E-3</v>
      </c>
      <c r="CE23">
        <v>6.4000000000000003E-3</v>
      </c>
      <c r="CF23">
        <v>6.2599999999999999E-3</v>
      </c>
      <c r="CG23">
        <v>6.1500000000000001E-3</v>
      </c>
      <c r="CH23">
        <v>6.13E-3</v>
      </c>
      <c r="CI23">
        <v>6.2399999999999999E-3</v>
      </c>
      <c r="CJ23">
        <v>6.4400000000000004E-3</v>
      </c>
      <c r="CK23">
        <v>7.7799999999999996E-3</v>
      </c>
      <c r="CL23">
        <v>6.62E-3</v>
      </c>
      <c r="CM23">
        <v>7.0499999999999998E-3</v>
      </c>
      <c r="CN23">
        <v>8.0199999999999994E-3</v>
      </c>
      <c r="CO23">
        <v>7.3400000000000002E-3</v>
      </c>
      <c r="CQ23">
        <v>6.96E-3</v>
      </c>
      <c r="CR23">
        <v>7.1000000000000004E-3</v>
      </c>
      <c r="CS23">
        <v>8.2000000000000007E-3</v>
      </c>
      <c r="CU23">
        <v>6.6899999999999998E-3</v>
      </c>
      <c r="CV23">
        <v>6.4000000000000003E-3</v>
      </c>
      <c r="CW23">
        <v>7.0499999999999998E-3</v>
      </c>
      <c r="CX23">
        <v>7.0800000000000004E-3</v>
      </c>
      <c r="CY23">
        <v>7.9600000000000001E-3</v>
      </c>
      <c r="CZ23">
        <v>6.62E-3</v>
      </c>
      <c r="DA23">
        <v>6.0800000000000003E-3</v>
      </c>
      <c r="DB23">
        <v>5.9500000000000004E-3</v>
      </c>
      <c r="DC23">
        <v>5.8399999999999997E-3</v>
      </c>
      <c r="DD23">
        <v>5.7499999999999999E-3</v>
      </c>
      <c r="DE23">
        <v>5.77E-3</v>
      </c>
      <c r="DF23">
        <v>1.257E-2</v>
      </c>
      <c r="DG23">
        <v>7.4000000000000003E-3</v>
      </c>
      <c r="DJ23">
        <v>1.01E-2</v>
      </c>
      <c r="DK23">
        <v>9.6200000000000001E-3</v>
      </c>
      <c r="DL23">
        <v>9.3200000000000002E-3</v>
      </c>
      <c r="DM23">
        <v>1.0619999999999999E-2</v>
      </c>
      <c r="DN23">
        <v>1.0529999999999999E-2</v>
      </c>
      <c r="DO23">
        <v>9.41E-3</v>
      </c>
      <c r="DP23">
        <v>7.8499999999999993E-3</v>
      </c>
      <c r="DQ23">
        <v>7.9000000000000008E-3</v>
      </c>
      <c r="DS23">
        <v>1.1950000000000001E-2</v>
      </c>
      <c r="DT23">
        <v>1.1310000000000001E-2</v>
      </c>
      <c r="DU23">
        <v>9.2399999999999999E-3</v>
      </c>
      <c r="DV23">
        <v>8.4499999999999992E-3</v>
      </c>
      <c r="DW23">
        <v>1.3089999999999999E-2</v>
      </c>
      <c r="DX23">
        <v>1.1509999999999999E-2</v>
      </c>
      <c r="DY23">
        <v>1.1639999999999999E-2</v>
      </c>
      <c r="DZ23">
        <v>9.4400000000000005E-3</v>
      </c>
      <c r="EA23">
        <v>7.4799999999999997E-3</v>
      </c>
      <c r="EB23">
        <v>7.3600000000000002E-3</v>
      </c>
      <c r="EC23">
        <v>6.8599999999999998E-3</v>
      </c>
      <c r="ED23">
        <v>2.589E-2</v>
      </c>
      <c r="EF23">
        <v>2.452E-2</v>
      </c>
      <c r="EH23">
        <v>2.6409999999999999E-2</v>
      </c>
      <c r="EI23">
        <v>6.9199999999999999E-3</v>
      </c>
      <c r="EJ23">
        <v>6.4400000000000004E-3</v>
      </c>
      <c r="EL23">
        <v>7.7299999999999999E-3</v>
      </c>
      <c r="EM23">
        <v>8.3199999999999993E-3</v>
      </c>
      <c r="EN23">
        <v>8.6099999999999996E-3</v>
      </c>
      <c r="EO23">
        <v>8.8599999999999998E-3</v>
      </c>
      <c r="EP23">
        <v>9.0500000000000008E-3</v>
      </c>
      <c r="EQ23">
        <v>9.2099999999999994E-3</v>
      </c>
      <c r="ES23">
        <v>1.0019999999999999E-2</v>
      </c>
      <c r="EU23">
        <v>1.3339999999999999E-2</v>
      </c>
      <c r="EV23">
        <v>1.2290000000000001E-2</v>
      </c>
      <c r="EW23">
        <v>1.157E-2</v>
      </c>
      <c r="EX23">
        <v>1.1979999999999999E-2</v>
      </c>
      <c r="EY23">
        <v>7.3200000000000001E-3</v>
      </c>
      <c r="EZ23">
        <v>7.5900000000000004E-3</v>
      </c>
      <c r="FA23">
        <v>9.4900000000000002E-3</v>
      </c>
      <c r="FB23">
        <v>9.9500000000000005E-3</v>
      </c>
      <c r="FC23">
        <v>9.0699999999999999E-3</v>
      </c>
      <c r="FD23">
        <v>8.3999999999999995E-3</v>
      </c>
      <c r="FE23">
        <v>9.75E-3</v>
      </c>
      <c r="FF23">
        <v>5.6600000000000001E-3</v>
      </c>
      <c r="FG23">
        <v>9.6399999999999993E-3</v>
      </c>
      <c r="FH23">
        <v>1.0880000000000001E-2</v>
      </c>
      <c r="FI23">
        <v>9.8200000000000006E-3</v>
      </c>
      <c r="FJ23">
        <v>9.58E-3</v>
      </c>
      <c r="FK23">
        <v>9.4400000000000005E-3</v>
      </c>
      <c r="FL23">
        <v>7.0099999999999997E-3</v>
      </c>
      <c r="FN23">
        <v>1.048E-2</v>
      </c>
      <c r="FO23">
        <v>8.8599999999999998E-3</v>
      </c>
      <c r="FP23">
        <v>8.2400000000000008E-3</v>
      </c>
      <c r="FQ23">
        <v>1.2460000000000001E-2</v>
      </c>
      <c r="FR23">
        <v>1.389E-2</v>
      </c>
      <c r="FS23">
        <v>1.357E-2</v>
      </c>
      <c r="FT23">
        <v>1.2E-2</v>
      </c>
      <c r="FU23">
        <v>1.0880000000000001E-2</v>
      </c>
      <c r="FV23">
        <v>1.0070000000000001E-2</v>
      </c>
      <c r="FW23">
        <v>1.01E-2</v>
      </c>
      <c r="FX23">
        <v>1.0460000000000001E-2</v>
      </c>
      <c r="FY23">
        <v>1.119E-2</v>
      </c>
      <c r="FZ23">
        <v>1.005E-2</v>
      </c>
      <c r="GA23">
        <v>1.078E-2</v>
      </c>
      <c r="GB23">
        <v>9.8600000000000007E-3</v>
      </c>
      <c r="GC23">
        <v>1.065E-2</v>
      </c>
      <c r="GD23">
        <v>9.7199999999999995E-3</v>
      </c>
      <c r="GE23">
        <v>1.051E-2</v>
      </c>
      <c r="GF23">
        <v>8.9200000000000008E-3</v>
      </c>
      <c r="GG23">
        <v>9.0200000000000002E-3</v>
      </c>
      <c r="GH23">
        <v>9.0900000000000009E-3</v>
      </c>
      <c r="GI23">
        <v>9.6200000000000001E-3</v>
      </c>
      <c r="GJ23">
        <v>9.8300000000000002E-3</v>
      </c>
      <c r="GK23">
        <v>1.001E-2</v>
      </c>
      <c r="GL23">
        <v>1.048E-2</v>
      </c>
      <c r="GM23">
        <v>9.0799999999999995E-3</v>
      </c>
      <c r="GO23">
        <v>9.5700000000000004E-3</v>
      </c>
      <c r="GP23">
        <v>1.0149999999999999E-2</v>
      </c>
      <c r="GQ23">
        <v>1.073E-2</v>
      </c>
      <c r="GR23">
        <v>1.234E-2</v>
      </c>
      <c r="GS23">
        <v>9.4299999999999991E-3</v>
      </c>
      <c r="GT23">
        <v>9.9500000000000005E-3</v>
      </c>
      <c r="GV23">
        <v>1.038E-2</v>
      </c>
      <c r="GW23">
        <v>1.107E-2</v>
      </c>
      <c r="GX23">
        <v>9.6900000000000007E-3</v>
      </c>
      <c r="GY23">
        <v>1.3100000000000001E-2</v>
      </c>
      <c r="GZ23">
        <v>1.076E-2</v>
      </c>
      <c r="HC23">
        <v>8.5699999999999995E-3</v>
      </c>
      <c r="HF23">
        <v>9.0399999999999994E-3</v>
      </c>
      <c r="HG23">
        <v>7.8799999999999999E-3</v>
      </c>
      <c r="HI23">
        <v>1.094E-2</v>
      </c>
      <c r="HJ23">
        <v>5.5700000000000003E-3</v>
      </c>
      <c r="HK23">
        <v>1.1509999999999999E-2</v>
      </c>
      <c r="HL23">
        <v>1.077E-2</v>
      </c>
      <c r="HM23">
        <v>1.052E-2</v>
      </c>
      <c r="HN23">
        <v>1.0279999999999999E-2</v>
      </c>
      <c r="HO23">
        <v>1.0500000000000001E-2</v>
      </c>
      <c r="HP23">
        <v>6.4599999999999996E-3</v>
      </c>
      <c r="HQ23">
        <v>1.184E-2</v>
      </c>
      <c r="HR23">
        <v>1.3690000000000001E-2</v>
      </c>
      <c r="HS23">
        <v>1.4829999999999999E-2</v>
      </c>
      <c r="HT23">
        <v>1.0070000000000001E-2</v>
      </c>
      <c r="HU23">
        <v>6.8199999999999997E-3</v>
      </c>
      <c r="HV23">
        <v>9.2200000000000008E-3</v>
      </c>
      <c r="HW23">
        <v>7.1599999999999997E-3</v>
      </c>
      <c r="HX23">
        <v>1.306E-2</v>
      </c>
      <c r="HY23">
        <v>1.095E-2</v>
      </c>
      <c r="HZ23">
        <v>6.5199999999999998E-3</v>
      </c>
      <c r="IA23">
        <v>1.034E-2</v>
      </c>
      <c r="IB23">
        <v>1.208E-2</v>
      </c>
      <c r="IC23">
        <v>9.3500000000000007E-3</v>
      </c>
      <c r="ID23">
        <v>8.9999999999999993E-3</v>
      </c>
      <c r="IE23">
        <v>8.2500000000000004E-3</v>
      </c>
      <c r="IF23">
        <v>7.7299999999999999E-3</v>
      </c>
      <c r="IG23">
        <v>8.7399999999999995E-3</v>
      </c>
      <c r="IH23">
        <v>9.8300000000000002E-3</v>
      </c>
      <c r="II23">
        <v>6.9899999999999997E-3</v>
      </c>
      <c r="IJ23">
        <v>7.7099999999999998E-3</v>
      </c>
      <c r="IK23">
        <v>8.3899999999999999E-3</v>
      </c>
      <c r="IL23">
        <v>9.3200000000000002E-3</v>
      </c>
      <c r="IM23">
        <v>1.031E-2</v>
      </c>
      <c r="IN23">
        <v>1.125E-2</v>
      </c>
      <c r="IO23">
        <v>1.2279999999999999E-2</v>
      </c>
      <c r="IP23">
        <v>1.541E-2</v>
      </c>
      <c r="IQ23">
        <v>1.754E-2</v>
      </c>
      <c r="IR23">
        <v>1.9460000000000002E-2</v>
      </c>
      <c r="IS23">
        <v>5.7600000000000004E-3</v>
      </c>
      <c r="IT23">
        <v>8.1300000000000001E-3</v>
      </c>
      <c r="IU23">
        <v>9.6900000000000007E-3</v>
      </c>
      <c r="IV23">
        <v>6.2700000000000004E-3</v>
      </c>
      <c r="IW23">
        <v>7.4999999999999997E-3</v>
      </c>
      <c r="IX23">
        <v>5.1200000000000004E-3</v>
      </c>
      <c r="IY23">
        <v>5.4000000000000003E-3</v>
      </c>
      <c r="IZ23">
        <v>5.4000000000000003E-3</v>
      </c>
      <c r="JA23">
        <v>5.9199999999999999E-3</v>
      </c>
      <c r="JB23">
        <v>6.28E-3</v>
      </c>
      <c r="JC23">
        <v>6.8500000000000002E-3</v>
      </c>
      <c r="JD23">
        <v>7.2399999999999999E-3</v>
      </c>
      <c r="JF23">
        <v>7.0600000000000003E-3</v>
      </c>
      <c r="JG23">
        <v>7.5900000000000004E-3</v>
      </c>
      <c r="JH23">
        <v>1.5440000000000001E-2</v>
      </c>
      <c r="JI23">
        <v>1.0659999999999999E-2</v>
      </c>
      <c r="JJ23">
        <v>9.2200000000000008E-3</v>
      </c>
      <c r="JM23">
        <v>9.3500000000000007E-3</v>
      </c>
      <c r="JN23">
        <v>1.338E-2</v>
      </c>
      <c r="JQ23">
        <v>6.9499999999999996E-3</v>
      </c>
      <c r="JR23">
        <v>7.6E-3</v>
      </c>
      <c r="JS23">
        <v>6.9300000000000004E-3</v>
      </c>
      <c r="JT23">
        <v>7.79E-3</v>
      </c>
      <c r="JU23">
        <v>8.0300000000000007E-3</v>
      </c>
      <c r="JV23">
        <v>8.7299999999999999E-3</v>
      </c>
      <c r="JW23">
        <v>9.0699999999999999E-3</v>
      </c>
      <c r="JX23">
        <v>8.4100000000000008E-3</v>
      </c>
      <c r="JY23">
        <v>9.6100000000000005E-3</v>
      </c>
      <c r="JZ23">
        <v>1.0580000000000001E-2</v>
      </c>
      <c r="KA23">
        <v>1.0800000000000001E-2</v>
      </c>
      <c r="KB23">
        <v>7.2500000000000004E-3</v>
      </c>
      <c r="KC23">
        <v>7.5799999999999999E-3</v>
      </c>
      <c r="KD23">
        <v>8.1600000000000006E-3</v>
      </c>
      <c r="KE23">
        <v>8.8500000000000002E-3</v>
      </c>
      <c r="KF23">
        <v>1.077E-2</v>
      </c>
      <c r="KG23">
        <v>1.294E-2</v>
      </c>
      <c r="KH23">
        <v>9.41E-3</v>
      </c>
      <c r="KI23">
        <v>1.12E-2</v>
      </c>
      <c r="KJ23">
        <v>1.125E-2</v>
      </c>
      <c r="KK23">
        <v>1.133E-2</v>
      </c>
      <c r="KL23">
        <v>1.142E-2</v>
      </c>
      <c r="KM23">
        <v>1.162E-2</v>
      </c>
      <c r="KN23">
        <v>6.6299999999999996E-3</v>
      </c>
      <c r="KO23">
        <v>7.2899999999999996E-3</v>
      </c>
      <c r="KP23">
        <v>1.01E-2</v>
      </c>
      <c r="KQ23">
        <v>1.0500000000000001E-2</v>
      </c>
      <c r="KR23">
        <v>1.171E-2</v>
      </c>
      <c r="KS23">
        <v>9.6399999999999993E-3</v>
      </c>
      <c r="KT23">
        <v>1.0410000000000001E-2</v>
      </c>
      <c r="KU23">
        <v>6.2100000000000002E-3</v>
      </c>
      <c r="KV23">
        <v>6.0299999999999998E-3</v>
      </c>
      <c r="KW23">
        <v>6.4599999999999996E-3</v>
      </c>
      <c r="KX23">
        <v>1.4670000000000001E-2</v>
      </c>
      <c r="KY23">
        <v>5.8199999999999997E-3</v>
      </c>
      <c r="KZ23">
        <v>7.2700000000000004E-3</v>
      </c>
      <c r="LA23">
        <v>8.9999999999999993E-3</v>
      </c>
      <c r="LB23">
        <v>8.4399999999999996E-3</v>
      </c>
      <c r="LC23">
        <v>8.8000000000000005E-3</v>
      </c>
      <c r="LD23">
        <v>8.8000000000000005E-3</v>
      </c>
      <c r="LE23">
        <v>1.227E-2</v>
      </c>
      <c r="LF23">
        <v>1.2290000000000001E-2</v>
      </c>
      <c r="LG23">
        <v>1.281E-2</v>
      </c>
      <c r="LK23">
        <v>1.243E-2</v>
      </c>
      <c r="LL23">
        <v>1.043E-2</v>
      </c>
      <c r="LM23">
        <v>7.0800000000000004E-3</v>
      </c>
      <c r="LO23">
        <v>1.1860000000000001E-2</v>
      </c>
      <c r="LP23">
        <v>9.5700000000000004E-3</v>
      </c>
      <c r="LR23">
        <v>1.255E-2</v>
      </c>
      <c r="LS23">
        <v>1.376E-2</v>
      </c>
      <c r="LT23">
        <v>9.3399999999999993E-3</v>
      </c>
      <c r="LW23">
        <v>5.5399999999999998E-3</v>
      </c>
      <c r="LX23">
        <v>6.1399999999999996E-3</v>
      </c>
      <c r="LZ23">
        <v>1.0319999999999999E-2</v>
      </c>
      <c r="MA23">
        <v>0.01</v>
      </c>
      <c r="MB23">
        <v>5.1500000000000001E-3</v>
      </c>
      <c r="MC23">
        <v>9.3399999999999993E-3</v>
      </c>
      <c r="MD23">
        <v>1.239E-2</v>
      </c>
      <c r="ME23">
        <v>1.5559999999999999E-2</v>
      </c>
      <c r="MF23">
        <v>1.84E-2</v>
      </c>
      <c r="MH23">
        <v>1.1050000000000001E-2</v>
      </c>
      <c r="MI23">
        <v>1.223E-2</v>
      </c>
      <c r="MJ23">
        <v>1.2200000000000001E-2</v>
      </c>
      <c r="ML23">
        <v>1.427E-2</v>
      </c>
      <c r="MM23">
        <v>1.223E-2</v>
      </c>
      <c r="MN23">
        <v>6.8500000000000002E-3</v>
      </c>
      <c r="MO23">
        <v>7.6699999999999997E-3</v>
      </c>
      <c r="MP23">
        <v>7.6E-3</v>
      </c>
      <c r="MQ23">
        <v>6.45E-3</v>
      </c>
      <c r="MR23">
        <v>7.92E-3</v>
      </c>
      <c r="MS23">
        <v>9.2099999999999994E-3</v>
      </c>
      <c r="MT23">
        <v>9.8499999999999994E-3</v>
      </c>
      <c r="MU23">
        <v>6.1999999999999998E-3</v>
      </c>
      <c r="MV23">
        <v>7.2300000000000003E-3</v>
      </c>
      <c r="MW23">
        <v>7.7099999999999998E-3</v>
      </c>
      <c r="MX23">
        <v>7.9900000000000006E-3</v>
      </c>
      <c r="MY23">
        <v>8.7500000000000008E-3</v>
      </c>
      <c r="MZ23">
        <v>9.6100000000000005E-3</v>
      </c>
      <c r="NA23">
        <v>8.7100000000000007E-3</v>
      </c>
      <c r="NB23">
        <v>9.11E-3</v>
      </c>
      <c r="ND23">
        <v>1.154E-2</v>
      </c>
      <c r="NE23">
        <v>1.099E-2</v>
      </c>
      <c r="NF23">
        <v>1.072E-2</v>
      </c>
      <c r="NG23">
        <v>6.4200000000000004E-3</v>
      </c>
      <c r="NH23">
        <v>5.11E-3</v>
      </c>
      <c r="NI23">
        <v>5.6899999999999997E-3</v>
      </c>
      <c r="NJ23">
        <v>6.4200000000000004E-3</v>
      </c>
      <c r="NK23">
        <v>5.6299999999999996E-3</v>
      </c>
      <c r="NL23">
        <v>6.0400000000000002E-3</v>
      </c>
      <c r="NM23">
        <v>6.4599999999999996E-3</v>
      </c>
      <c r="NN23">
        <v>6.8399999999999997E-3</v>
      </c>
      <c r="NO23">
        <v>7.1399999999999996E-3</v>
      </c>
      <c r="NP23">
        <v>5.6800000000000002E-3</v>
      </c>
      <c r="NQ23">
        <v>6.1599999999999997E-3</v>
      </c>
      <c r="NR23">
        <v>6.1199999999999996E-3</v>
      </c>
      <c r="NS23">
        <v>6.5199999999999998E-3</v>
      </c>
      <c r="NT23">
        <v>7.1799999999999998E-3</v>
      </c>
      <c r="NU23">
        <v>5.7499999999999999E-3</v>
      </c>
      <c r="NV23">
        <v>6.1500000000000001E-3</v>
      </c>
      <c r="NW23">
        <v>6.1799999999999997E-3</v>
      </c>
      <c r="NX23">
        <v>6.4400000000000004E-3</v>
      </c>
      <c r="NY23">
        <v>6.5900000000000004E-3</v>
      </c>
      <c r="NZ23">
        <v>6.96E-3</v>
      </c>
      <c r="OA23">
        <v>7.2500000000000004E-3</v>
      </c>
      <c r="OB23">
        <v>5.7999999999999996E-3</v>
      </c>
      <c r="OC23">
        <v>6.2100000000000002E-3</v>
      </c>
      <c r="OD23">
        <v>6.3699999999999998E-3</v>
      </c>
      <c r="OE23">
        <v>6.3699999999999998E-3</v>
      </c>
      <c r="OF23">
        <v>9.7900000000000001E-3</v>
      </c>
      <c r="OG23">
        <v>6.6699999999999997E-3</v>
      </c>
      <c r="OH23">
        <v>6.8900000000000003E-3</v>
      </c>
      <c r="OI23">
        <v>7.3800000000000003E-3</v>
      </c>
      <c r="OJ23">
        <v>7.6600000000000001E-3</v>
      </c>
      <c r="OK23">
        <v>7.9000000000000008E-3</v>
      </c>
      <c r="OL23">
        <v>8.1700000000000002E-3</v>
      </c>
      <c r="OM23">
        <v>5.94E-3</v>
      </c>
      <c r="ON23">
        <v>6.3200000000000001E-3</v>
      </c>
      <c r="OO23">
        <v>6.7400000000000003E-3</v>
      </c>
      <c r="OP23">
        <v>7.4099999999999999E-3</v>
      </c>
      <c r="OQ23">
        <v>7.7400000000000004E-3</v>
      </c>
      <c r="OR23">
        <v>7.9900000000000006E-3</v>
      </c>
      <c r="OS23">
        <v>9.0699999999999999E-3</v>
      </c>
      <c r="OT23">
        <v>6.28E-3</v>
      </c>
      <c r="OU23">
        <v>6.4599999999999996E-3</v>
      </c>
      <c r="OV23">
        <v>4.8999999999999998E-3</v>
      </c>
      <c r="OW23">
        <v>4.4299999999999999E-3</v>
      </c>
      <c r="OX23">
        <v>4.28E-3</v>
      </c>
      <c r="OY23">
        <v>4.3299999999999996E-3</v>
      </c>
      <c r="OZ23">
        <v>5.3800000000000002E-3</v>
      </c>
      <c r="PA23">
        <v>1.1849999999999999E-2</v>
      </c>
      <c r="PB23">
        <v>1.3129999999999999E-2</v>
      </c>
      <c r="PC23">
        <v>9.7099999999999999E-3</v>
      </c>
      <c r="PD23">
        <v>8.2900000000000005E-3</v>
      </c>
      <c r="PE23">
        <v>7.5700000000000003E-3</v>
      </c>
      <c r="PF23">
        <v>7.0600000000000003E-3</v>
      </c>
      <c r="PG23">
        <v>7.1300000000000001E-3</v>
      </c>
      <c r="PH23">
        <v>7.0099999999999997E-3</v>
      </c>
      <c r="PI23">
        <v>9.0600000000000003E-3</v>
      </c>
      <c r="PJ23">
        <v>8.4100000000000008E-3</v>
      </c>
      <c r="PL23">
        <v>6.3400000000000001E-3</v>
      </c>
      <c r="PM23">
        <v>6.1599999999999997E-3</v>
      </c>
      <c r="PN23">
        <v>6.7400000000000003E-3</v>
      </c>
      <c r="PO23">
        <v>7.0600000000000003E-3</v>
      </c>
      <c r="PP23">
        <v>7.4200000000000004E-3</v>
      </c>
      <c r="PQ23">
        <v>7.4799999999999997E-3</v>
      </c>
      <c r="PR23">
        <v>6.5300000000000002E-3</v>
      </c>
      <c r="PS23">
        <v>8.0499999999999999E-3</v>
      </c>
      <c r="PT23">
        <v>7.8499999999999993E-3</v>
      </c>
      <c r="PU23">
        <v>5.6800000000000002E-3</v>
      </c>
      <c r="PV23">
        <v>7.3099999999999997E-3</v>
      </c>
      <c r="PW23">
        <v>8.4100000000000008E-3</v>
      </c>
      <c r="PX23">
        <v>9.6399999999999993E-3</v>
      </c>
      <c r="PY23">
        <v>1.1440000000000001E-2</v>
      </c>
      <c r="PZ23">
        <v>1.3339999999999999E-2</v>
      </c>
      <c r="QA23">
        <v>5.1599999999999997E-3</v>
      </c>
      <c r="QB23">
        <v>5.3499999999999997E-3</v>
      </c>
      <c r="QC23">
        <v>6.4200000000000004E-3</v>
      </c>
      <c r="QD23">
        <v>5.79E-3</v>
      </c>
      <c r="QE23">
        <v>5.6899999999999997E-3</v>
      </c>
      <c r="QF23">
        <v>5.8199999999999997E-3</v>
      </c>
      <c r="QG23">
        <v>6.5399999999999998E-3</v>
      </c>
      <c r="QH23">
        <v>5.8199999999999997E-3</v>
      </c>
      <c r="QI23">
        <v>5.9899999999999997E-3</v>
      </c>
      <c r="QJ23">
        <v>6.1199999999999996E-3</v>
      </c>
      <c r="QK23">
        <v>5.7499999999999999E-3</v>
      </c>
      <c r="QL23">
        <v>5.5399999999999998E-3</v>
      </c>
      <c r="QM23">
        <v>6.3899999999999998E-3</v>
      </c>
      <c r="QN23">
        <v>8.4799999999999997E-3</v>
      </c>
      <c r="QO23">
        <v>7.9000000000000008E-3</v>
      </c>
      <c r="QP23">
        <v>7.8799999999999999E-3</v>
      </c>
      <c r="QQ23">
        <v>7.9600000000000001E-3</v>
      </c>
      <c r="QR23">
        <v>9.7800000000000005E-3</v>
      </c>
      <c r="QS23">
        <v>9.8600000000000007E-3</v>
      </c>
      <c r="QT23">
        <v>7.8399999999999997E-3</v>
      </c>
      <c r="QU23">
        <v>8.0000000000000002E-3</v>
      </c>
      <c r="QV23">
        <v>8.1700000000000002E-3</v>
      </c>
      <c r="QW23">
        <v>7.5500000000000003E-3</v>
      </c>
      <c r="QX23">
        <v>7.6400000000000001E-3</v>
      </c>
      <c r="QY23">
        <v>7.0800000000000004E-3</v>
      </c>
      <c r="QZ23">
        <v>7.5100000000000002E-3</v>
      </c>
      <c r="RA23">
        <v>9.5600000000000008E-3</v>
      </c>
      <c r="RB23">
        <v>1.189E-2</v>
      </c>
      <c r="RC23">
        <v>9.75E-3</v>
      </c>
      <c r="RD23">
        <v>1.9349999999999999E-2</v>
      </c>
      <c r="RE23">
        <v>1.9859999999999999E-2</v>
      </c>
      <c r="RF23">
        <v>1.0829999999999999E-2</v>
      </c>
      <c r="RG23">
        <v>7.2500000000000004E-3</v>
      </c>
      <c r="RH23">
        <v>6.4200000000000004E-3</v>
      </c>
      <c r="RI23">
        <v>1.107E-2</v>
      </c>
      <c r="RJ23">
        <v>1.193E-2</v>
      </c>
      <c r="RK23">
        <v>1.1390000000000001E-2</v>
      </c>
      <c r="RL23">
        <v>1.018E-2</v>
      </c>
      <c r="RM23">
        <v>5.8500000000000002E-3</v>
      </c>
      <c r="RN23">
        <v>5.8300000000000001E-3</v>
      </c>
      <c r="RO23">
        <v>5.8300000000000001E-3</v>
      </c>
      <c r="RP23">
        <v>5.47E-3</v>
      </c>
      <c r="RQ23">
        <v>5.9500000000000004E-3</v>
      </c>
      <c r="RR23">
        <v>5.64E-3</v>
      </c>
      <c r="RS23">
        <v>5.7999999999999996E-3</v>
      </c>
      <c r="RT23">
        <v>5.0800000000000003E-3</v>
      </c>
      <c r="RU23">
        <v>5.6899999999999997E-3</v>
      </c>
      <c r="RV23">
        <v>6.4599999999999996E-3</v>
      </c>
      <c r="RW23">
        <v>7.2300000000000003E-3</v>
      </c>
      <c r="RX23">
        <v>6.4999999999999997E-3</v>
      </c>
      <c r="RY23">
        <v>5.0099999999999997E-3</v>
      </c>
      <c r="RZ23">
        <v>8.1700000000000002E-3</v>
      </c>
      <c r="SA23">
        <v>1.5140000000000001E-2</v>
      </c>
      <c r="SB23">
        <v>1.3769999999999999E-2</v>
      </c>
      <c r="SC23">
        <v>8.5299999999999994E-3</v>
      </c>
      <c r="SD23">
        <v>8.6E-3</v>
      </c>
      <c r="SF23">
        <v>8.5599999999999999E-3</v>
      </c>
      <c r="SG23">
        <v>1.115E-2</v>
      </c>
      <c r="SH23">
        <v>1.3769999999999999E-2</v>
      </c>
      <c r="SI23">
        <v>7.9500000000000005E-3</v>
      </c>
      <c r="SJ23">
        <v>6.3299999999999997E-3</v>
      </c>
      <c r="SK23">
        <v>5.7600000000000004E-3</v>
      </c>
      <c r="SL23">
        <v>5.8100000000000001E-3</v>
      </c>
      <c r="SM23">
        <v>5.5799999999999999E-3</v>
      </c>
      <c r="SN23">
        <v>5.2900000000000004E-3</v>
      </c>
      <c r="SO23">
        <v>5.28E-3</v>
      </c>
      <c r="SP23">
        <v>6.5700000000000003E-3</v>
      </c>
      <c r="SQ23">
        <v>6.6800000000000002E-3</v>
      </c>
      <c r="SR23">
        <v>6.28E-3</v>
      </c>
      <c r="SS23">
        <v>5.8199999999999997E-3</v>
      </c>
      <c r="ST23">
        <v>5.7400000000000003E-3</v>
      </c>
      <c r="SU23">
        <v>6.2100000000000002E-3</v>
      </c>
      <c r="SV23">
        <v>5.9899999999999997E-3</v>
      </c>
      <c r="SW23">
        <v>6.1599999999999997E-3</v>
      </c>
      <c r="SX23">
        <v>7.3499999999999998E-3</v>
      </c>
      <c r="SY23">
        <v>5.94E-3</v>
      </c>
      <c r="SZ23">
        <v>6.1199999999999996E-3</v>
      </c>
      <c r="TA23">
        <v>6.3200000000000001E-3</v>
      </c>
      <c r="TB23">
        <v>6.4700000000000001E-3</v>
      </c>
      <c r="TC23">
        <v>5.5199999999999997E-3</v>
      </c>
      <c r="TD23">
        <v>7.4700000000000001E-3</v>
      </c>
      <c r="TE23">
        <v>7.8100000000000001E-3</v>
      </c>
      <c r="TF23">
        <v>7.6499999999999997E-3</v>
      </c>
      <c r="TG23">
        <v>6.5900000000000004E-3</v>
      </c>
      <c r="TH23">
        <v>8.8900000000000003E-3</v>
      </c>
      <c r="TI23">
        <v>6.45E-3</v>
      </c>
      <c r="TJ23">
        <v>6.2199999999999998E-3</v>
      </c>
      <c r="TK23">
        <v>5.6800000000000002E-3</v>
      </c>
      <c r="TL23">
        <v>5.2900000000000004E-3</v>
      </c>
      <c r="TM23">
        <v>4.8700000000000002E-3</v>
      </c>
      <c r="TN23">
        <v>6.0299999999999998E-3</v>
      </c>
      <c r="TO23">
        <v>6.3299999999999997E-3</v>
      </c>
      <c r="TP23">
        <v>5.9100000000000003E-3</v>
      </c>
      <c r="TQ23">
        <v>5.5399999999999998E-3</v>
      </c>
      <c r="TR23">
        <v>7.2700000000000004E-3</v>
      </c>
      <c r="TS23">
        <v>8.3099999999999997E-3</v>
      </c>
      <c r="TT23">
        <v>8.0700000000000008E-3</v>
      </c>
      <c r="TU23">
        <v>7.2199999999999999E-3</v>
      </c>
      <c r="TV23">
        <v>6.9699999999999996E-3</v>
      </c>
      <c r="TW23">
        <v>5.7099999999999998E-3</v>
      </c>
      <c r="TX23">
        <v>5.64E-3</v>
      </c>
      <c r="TY23">
        <v>4.9399999999999999E-3</v>
      </c>
      <c r="TZ23">
        <v>5.5399999999999998E-3</v>
      </c>
      <c r="UA23">
        <v>4.7699999999999999E-3</v>
      </c>
      <c r="UB23">
        <v>5.6899999999999997E-3</v>
      </c>
      <c r="UC23">
        <v>5.4900000000000001E-3</v>
      </c>
      <c r="UD23">
        <v>5.4900000000000001E-3</v>
      </c>
      <c r="UE23">
        <v>5.4999999999999997E-3</v>
      </c>
      <c r="UF23">
        <v>5.8300000000000001E-3</v>
      </c>
      <c r="UG23">
        <v>5.8100000000000001E-3</v>
      </c>
      <c r="UH23">
        <v>6.0699999999999999E-3</v>
      </c>
      <c r="UI23">
        <v>6.2599999999999999E-3</v>
      </c>
      <c r="UJ23">
        <v>6.0800000000000003E-3</v>
      </c>
      <c r="UK23">
        <v>5.6299999999999996E-3</v>
      </c>
      <c r="UL23">
        <v>6.0699999999999999E-3</v>
      </c>
      <c r="UM23">
        <v>6.5599999999999999E-3</v>
      </c>
      <c r="UN23">
        <v>5.4799999999999996E-3</v>
      </c>
      <c r="UO23">
        <v>5.94E-3</v>
      </c>
      <c r="UP23">
        <v>8.0599999999999995E-3</v>
      </c>
      <c r="UQ23">
        <v>5.4099999999999999E-3</v>
      </c>
      <c r="UR23">
        <v>5.5999999999999999E-3</v>
      </c>
      <c r="US23">
        <v>5.8799999999999998E-3</v>
      </c>
      <c r="UT23">
        <v>5.4599999999999996E-3</v>
      </c>
      <c r="UU23">
        <v>5.5999999999999999E-3</v>
      </c>
      <c r="UV23">
        <v>5.8100000000000001E-3</v>
      </c>
      <c r="UW23">
        <v>8.5199999999999998E-3</v>
      </c>
      <c r="UX23">
        <v>6.2700000000000004E-3</v>
      </c>
      <c r="UY23">
        <v>6.4799999999999996E-3</v>
      </c>
      <c r="VA23">
        <v>9.3200000000000002E-3</v>
      </c>
      <c r="VB23">
        <v>7.0000000000000001E-3</v>
      </c>
      <c r="VC23">
        <v>8.7600000000000004E-3</v>
      </c>
      <c r="VF23">
        <v>2.0150000000000001E-2</v>
      </c>
      <c r="VG23">
        <v>1.3140000000000001E-2</v>
      </c>
      <c r="VH23">
        <v>9.6399999999999993E-3</v>
      </c>
      <c r="VI23">
        <v>7.7499999999999999E-3</v>
      </c>
    </row>
    <row r="24" spans="1:581" x14ac:dyDescent="0.25">
      <c r="A24">
        <v>525000</v>
      </c>
      <c r="B24">
        <v>4.7699999999999999E-3</v>
      </c>
      <c r="C24">
        <v>4.6899999999999997E-3</v>
      </c>
      <c r="D24">
        <v>4.4799999999999996E-3</v>
      </c>
      <c r="E24">
        <v>4.3800000000000002E-3</v>
      </c>
      <c r="F24">
        <v>4.4200000000000003E-3</v>
      </c>
      <c r="G24">
        <v>4.8500000000000001E-3</v>
      </c>
      <c r="H24">
        <v>4.5799999999999999E-3</v>
      </c>
      <c r="I24">
        <v>4.47E-3</v>
      </c>
      <c r="J24">
        <v>4.3800000000000002E-3</v>
      </c>
      <c r="K24">
        <v>4.7699999999999999E-3</v>
      </c>
      <c r="L24">
        <v>4.6600000000000001E-3</v>
      </c>
      <c r="M24">
        <v>4.5599999999999998E-3</v>
      </c>
      <c r="N24">
        <v>4.4999999999999997E-3</v>
      </c>
      <c r="O24">
        <v>6.5799999999999999E-3</v>
      </c>
      <c r="P24">
        <v>6.3699999999999998E-3</v>
      </c>
      <c r="Q24">
        <v>6.2500000000000003E-3</v>
      </c>
      <c r="R24">
        <v>5.6699999999999997E-3</v>
      </c>
      <c r="S24">
        <v>5.4900000000000001E-3</v>
      </c>
      <c r="T24">
        <v>5.3800000000000002E-3</v>
      </c>
      <c r="U24">
        <v>6.0200000000000002E-3</v>
      </c>
      <c r="V24">
        <v>5.4400000000000004E-3</v>
      </c>
      <c r="W24">
        <v>5.3800000000000002E-3</v>
      </c>
      <c r="X24">
        <v>5.2100000000000002E-3</v>
      </c>
      <c r="Y24">
        <v>4.4900000000000001E-3</v>
      </c>
      <c r="Z24">
        <v>4.4400000000000004E-3</v>
      </c>
      <c r="AA24">
        <v>1.0449999999999999E-2</v>
      </c>
      <c r="AB24">
        <v>7.79E-3</v>
      </c>
      <c r="AC24">
        <v>8.8400000000000006E-3</v>
      </c>
      <c r="AD24">
        <v>6.8999999999999999E-3</v>
      </c>
      <c r="AE24">
        <v>7.9799999999999992E-3</v>
      </c>
      <c r="AH24">
        <v>9.7400000000000004E-3</v>
      </c>
      <c r="AI24">
        <v>1.201E-2</v>
      </c>
      <c r="AJ24">
        <v>7.8700000000000003E-3</v>
      </c>
      <c r="AK24">
        <v>8.2100000000000003E-3</v>
      </c>
      <c r="AL24">
        <v>9.1699999999999993E-3</v>
      </c>
      <c r="AM24">
        <v>1.0109999999999999E-2</v>
      </c>
      <c r="AN24">
        <v>1.0449999999999999E-2</v>
      </c>
      <c r="AO24">
        <v>1.7860000000000001E-2</v>
      </c>
      <c r="AP24">
        <v>1.001E-2</v>
      </c>
      <c r="AR24">
        <v>1.0789999999999999E-2</v>
      </c>
      <c r="AS24">
        <v>1.149E-2</v>
      </c>
      <c r="AT24">
        <v>9.1800000000000007E-3</v>
      </c>
      <c r="AU24">
        <v>9.8600000000000007E-3</v>
      </c>
      <c r="AV24">
        <v>1.3679999999999999E-2</v>
      </c>
      <c r="AW24">
        <v>1.055E-2</v>
      </c>
      <c r="AX24">
        <v>1.0120000000000001E-2</v>
      </c>
      <c r="AY24">
        <v>1.112E-2</v>
      </c>
      <c r="AZ24">
        <v>9.7599999999999996E-3</v>
      </c>
      <c r="BA24">
        <v>1.2500000000000001E-2</v>
      </c>
      <c r="BB24">
        <v>8.6999999999999994E-3</v>
      </c>
      <c r="BC24">
        <v>9.6299999999999997E-3</v>
      </c>
      <c r="BD24">
        <v>1.022E-2</v>
      </c>
      <c r="BE24">
        <v>1.2500000000000001E-2</v>
      </c>
      <c r="BF24">
        <v>1.32E-2</v>
      </c>
      <c r="BG24">
        <v>9.4000000000000004E-3</v>
      </c>
      <c r="BH24">
        <v>1.0710000000000001E-2</v>
      </c>
      <c r="BI24">
        <v>1.3639999999999999E-2</v>
      </c>
      <c r="BJ24">
        <v>9.8399999999999998E-3</v>
      </c>
      <c r="BK24">
        <v>9.9900000000000006E-3</v>
      </c>
      <c r="BL24">
        <v>1.0030000000000001E-2</v>
      </c>
      <c r="BM24">
        <v>9.5499999999999995E-3</v>
      </c>
      <c r="BN24">
        <v>6.2100000000000002E-3</v>
      </c>
      <c r="BO24">
        <v>1.0869999999999999E-2</v>
      </c>
      <c r="BP24">
        <v>7.8300000000000002E-3</v>
      </c>
      <c r="BQ24">
        <v>6.6899999999999998E-3</v>
      </c>
      <c r="BR24">
        <v>8.1600000000000006E-3</v>
      </c>
      <c r="BS24">
        <v>1.2760000000000001E-2</v>
      </c>
      <c r="BT24">
        <v>1.157E-2</v>
      </c>
      <c r="BU24">
        <v>1.106E-2</v>
      </c>
      <c r="BV24">
        <v>1.132E-2</v>
      </c>
      <c r="BW24">
        <v>1.0840000000000001E-2</v>
      </c>
      <c r="BX24">
        <v>1.0489999999999999E-2</v>
      </c>
      <c r="BY24">
        <v>1.102E-2</v>
      </c>
      <c r="BZ24">
        <v>0.01</v>
      </c>
      <c r="CA24">
        <v>1.044E-2</v>
      </c>
      <c r="CB24">
        <v>7.6499999999999997E-3</v>
      </c>
      <c r="CC24">
        <v>8.5599999999999999E-3</v>
      </c>
      <c r="CD24">
        <v>7.3299999999999997E-3</v>
      </c>
      <c r="CE24">
        <v>6.2899999999999996E-3</v>
      </c>
      <c r="CF24">
        <v>6.1500000000000001E-3</v>
      </c>
      <c r="CG24">
        <v>6.0499999999999998E-3</v>
      </c>
      <c r="CH24">
        <v>6.0000000000000001E-3</v>
      </c>
      <c r="CI24">
        <v>6.11E-3</v>
      </c>
      <c r="CJ24">
        <v>6.3400000000000001E-3</v>
      </c>
      <c r="CK24">
        <v>7.5700000000000003E-3</v>
      </c>
      <c r="CL24">
        <v>6.5300000000000002E-3</v>
      </c>
      <c r="CM24">
        <v>6.9699999999999996E-3</v>
      </c>
      <c r="CN24">
        <v>7.8700000000000003E-3</v>
      </c>
      <c r="CO24">
        <v>7.2300000000000003E-3</v>
      </c>
      <c r="CP24">
        <v>8.1399999999999997E-3</v>
      </c>
      <c r="CQ24">
        <v>6.8199999999999997E-3</v>
      </c>
      <c r="CR24">
        <v>7.0299999999999998E-3</v>
      </c>
      <c r="CS24">
        <v>8.0499999999999999E-3</v>
      </c>
      <c r="CT24">
        <v>8.5000000000000006E-3</v>
      </c>
      <c r="CU24">
        <v>6.6E-3</v>
      </c>
      <c r="CV24">
        <v>6.2899999999999996E-3</v>
      </c>
      <c r="CW24">
        <v>6.9499999999999996E-3</v>
      </c>
      <c r="CX24">
        <v>6.9300000000000004E-3</v>
      </c>
      <c r="CY24">
        <v>7.7799999999999996E-3</v>
      </c>
      <c r="CZ24">
        <v>6.4900000000000001E-3</v>
      </c>
      <c r="DA24">
        <v>5.9699999999999996E-3</v>
      </c>
      <c r="DB24">
        <v>5.8500000000000002E-3</v>
      </c>
      <c r="DC24">
        <v>5.7499999999999999E-3</v>
      </c>
      <c r="DD24">
        <v>5.6499999999999996E-3</v>
      </c>
      <c r="DE24">
        <v>5.64E-3</v>
      </c>
      <c r="DF24">
        <v>1.2200000000000001E-2</v>
      </c>
      <c r="DG24">
        <v>7.1900000000000002E-3</v>
      </c>
      <c r="DI24">
        <v>1.021E-2</v>
      </c>
      <c r="DJ24">
        <v>9.6799999999999994E-3</v>
      </c>
      <c r="DK24">
        <v>9.3500000000000007E-3</v>
      </c>
      <c r="DL24">
        <v>9.1000000000000004E-3</v>
      </c>
      <c r="DM24">
        <v>1.03E-2</v>
      </c>
      <c r="DN24">
        <v>1.022E-2</v>
      </c>
      <c r="DO24">
        <v>9.0200000000000002E-3</v>
      </c>
      <c r="DP24">
        <v>7.6699999999999997E-3</v>
      </c>
      <c r="DQ24">
        <v>7.7499999999999999E-3</v>
      </c>
      <c r="DR24">
        <v>1.1820000000000001E-2</v>
      </c>
      <c r="DS24">
        <v>1.163E-2</v>
      </c>
      <c r="DT24">
        <v>1.09E-2</v>
      </c>
      <c r="DU24">
        <v>8.9099999999999995E-3</v>
      </c>
      <c r="DV24">
        <v>8.2500000000000004E-3</v>
      </c>
      <c r="DW24">
        <v>1.2760000000000001E-2</v>
      </c>
      <c r="DX24">
        <v>1.103E-2</v>
      </c>
      <c r="DY24">
        <v>1.1509999999999999E-2</v>
      </c>
      <c r="DZ24">
        <v>9.1599999999999997E-3</v>
      </c>
      <c r="EA24">
        <v>7.3099999999999997E-3</v>
      </c>
      <c r="EB24">
        <v>7.1700000000000002E-3</v>
      </c>
      <c r="EC24">
        <v>6.6600000000000001E-3</v>
      </c>
      <c r="ED24">
        <v>2.572E-2</v>
      </c>
      <c r="EI24">
        <v>6.8799999999999998E-3</v>
      </c>
      <c r="EJ24">
        <v>6.3E-3</v>
      </c>
      <c r="EK24">
        <v>6.7200000000000003E-3</v>
      </c>
      <c r="EL24">
        <v>7.6E-3</v>
      </c>
      <c r="EM24">
        <v>8.1600000000000006E-3</v>
      </c>
      <c r="EN24">
        <v>8.4499999999999992E-3</v>
      </c>
      <c r="EO24">
        <v>8.6800000000000002E-3</v>
      </c>
      <c r="EP24">
        <v>8.8800000000000007E-3</v>
      </c>
      <c r="EQ24">
        <v>9.0200000000000002E-3</v>
      </c>
      <c r="ES24">
        <v>9.5600000000000008E-3</v>
      </c>
      <c r="EU24">
        <v>1.307E-2</v>
      </c>
      <c r="EV24">
        <v>1.206E-2</v>
      </c>
      <c r="EW24">
        <v>1.1299999999999999E-2</v>
      </c>
      <c r="EX24">
        <v>1.174E-2</v>
      </c>
      <c r="EY24">
        <v>7.2700000000000004E-3</v>
      </c>
      <c r="EZ24">
        <v>7.5300000000000002E-3</v>
      </c>
      <c r="FA24">
        <v>9.2399999999999999E-3</v>
      </c>
      <c r="FB24">
        <v>9.6600000000000002E-3</v>
      </c>
      <c r="FC24">
        <v>8.8000000000000005E-3</v>
      </c>
      <c r="FD24">
        <v>8.1700000000000002E-3</v>
      </c>
      <c r="FE24">
        <v>9.4999999999999998E-3</v>
      </c>
      <c r="FF24">
        <v>5.4999999999999997E-3</v>
      </c>
      <c r="FG24">
        <v>9.5600000000000008E-3</v>
      </c>
      <c r="FH24">
        <v>1.0710000000000001E-2</v>
      </c>
      <c r="FI24">
        <v>9.7400000000000004E-3</v>
      </c>
      <c r="FK24">
        <v>9.3299999999999998E-3</v>
      </c>
      <c r="FL24">
        <v>6.8500000000000002E-3</v>
      </c>
      <c r="FN24">
        <v>1.021E-2</v>
      </c>
      <c r="FO24">
        <v>8.6E-3</v>
      </c>
      <c r="FP24">
        <v>8.0000000000000002E-3</v>
      </c>
      <c r="FQ24">
        <v>1.1900000000000001E-2</v>
      </c>
      <c r="FR24">
        <v>1.3220000000000001E-2</v>
      </c>
      <c r="FT24">
        <v>1.146E-2</v>
      </c>
      <c r="FU24">
        <v>1.057E-2</v>
      </c>
      <c r="FV24">
        <v>9.7900000000000001E-3</v>
      </c>
      <c r="FW24">
        <v>9.7999999999999997E-3</v>
      </c>
      <c r="FX24">
        <v>1.021E-2</v>
      </c>
      <c r="FY24">
        <v>1.085E-2</v>
      </c>
      <c r="FZ24">
        <v>9.7900000000000001E-3</v>
      </c>
      <c r="GA24">
        <v>1.051E-2</v>
      </c>
      <c r="GB24">
        <v>9.6600000000000002E-3</v>
      </c>
      <c r="GC24">
        <v>1.04E-2</v>
      </c>
      <c r="GE24">
        <v>1.0279999999999999E-2</v>
      </c>
      <c r="GF24">
        <v>8.7500000000000008E-3</v>
      </c>
      <c r="GG24">
        <v>8.8199999999999997E-3</v>
      </c>
      <c r="GH24">
        <v>8.9099999999999995E-3</v>
      </c>
      <c r="GI24">
        <v>9.5099999999999994E-3</v>
      </c>
      <c r="GJ24">
        <v>9.6600000000000002E-3</v>
      </c>
      <c r="GM24">
        <v>8.9300000000000004E-3</v>
      </c>
      <c r="GO24">
        <v>9.3399999999999993E-3</v>
      </c>
      <c r="GP24">
        <v>9.8200000000000006E-3</v>
      </c>
      <c r="GQ24">
        <v>1.039E-2</v>
      </c>
      <c r="GR24">
        <v>1.1939999999999999E-2</v>
      </c>
      <c r="GS24">
        <v>9.1500000000000001E-3</v>
      </c>
      <c r="GT24">
        <v>9.6600000000000002E-3</v>
      </c>
      <c r="GV24">
        <v>1.0200000000000001E-2</v>
      </c>
      <c r="GW24">
        <v>1.0840000000000001E-2</v>
      </c>
      <c r="GX24">
        <v>9.5700000000000004E-3</v>
      </c>
      <c r="GY24">
        <v>1.26E-2</v>
      </c>
      <c r="GZ24">
        <v>1.04E-2</v>
      </c>
      <c r="HC24">
        <v>8.1399999999999997E-3</v>
      </c>
      <c r="HE24">
        <v>9.4999999999999998E-3</v>
      </c>
      <c r="HF24">
        <v>8.6099999999999996E-3</v>
      </c>
      <c r="HG24">
        <v>7.7600000000000004E-3</v>
      </c>
      <c r="HI24">
        <v>1.081E-2</v>
      </c>
      <c r="HJ24">
        <v>5.4599999999999996E-3</v>
      </c>
      <c r="HK24">
        <v>1.115E-2</v>
      </c>
      <c r="HL24">
        <v>1.042E-2</v>
      </c>
      <c r="HM24">
        <v>1.0189999999999999E-2</v>
      </c>
      <c r="HN24">
        <v>9.9699999999999997E-3</v>
      </c>
      <c r="HO24">
        <v>1.01E-2</v>
      </c>
      <c r="HP24">
        <v>6.3299999999999997E-3</v>
      </c>
      <c r="HR24">
        <v>1.333E-2</v>
      </c>
      <c r="HS24">
        <v>1.4460000000000001E-2</v>
      </c>
      <c r="HT24">
        <v>9.7099999999999999E-3</v>
      </c>
      <c r="HU24">
        <v>6.6899999999999998E-3</v>
      </c>
      <c r="HW24">
        <v>7.0200000000000002E-3</v>
      </c>
      <c r="HX24">
        <v>1.259E-2</v>
      </c>
      <c r="HY24">
        <v>1.034E-2</v>
      </c>
      <c r="HZ24">
        <v>6.2300000000000003E-3</v>
      </c>
      <c r="IA24">
        <v>1.009E-2</v>
      </c>
      <c r="IB24">
        <v>1.1809999999999999E-2</v>
      </c>
      <c r="IC24">
        <v>9.2200000000000008E-3</v>
      </c>
      <c r="ID24">
        <v>8.5900000000000004E-3</v>
      </c>
      <c r="IE24">
        <v>7.92E-3</v>
      </c>
      <c r="IF24">
        <v>7.5199999999999998E-3</v>
      </c>
      <c r="IG24">
        <v>8.5100000000000002E-3</v>
      </c>
      <c r="IH24">
        <v>9.5499999999999995E-3</v>
      </c>
      <c r="II24">
        <v>6.7499999999999999E-3</v>
      </c>
      <c r="IJ24">
        <v>7.5599999999999999E-3</v>
      </c>
      <c r="IK24">
        <v>8.2299999999999995E-3</v>
      </c>
      <c r="IL24">
        <v>9.1599999999999997E-3</v>
      </c>
      <c r="IN24">
        <v>1.1050000000000001E-2</v>
      </c>
      <c r="IO24">
        <v>1.2109999999999999E-2</v>
      </c>
      <c r="IP24">
        <v>1.4999999999999999E-2</v>
      </c>
      <c r="IQ24">
        <v>1.6990000000000002E-2</v>
      </c>
      <c r="IR24">
        <v>1.883E-2</v>
      </c>
      <c r="IS24">
        <v>5.6600000000000001E-3</v>
      </c>
      <c r="IT24">
        <v>7.79E-3</v>
      </c>
      <c r="IV24">
        <v>6.1000000000000004E-3</v>
      </c>
      <c r="IW24">
        <v>7.28E-3</v>
      </c>
      <c r="IX24">
        <v>4.9500000000000004E-3</v>
      </c>
      <c r="IY24">
        <v>5.3099999999999996E-3</v>
      </c>
      <c r="JA24">
        <v>5.7999999999999996E-3</v>
      </c>
      <c r="JB24">
        <v>6.1500000000000001E-3</v>
      </c>
      <c r="JC24">
        <v>6.6899999999999998E-3</v>
      </c>
      <c r="JD24">
        <v>7.0800000000000004E-3</v>
      </c>
      <c r="JE24">
        <v>6.0600000000000003E-3</v>
      </c>
      <c r="JF24">
        <v>6.9199999999999999E-3</v>
      </c>
      <c r="JG24">
        <v>7.4700000000000001E-3</v>
      </c>
      <c r="JH24">
        <v>1.495E-2</v>
      </c>
      <c r="JI24">
        <v>1.034E-2</v>
      </c>
      <c r="JJ24">
        <v>8.8999999999999999E-3</v>
      </c>
      <c r="JK24">
        <v>1.4579999999999999E-2</v>
      </c>
      <c r="JL24">
        <v>1.044E-2</v>
      </c>
      <c r="JM24">
        <v>9.0200000000000002E-3</v>
      </c>
      <c r="JN24">
        <v>1.2869999999999999E-2</v>
      </c>
      <c r="JP24">
        <v>1.1480000000000001E-2</v>
      </c>
      <c r="JQ24">
        <v>6.8399999999999997E-3</v>
      </c>
      <c r="JR24">
        <v>7.4799999999999997E-3</v>
      </c>
      <c r="JS24">
        <v>6.8100000000000001E-3</v>
      </c>
      <c r="JT24">
        <v>7.6499999999999997E-3</v>
      </c>
      <c r="JU24">
        <v>7.9100000000000004E-3</v>
      </c>
      <c r="JV24">
        <v>8.3099999999999997E-3</v>
      </c>
      <c r="JW24">
        <v>8.8100000000000001E-3</v>
      </c>
      <c r="JX24">
        <v>8.1499999999999993E-3</v>
      </c>
      <c r="JZ24">
        <v>1.035E-2</v>
      </c>
      <c r="KA24">
        <v>1.0449999999999999E-2</v>
      </c>
      <c r="KB24">
        <v>7.11E-3</v>
      </c>
      <c r="KC24">
        <v>7.4400000000000004E-3</v>
      </c>
      <c r="KD24">
        <v>8.0199999999999994E-3</v>
      </c>
      <c r="KE24">
        <v>8.7100000000000007E-3</v>
      </c>
      <c r="KF24">
        <v>1.0659999999999999E-2</v>
      </c>
      <c r="KG24">
        <v>1.302E-2</v>
      </c>
      <c r="KH24">
        <v>9.2099999999999994E-3</v>
      </c>
      <c r="KI24">
        <v>1.089E-2</v>
      </c>
      <c r="KJ24">
        <v>1.0959999999999999E-2</v>
      </c>
      <c r="KK24">
        <v>1.103E-2</v>
      </c>
      <c r="KL24">
        <v>1.124E-2</v>
      </c>
      <c r="KM24">
        <v>1.133E-2</v>
      </c>
      <c r="KN24">
        <v>6.45E-3</v>
      </c>
      <c r="KO24">
        <v>7.1799999999999998E-3</v>
      </c>
      <c r="KP24">
        <v>9.8700000000000003E-3</v>
      </c>
      <c r="KQ24">
        <v>1.026E-2</v>
      </c>
      <c r="KR24">
        <v>1.1520000000000001E-2</v>
      </c>
      <c r="KS24">
        <v>9.2999999999999992E-3</v>
      </c>
      <c r="KT24">
        <v>1.0059999999999999E-2</v>
      </c>
      <c r="KU24">
        <v>6.0299999999999998E-3</v>
      </c>
      <c r="KV24">
        <v>5.9100000000000003E-3</v>
      </c>
      <c r="KW24">
        <v>6.3499999999999997E-3</v>
      </c>
      <c r="KX24">
        <v>1.44E-2</v>
      </c>
      <c r="KY24">
        <v>5.8100000000000001E-3</v>
      </c>
      <c r="KZ24">
        <v>7.28E-3</v>
      </c>
      <c r="LA24">
        <v>8.7600000000000004E-3</v>
      </c>
      <c r="LB24">
        <v>8.2299999999999995E-3</v>
      </c>
      <c r="LC24">
        <v>8.5400000000000007E-3</v>
      </c>
      <c r="LD24">
        <v>8.5400000000000007E-3</v>
      </c>
      <c r="LE24">
        <v>1.214E-2</v>
      </c>
      <c r="LF24">
        <v>1.1950000000000001E-2</v>
      </c>
      <c r="LG24">
        <v>1.2279999999999999E-2</v>
      </c>
      <c r="LI24">
        <v>1.197E-2</v>
      </c>
      <c r="LJ24">
        <v>1.222E-2</v>
      </c>
      <c r="LK24">
        <v>1.225E-2</v>
      </c>
      <c r="LL24">
        <v>1.0070000000000001E-2</v>
      </c>
      <c r="LM24">
        <v>6.8799999999999998E-3</v>
      </c>
      <c r="LO24">
        <v>1.14E-2</v>
      </c>
      <c r="LP24">
        <v>9.2700000000000005E-3</v>
      </c>
      <c r="LR24">
        <v>1.226E-2</v>
      </c>
      <c r="LS24">
        <v>1.3650000000000001E-2</v>
      </c>
      <c r="LV24">
        <v>1.7430000000000001E-2</v>
      </c>
      <c r="LW24">
        <v>5.4299999999999999E-3</v>
      </c>
      <c r="LX24">
        <v>6.0600000000000003E-3</v>
      </c>
      <c r="LZ24">
        <v>1.0019999999999999E-2</v>
      </c>
      <c r="MA24">
        <v>9.7999999999999997E-3</v>
      </c>
      <c r="MB24">
        <v>5.0099999999999997E-3</v>
      </c>
      <c r="MC24">
        <v>9.2099999999999994E-3</v>
      </c>
      <c r="MD24">
        <v>1.225E-2</v>
      </c>
      <c r="ME24">
        <v>1.5570000000000001E-2</v>
      </c>
      <c r="MF24">
        <v>1.779E-2</v>
      </c>
      <c r="MH24">
        <v>1.0500000000000001E-2</v>
      </c>
      <c r="MI24">
        <v>1.1650000000000001E-2</v>
      </c>
      <c r="MJ24">
        <v>1.1650000000000001E-2</v>
      </c>
      <c r="ML24">
        <v>1.3559999999999999E-2</v>
      </c>
      <c r="MN24">
        <v>6.7299999999999999E-3</v>
      </c>
      <c r="MO24">
        <v>7.5399999999999998E-3</v>
      </c>
      <c r="MP24">
        <v>7.4599999999999996E-3</v>
      </c>
      <c r="MQ24">
        <v>6.3099999999999996E-3</v>
      </c>
      <c r="MS24">
        <v>8.9800000000000001E-3</v>
      </c>
      <c r="MT24">
        <v>9.5999999999999992E-3</v>
      </c>
      <c r="MU24">
        <v>6.1000000000000004E-3</v>
      </c>
      <c r="MV24">
        <v>7.1000000000000004E-3</v>
      </c>
      <c r="MW24">
        <v>7.5599999999999999E-3</v>
      </c>
      <c r="MX24">
        <v>7.8300000000000002E-3</v>
      </c>
      <c r="MY24">
        <v>8.5299999999999994E-3</v>
      </c>
      <c r="MZ24">
        <v>9.41E-3</v>
      </c>
      <c r="NA24">
        <v>8.5299999999999994E-3</v>
      </c>
      <c r="NB24">
        <v>8.8500000000000002E-3</v>
      </c>
      <c r="ND24">
        <v>1.145E-2</v>
      </c>
      <c r="NE24">
        <v>1.065E-2</v>
      </c>
      <c r="NF24">
        <v>1.052E-2</v>
      </c>
      <c r="NG24">
        <v>6.3E-3</v>
      </c>
      <c r="NH24">
        <v>5.0400000000000002E-3</v>
      </c>
      <c r="NI24">
        <v>5.5900000000000004E-3</v>
      </c>
      <c r="NJ24">
        <v>6.2899999999999996E-3</v>
      </c>
      <c r="NK24">
        <v>5.5300000000000002E-3</v>
      </c>
      <c r="NL24">
        <v>5.9500000000000004E-3</v>
      </c>
      <c r="NM24">
        <v>6.3299999999999997E-3</v>
      </c>
      <c r="NN24">
        <v>6.7000000000000002E-3</v>
      </c>
      <c r="NO24">
        <v>6.9899999999999997E-3</v>
      </c>
      <c r="NP24">
        <v>5.5799999999999999E-3</v>
      </c>
      <c r="NQ24">
        <v>6.0499999999999998E-3</v>
      </c>
      <c r="NR24">
        <v>6.0200000000000002E-3</v>
      </c>
      <c r="NS24">
        <v>6.3800000000000003E-3</v>
      </c>
      <c r="NT24">
        <v>7.0200000000000002E-3</v>
      </c>
      <c r="NU24">
        <v>5.6499999999999996E-3</v>
      </c>
      <c r="NV24">
        <v>6.0499999999999998E-3</v>
      </c>
      <c r="NW24">
        <v>6.0600000000000003E-3</v>
      </c>
      <c r="NX24">
        <v>6.3400000000000001E-3</v>
      </c>
      <c r="NY24">
        <v>6.45E-3</v>
      </c>
      <c r="NZ24">
        <v>6.8300000000000001E-3</v>
      </c>
      <c r="OA24">
        <v>7.11E-3</v>
      </c>
      <c r="OB24">
        <v>5.7000000000000002E-3</v>
      </c>
      <c r="OC24">
        <v>6.1000000000000004E-3</v>
      </c>
      <c r="OD24">
        <v>6.2399999999999999E-3</v>
      </c>
      <c r="OE24">
        <v>6.2399999999999999E-3</v>
      </c>
      <c r="OF24">
        <v>9.5600000000000008E-3</v>
      </c>
      <c r="OG24">
        <v>6.5300000000000002E-3</v>
      </c>
      <c r="OH24">
        <v>6.77E-3</v>
      </c>
      <c r="OI24">
        <v>7.2100000000000003E-3</v>
      </c>
      <c r="OJ24">
        <v>7.5199999999999998E-3</v>
      </c>
      <c r="OK24">
        <v>7.7099999999999998E-3</v>
      </c>
      <c r="OL24">
        <v>8.0000000000000002E-3</v>
      </c>
      <c r="OM24">
        <v>5.8500000000000002E-3</v>
      </c>
      <c r="ON24">
        <v>6.1900000000000002E-3</v>
      </c>
      <c r="OO24">
        <v>6.6E-3</v>
      </c>
      <c r="OP24">
        <v>7.26E-3</v>
      </c>
      <c r="OQ24">
        <v>7.5599999999999999E-3</v>
      </c>
      <c r="OR24">
        <v>7.8300000000000002E-3</v>
      </c>
      <c r="OS24">
        <v>8.8699999999999994E-3</v>
      </c>
      <c r="OT24">
        <v>6.1999999999999998E-3</v>
      </c>
      <c r="OU24">
        <v>6.3299999999999997E-3</v>
      </c>
      <c r="OV24">
        <v>4.7499999999999999E-3</v>
      </c>
      <c r="OW24">
        <v>4.3299999999999996E-3</v>
      </c>
      <c r="OX24">
        <v>4.1799999999999997E-3</v>
      </c>
      <c r="OY24">
        <v>4.2399999999999998E-3</v>
      </c>
      <c r="OZ24">
        <v>5.3400000000000001E-3</v>
      </c>
      <c r="PA24">
        <v>1.158E-2</v>
      </c>
      <c r="PB24">
        <v>1.281E-2</v>
      </c>
      <c r="PC24">
        <v>9.5899999999999996E-3</v>
      </c>
      <c r="PD24">
        <v>8.1499999999999993E-3</v>
      </c>
      <c r="PE24">
        <v>7.4599999999999996E-3</v>
      </c>
      <c r="PF24">
        <v>6.9699999999999996E-3</v>
      </c>
      <c r="PG24">
        <v>6.96E-3</v>
      </c>
      <c r="PH24">
        <v>6.8900000000000003E-3</v>
      </c>
      <c r="PI24">
        <v>8.9099999999999995E-3</v>
      </c>
      <c r="PJ24">
        <v>8.2699999999999996E-3</v>
      </c>
      <c r="PK24">
        <v>7.4000000000000003E-3</v>
      </c>
      <c r="PM24">
        <v>6.0800000000000003E-3</v>
      </c>
      <c r="PN24">
        <v>6.5599999999999999E-3</v>
      </c>
      <c r="PO24">
        <v>6.8399999999999997E-3</v>
      </c>
      <c r="PP24">
        <v>7.1999999999999998E-3</v>
      </c>
      <c r="PQ24">
        <v>7.3099999999999997E-3</v>
      </c>
      <c r="PR24">
        <v>6.4099999999999999E-3</v>
      </c>
      <c r="PS24">
        <v>7.8600000000000007E-3</v>
      </c>
      <c r="PT24">
        <v>7.6299999999999996E-3</v>
      </c>
      <c r="PU24">
        <v>5.5900000000000004E-3</v>
      </c>
      <c r="PV24">
        <v>7.0400000000000003E-3</v>
      </c>
      <c r="PX24">
        <v>9.3100000000000006E-3</v>
      </c>
      <c r="PZ24">
        <v>1.278E-2</v>
      </c>
      <c r="QA24">
        <v>5.0400000000000002E-3</v>
      </c>
      <c r="QB24">
        <v>5.2399999999999999E-3</v>
      </c>
      <c r="QC24">
        <v>6.3299999999999997E-3</v>
      </c>
      <c r="QD24">
        <v>5.6800000000000002E-3</v>
      </c>
      <c r="QE24">
        <v>5.5799999999999999E-3</v>
      </c>
      <c r="QF24">
        <v>5.6800000000000002E-3</v>
      </c>
      <c r="QG24">
        <v>6.5500000000000003E-3</v>
      </c>
      <c r="QH24">
        <v>5.6899999999999997E-3</v>
      </c>
      <c r="QI24">
        <v>5.8500000000000002E-3</v>
      </c>
      <c r="QJ24">
        <v>5.96E-3</v>
      </c>
      <c r="QK24">
        <v>5.62E-3</v>
      </c>
      <c r="QL24">
        <v>5.4200000000000003E-3</v>
      </c>
      <c r="QM24">
        <v>6.2500000000000003E-3</v>
      </c>
      <c r="QN24">
        <v>8.3300000000000006E-3</v>
      </c>
      <c r="QO24">
        <v>7.7299999999999999E-3</v>
      </c>
      <c r="QP24">
        <v>7.7200000000000003E-3</v>
      </c>
      <c r="QQ24">
        <v>7.8300000000000002E-3</v>
      </c>
      <c r="QR24">
        <v>9.6900000000000007E-3</v>
      </c>
      <c r="QS24">
        <v>9.7300000000000008E-3</v>
      </c>
      <c r="QT24">
        <v>7.6800000000000002E-3</v>
      </c>
      <c r="QU24">
        <v>7.8399999999999997E-3</v>
      </c>
      <c r="QV24">
        <v>7.9900000000000006E-3</v>
      </c>
      <c r="QX24">
        <v>7.45E-3</v>
      </c>
      <c r="QY24">
        <v>6.9199999999999999E-3</v>
      </c>
      <c r="RA24">
        <v>9.2899999999999996E-3</v>
      </c>
      <c r="RB24">
        <v>1.1560000000000001E-2</v>
      </c>
      <c r="RC24">
        <v>9.4699999999999993E-3</v>
      </c>
      <c r="RD24">
        <v>1.8700000000000001E-2</v>
      </c>
      <c r="RE24">
        <v>1.8970000000000001E-2</v>
      </c>
      <c r="RF24">
        <v>1.057E-2</v>
      </c>
      <c r="RG24">
        <v>7.0899999999999999E-3</v>
      </c>
      <c r="RH24">
        <v>6.3400000000000001E-3</v>
      </c>
      <c r="RI24">
        <v>1.077E-2</v>
      </c>
      <c r="RJ24">
        <v>1.149E-2</v>
      </c>
      <c r="RK24">
        <v>1.098E-2</v>
      </c>
      <c r="RL24">
        <v>9.8600000000000007E-3</v>
      </c>
      <c r="RM24">
        <v>5.7299999999999999E-3</v>
      </c>
      <c r="RN24">
        <v>5.7200000000000003E-3</v>
      </c>
      <c r="RO24">
        <v>5.7200000000000003E-3</v>
      </c>
      <c r="RP24">
        <v>5.3600000000000002E-3</v>
      </c>
      <c r="RQ24">
        <v>5.8300000000000001E-3</v>
      </c>
      <c r="RR24">
        <v>5.5300000000000002E-3</v>
      </c>
      <c r="RS24">
        <v>5.6800000000000002E-3</v>
      </c>
      <c r="RT24">
        <v>4.9300000000000004E-3</v>
      </c>
      <c r="RU24">
        <v>5.5999999999999999E-3</v>
      </c>
      <c r="RV24">
        <v>6.3499999999999997E-3</v>
      </c>
      <c r="RW24">
        <v>7.11E-3</v>
      </c>
      <c r="RX24">
        <v>6.3800000000000003E-3</v>
      </c>
      <c r="RY24">
        <v>4.8599999999999997E-3</v>
      </c>
      <c r="RZ24">
        <v>7.8799999999999999E-3</v>
      </c>
      <c r="SA24">
        <v>1.4659999999999999E-2</v>
      </c>
      <c r="SB24">
        <v>1.306E-2</v>
      </c>
      <c r="SC24">
        <v>8.3700000000000007E-3</v>
      </c>
      <c r="SD24">
        <v>8.4799999999999997E-3</v>
      </c>
      <c r="SE24">
        <v>7.6499999999999997E-3</v>
      </c>
      <c r="SF24">
        <v>8.4399999999999996E-3</v>
      </c>
      <c r="SG24">
        <v>1.0999999999999999E-2</v>
      </c>
      <c r="SH24">
        <v>1.3639999999999999E-2</v>
      </c>
      <c r="SI24">
        <v>7.79E-3</v>
      </c>
      <c r="SJ24">
        <v>6.2100000000000002E-3</v>
      </c>
      <c r="SK24">
        <v>5.64E-3</v>
      </c>
      <c r="SM24">
        <v>5.4299999999999999E-3</v>
      </c>
      <c r="SN24">
        <v>5.1799999999999997E-3</v>
      </c>
      <c r="SO24">
        <v>5.1599999999999997E-3</v>
      </c>
      <c r="SP24">
        <v>6.5399999999999998E-3</v>
      </c>
      <c r="SQ24">
        <v>6.5700000000000003E-3</v>
      </c>
      <c r="SR24">
        <v>6.2199999999999998E-3</v>
      </c>
      <c r="SS24">
        <v>5.6899999999999997E-3</v>
      </c>
      <c r="ST24">
        <v>5.6100000000000004E-3</v>
      </c>
      <c r="SU24">
        <v>6.1000000000000004E-3</v>
      </c>
      <c r="SV24">
        <v>5.8500000000000002E-3</v>
      </c>
      <c r="SW24">
        <v>6.0400000000000002E-3</v>
      </c>
      <c r="SX24">
        <v>7.2100000000000003E-3</v>
      </c>
      <c r="SY24">
        <v>5.8199999999999997E-3</v>
      </c>
      <c r="SZ24">
        <v>6.0499999999999998E-3</v>
      </c>
      <c r="TA24">
        <v>6.1599999999999997E-3</v>
      </c>
      <c r="TB24">
        <v>6.3800000000000003E-3</v>
      </c>
      <c r="TC24">
        <v>5.45E-3</v>
      </c>
      <c r="TD24">
        <v>7.1999999999999998E-3</v>
      </c>
      <c r="TE24">
        <v>7.7799999999999996E-3</v>
      </c>
      <c r="TF24">
        <v>7.4900000000000001E-3</v>
      </c>
      <c r="TG24">
        <v>6.4999999999999997E-3</v>
      </c>
      <c r="TH24">
        <v>8.8599999999999998E-3</v>
      </c>
      <c r="TI24">
        <v>6.3099999999999996E-3</v>
      </c>
      <c r="TJ24">
        <v>6.0899999999999999E-3</v>
      </c>
      <c r="TK24">
        <v>5.5700000000000003E-3</v>
      </c>
      <c r="TL24">
        <v>5.1799999999999997E-3</v>
      </c>
      <c r="TM24">
        <v>4.7699999999999999E-3</v>
      </c>
      <c r="TN24">
        <v>5.9500000000000004E-3</v>
      </c>
      <c r="TO24">
        <v>6.1999999999999998E-3</v>
      </c>
      <c r="TP24">
        <v>5.77E-3</v>
      </c>
      <c r="TQ24">
        <v>5.4999999999999997E-3</v>
      </c>
      <c r="TS24">
        <v>8.1200000000000005E-3</v>
      </c>
      <c r="TT24">
        <v>7.9100000000000004E-3</v>
      </c>
      <c r="TU24">
        <v>7.1000000000000004E-3</v>
      </c>
      <c r="TV24">
        <v>6.79E-3</v>
      </c>
      <c r="TW24">
        <v>5.6299999999999996E-3</v>
      </c>
      <c r="TX24">
        <v>5.5900000000000004E-3</v>
      </c>
      <c r="TZ24">
        <v>5.4900000000000001E-3</v>
      </c>
      <c r="UA24">
        <v>4.7299999999999998E-3</v>
      </c>
      <c r="UB24">
        <v>5.5799999999999999E-3</v>
      </c>
      <c r="UC24">
        <v>5.4000000000000003E-3</v>
      </c>
      <c r="UD24">
        <v>5.4000000000000003E-3</v>
      </c>
      <c r="UE24">
        <v>5.3899999999999998E-3</v>
      </c>
      <c r="UF24">
        <v>5.6600000000000001E-3</v>
      </c>
      <c r="UG24">
        <v>5.6699999999999997E-3</v>
      </c>
      <c r="UH24">
        <v>6.0200000000000002E-3</v>
      </c>
      <c r="UI24">
        <v>6.1199999999999996E-3</v>
      </c>
      <c r="UJ24">
        <v>5.9500000000000004E-3</v>
      </c>
      <c r="UK24">
        <v>5.5700000000000003E-3</v>
      </c>
      <c r="UL24">
        <v>5.9899999999999997E-3</v>
      </c>
      <c r="UM24">
        <v>6.5300000000000002E-3</v>
      </c>
      <c r="UN24">
        <v>5.3899999999999998E-3</v>
      </c>
      <c r="UO24">
        <v>5.8599999999999998E-3</v>
      </c>
      <c r="UP24">
        <v>7.9799999999999992E-3</v>
      </c>
      <c r="UQ24">
        <v>5.3099999999999996E-3</v>
      </c>
      <c r="UR24">
        <v>5.4799999999999996E-3</v>
      </c>
      <c r="US24">
        <v>5.7800000000000004E-3</v>
      </c>
      <c r="UT24">
        <v>5.3600000000000002E-3</v>
      </c>
      <c r="UU24">
        <v>5.5199999999999997E-3</v>
      </c>
      <c r="UV24">
        <v>5.7200000000000003E-3</v>
      </c>
      <c r="UW24">
        <v>8.3400000000000002E-3</v>
      </c>
      <c r="UX24">
        <v>6.11E-3</v>
      </c>
      <c r="UY24">
        <v>6.3400000000000001E-3</v>
      </c>
      <c r="VA24">
        <v>9.1599999999999997E-3</v>
      </c>
      <c r="VB24">
        <v>6.8199999999999997E-3</v>
      </c>
      <c r="VC24">
        <v>8.5900000000000004E-3</v>
      </c>
      <c r="VF24">
        <v>1.9359999999999999E-2</v>
      </c>
      <c r="VG24">
        <v>1.252E-2</v>
      </c>
      <c r="VH24">
        <v>9.2700000000000005E-3</v>
      </c>
      <c r="VI24">
        <v>7.5399999999999998E-3</v>
      </c>
    </row>
    <row r="25" spans="1:581" x14ac:dyDescent="0.25">
      <c r="A25">
        <v>550000</v>
      </c>
      <c r="C25">
        <v>4.62E-3</v>
      </c>
      <c r="D25">
        <v>4.4000000000000003E-3</v>
      </c>
      <c r="E25">
        <v>4.3E-3</v>
      </c>
      <c r="F25">
        <v>4.3200000000000001E-3</v>
      </c>
      <c r="G25">
        <v>4.9800000000000001E-3</v>
      </c>
      <c r="H25">
        <v>4.5199999999999997E-3</v>
      </c>
      <c r="I25">
        <v>4.4000000000000003E-3</v>
      </c>
      <c r="J25">
        <v>4.3099999999999996E-3</v>
      </c>
      <c r="K25">
        <v>4.8300000000000001E-3</v>
      </c>
      <c r="L25">
        <v>4.5900000000000003E-3</v>
      </c>
      <c r="N25">
        <v>4.4299999999999999E-3</v>
      </c>
      <c r="O25">
        <v>6.4900000000000001E-3</v>
      </c>
      <c r="R25">
        <v>5.6299999999999996E-3</v>
      </c>
      <c r="S25">
        <v>5.4000000000000003E-3</v>
      </c>
      <c r="T25">
        <v>5.28E-3</v>
      </c>
      <c r="U25">
        <v>6.0299999999999998E-3</v>
      </c>
      <c r="V25">
        <v>5.3499999999999997E-3</v>
      </c>
      <c r="W25">
        <v>5.4299999999999999E-3</v>
      </c>
      <c r="X25">
        <v>5.1599999999999997E-3</v>
      </c>
      <c r="Y25">
        <v>4.6600000000000001E-3</v>
      </c>
      <c r="Z25">
        <v>4.4299999999999999E-3</v>
      </c>
      <c r="AA25">
        <v>1.0120000000000001E-2</v>
      </c>
      <c r="AB25">
        <v>7.7000000000000002E-3</v>
      </c>
      <c r="AC25">
        <v>8.6400000000000001E-3</v>
      </c>
      <c r="AD25">
        <v>6.7799999999999996E-3</v>
      </c>
      <c r="AE25">
        <v>7.8300000000000002E-3</v>
      </c>
      <c r="AF25">
        <v>7.6299999999999996E-3</v>
      </c>
      <c r="AG25">
        <v>9.4199999999999996E-3</v>
      </c>
      <c r="AH25">
        <v>9.3900000000000008E-3</v>
      </c>
      <c r="AI25">
        <v>1.1509999999999999E-2</v>
      </c>
      <c r="AJ25">
        <v>7.5799999999999999E-3</v>
      </c>
      <c r="AK25">
        <v>7.9799999999999992E-3</v>
      </c>
      <c r="AL25">
        <v>9.11E-3</v>
      </c>
      <c r="AM25">
        <v>9.6799999999999994E-3</v>
      </c>
      <c r="AN25">
        <v>1.0070000000000001E-2</v>
      </c>
      <c r="AO25">
        <v>1.72E-2</v>
      </c>
      <c r="AP25">
        <v>9.7300000000000008E-3</v>
      </c>
      <c r="AR25">
        <v>1.051E-2</v>
      </c>
      <c r="AS25">
        <v>1.112E-2</v>
      </c>
      <c r="AT25">
        <v>8.8299999999999993E-3</v>
      </c>
      <c r="AW25">
        <v>1.018E-2</v>
      </c>
      <c r="AX25">
        <v>9.7900000000000001E-3</v>
      </c>
      <c r="AZ25">
        <v>9.3299999999999998E-3</v>
      </c>
      <c r="BA25">
        <v>1.2E-2</v>
      </c>
      <c r="BB25">
        <v>8.6099999999999996E-3</v>
      </c>
      <c r="BC25">
        <v>9.41E-3</v>
      </c>
      <c r="BD25">
        <v>9.9699999999999997E-3</v>
      </c>
      <c r="BE25">
        <v>1.2149999999999999E-2</v>
      </c>
      <c r="BF25">
        <v>1.291E-2</v>
      </c>
      <c r="BG25">
        <v>9.2300000000000004E-3</v>
      </c>
      <c r="BH25">
        <v>1.0370000000000001E-2</v>
      </c>
      <c r="BI25">
        <v>1.3350000000000001E-2</v>
      </c>
      <c r="BJ25">
        <v>9.5600000000000008E-3</v>
      </c>
      <c r="BK25">
        <v>9.7699999999999992E-3</v>
      </c>
      <c r="BL25">
        <v>9.8200000000000006E-3</v>
      </c>
      <c r="BM25">
        <v>9.3399999999999993E-3</v>
      </c>
      <c r="BN25">
        <v>6.1900000000000002E-3</v>
      </c>
      <c r="BO25">
        <v>1.0659999999999999E-2</v>
      </c>
      <c r="BP25">
        <v>7.7200000000000003E-3</v>
      </c>
      <c r="BQ25">
        <v>6.62E-3</v>
      </c>
      <c r="BR25">
        <v>7.9900000000000006E-3</v>
      </c>
      <c r="BS25">
        <v>1.261E-2</v>
      </c>
      <c r="BT25">
        <v>1.1390000000000001E-2</v>
      </c>
      <c r="BU25">
        <v>1.091E-2</v>
      </c>
      <c r="BV25">
        <v>1.119E-2</v>
      </c>
      <c r="BW25">
        <v>1.0699999999999999E-2</v>
      </c>
      <c r="BY25">
        <v>1.0829999999999999E-2</v>
      </c>
      <c r="BZ25">
        <v>9.8200000000000006E-3</v>
      </c>
      <c r="CA25">
        <v>1.025E-2</v>
      </c>
      <c r="CB25">
        <v>7.5599999999999999E-3</v>
      </c>
      <c r="CC25">
        <v>8.4200000000000004E-3</v>
      </c>
      <c r="CD25">
        <v>7.2199999999999999E-3</v>
      </c>
      <c r="CE25">
        <v>6.1599999999999997E-3</v>
      </c>
      <c r="CF25">
        <v>6.0299999999999998E-3</v>
      </c>
      <c r="CG25">
        <v>5.9100000000000003E-3</v>
      </c>
      <c r="CH25">
        <v>5.9100000000000003E-3</v>
      </c>
      <c r="CI25">
        <v>5.9899999999999997E-3</v>
      </c>
      <c r="CJ25">
        <v>6.1999999999999998E-3</v>
      </c>
      <c r="CK25">
        <v>7.3800000000000003E-3</v>
      </c>
      <c r="CL25">
        <v>6.3899999999999998E-3</v>
      </c>
      <c r="CM25">
        <v>6.8599999999999998E-3</v>
      </c>
      <c r="CN25">
        <v>7.7400000000000004E-3</v>
      </c>
      <c r="CO25">
        <v>7.1399999999999996E-3</v>
      </c>
      <c r="CP25">
        <v>7.9900000000000006E-3</v>
      </c>
      <c r="CQ25">
        <v>6.7000000000000002E-3</v>
      </c>
      <c r="CR25">
        <v>6.9300000000000004E-3</v>
      </c>
      <c r="CS25">
        <v>7.9299999999999995E-3</v>
      </c>
      <c r="CT25">
        <v>8.3700000000000007E-3</v>
      </c>
      <c r="CV25">
        <v>6.1999999999999998E-3</v>
      </c>
      <c r="CW25">
        <v>6.8500000000000002E-3</v>
      </c>
      <c r="CX25">
        <v>6.79E-3</v>
      </c>
      <c r="CY25">
        <v>7.5700000000000003E-3</v>
      </c>
      <c r="CZ25">
        <v>6.3699999999999998E-3</v>
      </c>
      <c r="DA25">
        <v>5.8900000000000003E-3</v>
      </c>
      <c r="DB25">
        <v>5.7600000000000004E-3</v>
      </c>
      <c r="DC25">
        <v>5.6600000000000001E-3</v>
      </c>
      <c r="DD25">
        <v>5.5599999999999998E-3</v>
      </c>
      <c r="DE25">
        <v>5.5300000000000002E-3</v>
      </c>
      <c r="DF25">
        <v>1.174E-2</v>
      </c>
      <c r="DG25">
        <v>6.9899999999999997E-3</v>
      </c>
      <c r="DH25">
        <v>1.0449999999999999E-2</v>
      </c>
      <c r="DI25">
        <v>9.8099999999999993E-3</v>
      </c>
      <c r="DJ25">
        <v>9.4199999999999996E-3</v>
      </c>
      <c r="DK25">
        <v>9.0799999999999995E-3</v>
      </c>
      <c r="DL25">
        <v>8.8800000000000007E-3</v>
      </c>
      <c r="DN25">
        <v>9.9100000000000004E-3</v>
      </c>
      <c r="DP25">
        <v>7.5100000000000002E-3</v>
      </c>
      <c r="DR25">
        <v>1.103E-2</v>
      </c>
      <c r="DS25">
        <v>1.124E-2</v>
      </c>
      <c r="DT25">
        <v>1.017E-2</v>
      </c>
      <c r="DU25">
        <v>8.6899999999999998E-3</v>
      </c>
      <c r="DW25">
        <v>1.2370000000000001E-2</v>
      </c>
      <c r="DX25">
        <v>1.043E-2</v>
      </c>
      <c r="DY25">
        <v>1.1379999999999999E-2</v>
      </c>
      <c r="DZ25">
        <v>8.9499999999999996E-3</v>
      </c>
      <c r="EA25">
        <v>7.1500000000000001E-3</v>
      </c>
      <c r="EB25">
        <v>7.0099999999999997E-3</v>
      </c>
      <c r="EC25">
        <v>6.4999999999999997E-3</v>
      </c>
      <c r="ED25">
        <v>2.5569999999999999E-2</v>
      </c>
      <c r="EH25">
        <v>2.5819999999999999E-2</v>
      </c>
      <c r="EI25">
        <v>6.8399999999999997E-3</v>
      </c>
      <c r="EJ25">
        <v>6.1799999999999997E-3</v>
      </c>
      <c r="EK25">
        <v>6.6600000000000001E-3</v>
      </c>
      <c r="EL25">
        <v>7.4900000000000001E-3</v>
      </c>
      <c r="EM25">
        <v>8.0199999999999994E-3</v>
      </c>
      <c r="EN25">
        <v>8.3199999999999993E-3</v>
      </c>
      <c r="EO25">
        <v>8.5500000000000003E-3</v>
      </c>
      <c r="EP25">
        <v>8.7299999999999999E-3</v>
      </c>
      <c r="EQ25">
        <v>8.8599999999999998E-3</v>
      </c>
      <c r="ES25">
        <v>9.1599999999999997E-3</v>
      </c>
      <c r="ET25">
        <v>1.0449999999999999E-2</v>
      </c>
      <c r="EU25">
        <v>1.281E-2</v>
      </c>
      <c r="EV25">
        <v>1.188E-2</v>
      </c>
      <c r="EW25">
        <v>1.107E-2</v>
      </c>
      <c r="EX25">
        <v>1.157E-2</v>
      </c>
      <c r="EY25">
        <v>7.2100000000000003E-3</v>
      </c>
      <c r="EZ25">
        <v>7.4799999999999997E-3</v>
      </c>
      <c r="FA25">
        <v>8.9800000000000001E-3</v>
      </c>
      <c r="FB25">
        <v>9.4299999999999991E-3</v>
      </c>
      <c r="FC25">
        <v>8.5900000000000004E-3</v>
      </c>
      <c r="FD25">
        <v>7.9699999999999997E-3</v>
      </c>
      <c r="FE25">
        <v>9.2399999999999999E-3</v>
      </c>
      <c r="FF25">
        <v>5.3400000000000001E-3</v>
      </c>
      <c r="FH25">
        <v>1.057E-2</v>
      </c>
      <c r="FI25">
        <v>9.6399999999999993E-3</v>
      </c>
      <c r="FJ25">
        <v>9.4500000000000001E-3</v>
      </c>
      <c r="FK25">
        <v>9.2099999999999994E-3</v>
      </c>
      <c r="FL25">
        <v>6.6800000000000002E-3</v>
      </c>
      <c r="FN25">
        <v>9.8799999999999999E-3</v>
      </c>
      <c r="FO25">
        <v>8.3999999999999995E-3</v>
      </c>
      <c r="FP25">
        <v>7.7600000000000004E-3</v>
      </c>
      <c r="FQ25">
        <v>1.1390000000000001E-2</v>
      </c>
      <c r="FR25">
        <v>1.26E-2</v>
      </c>
      <c r="FS25">
        <v>1.24E-2</v>
      </c>
      <c r="FT25">
        <v>1.103E-2</v>
      </c>
      <c r="FU25">
        <v>1.027E-2</v>
      </c>
      <c r="FV25">
        <v>9.5899999999999996E-3</v>
      </c>
      <c r="FW25">
        <v>9.5300000000000003E-3</v>
      </c>
      <c r="FX25">
        <v>9.9500000000000005E-3</v>
      </c>
      <c r="FY25">
        <v>1.0619999999999999E-2</v>
      </c>
      <c r="FZ25">
        <v>9.5499999999999995E-3</v>
      </c>
      <c r="GA25">
        <v>1.031E-2</v>
      </c>
      <c r="GB25">
        <v>9.5099999999999994E-3</v>
      </c>
      <c r="GC25">
        <v>1.018E-2</v>
      </c>
      <c r="GD25">
        <v>9.3500000000000007E-3</v>
      </c>
      <c r="GE25">
        <v>1.0070000000000001E-2</v>
      </c>
      <c r="GF25">
        <v>8.6400000000000001E-3</v>
      </c>
      <c r="GG25">
        <v>8.6499999999999997E-3</v>
      </c>
      <c r="GH25">
        <v>8.77E-3</v>
      </c>
      <c r="GI25">
        <v>9.3799999999999994E-3</v>
      </c>
      <c r="GJ25">
        <v>9.5099999999999994E-3</v>
      </c>
      <c r="GK25">
        <v>9.7300000000000008E-3</v>
      </c>
      <c r="GL25">
        <v>1.0149999999999999E-2</v>
      </c>
      <c r="GM25">
        <v>8.7899999999999992E-3</v>
      </c>
      <c r="GO25">
        <v>9.1500000000000001E-3</v>
      </c>
      <c r="GP25">
        <v>9.5200000000000007E-3</v>
      </c>
      <c r="GQ25">
        <v>1.0070000000000001E-2</v>
      </c>
      <c r="GR25">
        <v>1.1610000000000001E-2</v>
      </c>
      <c r="GS25">
        <v>8.8800000000000007E-3</v>
      </c>
      <c r="GT25">
        <v>9.4500000000000001E-3</v>
      </c>
      <c r="GU25">
        <v>7.1000000000000004E-3</v>
      </c>
      <c r="GV25">
        <v>1.005E-2</v>
      </c>
      <c r="GW25">
        <v>1.0630000000000001E-2</v>
      </c>
      <c r="GX25">
        <v>9.4599999999999997E-3</v>
      </c>
      <c r="GY25">
        <v>1.223E-2</v>
      </c>
      <c r="GZ25">
        <v>1.0070000000000001E-2</v>
      </c>
      <c r="HC25">
        <v>7.7999999999999996E-3</v>
      </c>
      <c r="HE25">
        <v>9.2200000000000008E-3</v>
      </c>
      <c r="HF25">
        <v>8.1200000000000005E-3</v>
      </c>
      <c r="HG25">
        <v>7.7999999999999996E-3</v>
      </c>
      <c r="HI25">
        <v>1.0710000000000001E-2</v>
      </c>
      <c r="HJ25">
        <v>5.3699999999999998E-3</v>
      </c>
      <c r="HK25">
        <v>1.0800000000000001E-2</v>
      </c>
      <c r="HL25">
        <v>1.0109999999999999E-2</v>
      </c>
      <c r="HM25">
        <v>1.0019999999999999E-2</v>
      </c>
      <c r="HN25">
        <v>9.7800000000000005E-3</v>
      </c>
      <c r="HO25">
        <v>9.75E-3</v>
      </c>
      <c r="HP25">
        <v>6.2100000000000002E-3</v>
      </c>
      <c r="HQ25">
        <v>1.0970000000000001E-2</v>
      </c>
      <c r="HR25">
        <v>1.2880000000000001E-2</v>
      </c>
      <c r="HS25">
        <v>1.4160000000000001E-2</v>
      </c>
      <c r="HT25">
        <v>9.4000000000000004E-3</v>
      </c>
      <c r="HU25">
        <v>6.5700000000000003E-3</v>
      </c>
      <c r="HV25">
        <v>8.9599999999999992E-3</v>
      </c>
      <c r="HW25">
        <v>6.8799999999999998E-3</v>
      </c>
      <c r="HX25">
        <v>1.218E-2</v>
      </c>
      <c r="HY25">
        <v>9.8200000000000006E-3</v>
      </c>
      <c r="IA25">
        <v>9.8399999999999998E-3</v>
      </c>
      <c r="IB25">
        <v>1.157E-2</v>
      </c>
      <c r="IC25">
        <v>9.1000000000000004E-3</v>
      </c>
      <c r="ID25">
        <v>8.2400000000000008E-3</v>
      </c>
      <c r="IE25">
        <v>7.6099999999999996E-3</v>
      </c>
      <c r="IF25">
        <v>7.3099999999999997E-3</v>
      </c>
      <c r="IG25">
        <v>8.3099999999999997E-3</v>
      </c>
      <c r="IH25">
        <v>9.3600000000000003E-3</v>
      </c>
      <c r="II25">
        <v>6.5900000000000004E-3</v>
      </c>
      <c r="IJ25">
        <v>7.4400000000000004E-3</v>
      </c>
      <c r="IK25">
        <v>8.09E-3</v>
      </c>
      <c r="IL25">
        <v>9.0399999999999994E-3</v>
      </c>
      <c r="IM25">
        <v>1.001E-2</v>
      </c>
      <c r="IN25">
        <v>1.089E-2</v>
      </c>
      <c r="IO25">
        <v>1.1939999999999999E-2</v>
      </c>
      <c r="IP25">
        <v>1.4630000000000001E-2</v>
      </c>
      <c r="IQ25">
        <v>1.652E-2</v>
      </c>
      <c r="IR25">
        <v>1.8270000000000002E-2</v>
      </c>
      <c r="IS25">
        <v>5.5599999999999998E-3</v>
      </c>
      <c r="IT25">
        <v>7.4700000000000001E-3</v>
      </c>
      <c r="IV25">
        <v>5.9699999999999996E-3</v>
      </c>
      <c r="IW25">
        <v>7.1000000000000004E-3</v>
      </c>
      <c r="IX25">
        <v>4.7999999999999996E-3</v>
      </c>
      <c r="IY25">
        <v>5.2199999999999998E-3</v>
      </c>
      <c r="IZ25">
        <v>5.1799999999999997E-3</v>
      </c>
      <c r="JA25">
        <v>5.7000000000000002E-3</v>
      </c>
      <c r="JB25">
        <v>6.0200000000000002E-3</v>
      </c>
      <c r="JC25">
        <v>6.5599999999999999E-3</v>
      </c>
      <c r="JD25">
        <v>6.9499999999999996E-3</v>
      </c>
      <c r="JE25">
        <v>5.9300000000000004E-3</v>
      </c>
      <c r="JF25">
        <v>6.79E-3</v>
      </c>
      <c r="JG25">
        <v>7.3800000000000003E-3</v>
      </c>
      <c r="JH25">
        <v>1.461E-2</v>
      </c>
      <c r="JI25">
        <v>1.0109999999999999E-2</v>
      </c>
      <c r="JJ25">
        <v>8.6300000000000005E-3</v>
      </c>
      <c r="JK25">
        <v>1.384E-2</v>
      </c>
      <c r="JL25">
        <v>1.0460000000000001E-2</v>
      </c>
      <c r="JM25">
        <v>8.6999999999999994E-3</v>
      </c>
      <c r="JN25">
        <v>1.24E-2</v>
      </c>
      <c r="JO25">
        <v>2.5239999999999999E-2</v>
      </c>
      <c r="JQ25">
        <v>6.7099999999999998E-3</v>
      </c>
      <c r="JS25">
        <v>6.6800000000000002E-3</v>
      </c>
      <c r="JT25">
        <v>7.5399999999999998E-3</v>
      </c>
      <c r="JU25">
        <v>7.8300000000000002E-3</v>
      </c>
      <c r="JV25">
        <v>7.9699999999999997E-3</v>
      </c>
      <c r="JW25">
        <v>8.5900000000000004E-3</v>
      </c>
      <c r="JX25">
        <v>7.9299999999999995E-3</v>
      </c>
      <c r="JY25">
        <v>9.1400000000000006E-3</v>
      </c>
      <c r="JZ25">
        <v>1.0149999999999999E-2</v>
      </c>
      <c r="KA25">
        <v>1.014E-2</v>
      </c>
      <c r="KB25">
        <v>6.9899999999999997E-3</v>
      </c>
      <c r="KC25">
        <v>7.3200000000000001E-3</v>
      </c>
      <c r="KD25">
        <v>7.9000000000000008E-3</v>
      </c>
      <c r="KE25">
        <v>8.5900000000000004E-3</v>
      </c>
      <c r="KF25">
        <v>1.0580000000000001E-2</v>
      </c>
      <c r="KG25">
        <v>1.299E-2</v>
      </c>
      <c r="KH25">
        <v>9.0600000000000003E-3</v>
      </c>
      <c r="KI25">
        <v>1.0619999999999999E-2</v>
      </c>
      <c r="KJ25">
        <v>1.0749999999999999E-2</v>
      </c>
      <c r="KK25">
        <v>1.081E-2</v>
      </c>
      <c r="KL25">
        <v>1.094E-2</v>
      </c>
      <c r="KM25">
        <v>1.112E-2</v>
      </c>
      <c r="KN25">
        <v>6.3E-3</v>
      </c>
      <c r="KO25">
        <v>7.0299999999999998E-3</v>
      </c>
      <c r="KP25">
        <v>9.6799999999999994E-3</v>
      </c>
      <c r="KQ25">
        <v>1.004E-2</v>
      </c>
      <c r="KR25">
        <v>1.1299999999999999E-2</v>
      </c>
      <c r="KS25">
        <v>8.9800000000000001E-3</v>
      </c>
      <c r="KT25">
        <v>9.7300000000000008E-3</v>
      </c>
      <c r="KU25">
        <v>5.8900000000000003E-3</v>
      </c>
      <c r="KV25">
        <v>5.8199999999999997E-3</v>
      </c>
      <c r="KW25">
        <v>6.2500000000000003E-3</v>
      </c>
      <c r="KX25">
        <v>1.417E-2</v>
      </c>
      <c r="KY25">
        <v>5.8199999999999997E-3</v>
      </c>
      <c r="KZ25">
        <v>7.28E-3</v>
      </c>
      <c r="LA25">
        <v>8.6199999999999992E-3</v>
      </c>
      <c r="LB25">
        <v>8.0800000000000004E-3</v>
      </c>
      <c r="LC25">
        <v>8.3199999999999993E-3</v>
      </c>
      <c r="LD25">
        <v>8.3199999999999993E-3</v>
      </c>
      <c r="LE25">
        <v>1.1939999999999999E-2</v>
      </c>
      <c r="LF25">
        <v>1.17E-2</v>
      </c>
      <c r="LG25">
        <v>1.189E-2</v>
      </c>
      <c r="LI25">
        <v>1.174E-2</v>
      </c>
      <c r="LJ25">
        <v>1.201E-2</v>
      </c>
      <c r="LK25">
        <v>1.2109999999999999E-2</v>
      </c>
      <c r="LL25">
        <v>9.75E-3</v>
      </c>
      <c r="LM25">
        <v>6.7600000000000004E-3</v>
      </c>
      <c r="LO25">
        <v>1.102E-2</v>
      </c>
      <c r="LP25">
        <v>8.9999999999999993E-3</v>
      </c>
      <c r="LR25">
        <v>1.2E-2</v>
      </c>
      <c r="LS25">
        <v>1.3390000000000001E-2</v>
      </c>
      <c r="LT25">
        <v>8.7799999999999996E-3</v>
      </c>
      <c r="LV25">
        <v>1.6719999999999999E-2</v>
      </c>
      <c r="LW25">
        <v>5.3299999999999997E-3</v>
      </c>
      <c r="LX25">
        <v>5.9899999999999997E-3</v>
      </c>
      <c r="LY25">
        <v>9.6799999999999994E-3</v>
      </c>
      <c r="LZ25">
        <v>9.7599999999999996E-3</v>
      </c>
      <c r="MA25">
        <v>9.5899999999999996E-3</v>
      </c>
      <c r="MB25">
        <v>4.8799999999999998E-3</v>
      </c>
      <c r="MC25">
        <v>8.9099999999999995E-3</v>
      </c>
      <c r="MD25">
        <v>1.209E-2</v>
      </c>
      <c r="ME25">
        <v>1.5010000000000001E-2</v>
      </c>
      <c r="MF25">
        <v>1.7270000000000001E-2</v>
      </c>
      <c r="MH25">
        <v>9.9799999999999993E-3</v>
      </c>
      <c r="MI25">
        <v>1.1140000000000001E-2</v>
      </c>
      <c r="MJ25">
        <v>1.115E-2</v>
      </c>
      <c r="MM25">
        <v>1.136E-2</v>
      </c>
      <c r="MN25">
        <v>6.6499999999999997E-3</v>
      </c>
      <c r="MO25">
        <v>7.3800000000000003E-3</v>
      </c>
      <c r="MP25">
        <v>7.3499999999999998E-3</v>
      </c>
      <c r="MR25">
        <v>7.6299999999999996E-3</v>
      </c>
      <c r="MS25">
        <v>8.7399999999999995E-3</v>
      </c>
      <c r="MT25">
        <v>9.3900000000000008E-3</v>
      </c>
      <c r="MU25">
        <v>5.9699999999999996E-3</v>
      </c>
      <c r="MV25">
        <v>6.94E-3</v>
      </c>
      <c r="MW25">
        <v>7.4200000000000004E-3</v>
      </c>
      <c r="MX25">
        <v>7.6499999999999997E-3</v>
      </c>
      <c r="MY25">
        <v>8.3400000000000002E-3</v>
      </c>
      <c r="MZ25">
        <v>9.2499999999999995E-3</v>
      </c>
      <c r="NB25">
        <v>8.6199999999999992E-3</v>
      </c>
      <c r="ND25">
        <v>1.142E-2</v>
      </c>
      <c r="NE25">
        <v>1.035E-2</v>
      </c>
      <c r="NF25">
        <v>1.0370000000000001E-2</v>
      </c>
      <c r="NG25">
        <v>6.2100000000000002E-3</v>
      </c>
      <c r="NH25">
        <v>4.9699999999999996E-3</v>
      </c>
      <c r="NI25">
        <v>5.4999999999999997E-3</v>
      </c>
      <c r="NJ25">
        <v>6.1900000000000002E-3</v>
      </c>
      <c r="NK25">
        <v>5.45E-3</v>
      </c>
      <c r="NL25">
        <v>5.8300000000000001E-3</v>
      </c>
      <c r="NM25">
        <v>6.2199999999999998E-3</v>
      </c>
      <c r="NN25">
        <v>6.5599999999999999E-3</v>
      </c>
      <c r="NO25">
        <v>6.8700000000000002E-3</v>
      </c>
      <c r="NP25">
        <v>5.4999999999999997E-3</v>
      </c>
      <c r="NQ25">
        <v>5.9500000000000004E-3</v>
      </c>
      <c r="NR25">
        <v>5.9100000000000003E-3</v>
      </c>
      <c r="NS25">
        <v>6.2599999999999999E-3</v>
      </c>
      <c r="NT25">
        <v>6.8999999999999999E-3</v>
      </c>
      <c r="NV25">
        <v>5.9300000000000004E-3</v>
      </c>
      <c r="NW25">
        <v>5.96E-3</v>
      </c>
      <c r="NX25">
        <v>6.2100000000000002E-3</v>
      </c>
      <c r="NY25">
        <v>6.3299999999999997E-3</v>
      </c>
      <c r="NZ25">
        <v>6.6800000000000002E-3</v>
      </c>
      <c r="OA25">
        <v>6.9800000000000001E-3</v>
      </c>
      <c r="OC25">
        <v>5.9800000000000001E-3</v>
      </c>
      <c r="OD25">
        <v>6.1500000000000001E-3</v>
      </c>
      <c r="OE25">
        <v>6.1500000000000001E-3</v>
      </c>
      <c r="OF25">
        <v>9.2899999999999996E-3</v>
      </c>
      <c r="OG25">
        <v>6.4200000000000004E-3</v>
      </c>
      <c r="OH25">
        <v>6.6400000000000001E-3</v>
      </c>
      <c r="OI25">
        <v>7.0600000000000003E-3</v>
      </c>
      <c r="OJ25">
        <v>7.3600000000000002E-3</v>
      </c>
      <c r="OK25">
        <v>7.5599999999999999E-3</v>
      </c>
      <c r="OL25">
        <v>7.8700000000000003E-3</v>
      </c>
      <c r="OM25">
        <v>5.7600000000000004E-3</v>
      </c>
      <c r="ON25">
        <v>6.0899999999999999E-3</v>
      </c>
      <c r="OO25">
        <v>6.4799999999999996E-3</v>
      </c>
      <c r="OP25">
        <v>7.1199999999999996E-3</v>
      </c>
      <c r="OQ25">
        <v>7.4099999999999999E-3</v>
      </c>
      <c r="OR25">
        <v>7.6699999999999997E-3</v>
      </c>
      <c r="OS25">
        <v>8.6499999999999997E-3</v>
      </c>
      <c r="OT25">
        <v>6.1199999999999996E-3</v>
      </c>
      <c r="OU25">
        <v>6.2100000000000002E-3</v>
      </c>
      <c r="OV25">
        <v>4.6100000000000004E-3</v>
      </c>
      <c r="OW25">
        <v>4.2300000000000003E-3</v>
      </c>
      <c r="OX25">
        <v>4.0899999999999999E-3</v>
      </c>
      <c r="OY25">
        <v>4.1799999999999997E-3</v>
      </c>
      <c r="OZ25">
        <v>5.3E-3</v>
      </c>
      <c r="PA25">
        <v>1.1350000000000001E-2</v>
      </c>
      <c r="PB25">
        <v>1.2529999999999999E-2</v>
      </c>
      <c r="PC25">
        <v>9.4900000000000002E-3</v>
      </c>
      <c r="PD25">
        <v>8.0400000000000003E-3</v>
      </c>
      <c r="PE25">
        <v>7.3800000000000003E-3</v>
      </c>
      <c r="PF25">
        <v>6.8999999999999999E-3</v>
      </c>
      <c r="PG25">
        <v>6.7999999999999996E-3</v>
      </c>
      <c r="PH25">
        <v>6.79E-3</v>
      </c>
      <c r="PI25">
        <v>8.7799999999999996E-3</v>
      </c>
      <c r="PJ25">
        <v>8.1399999999999997E-3</v>
      </c>
      <c r="PK25">
        <v>7.3000000000000001E-3</v>
      </c>
      <c r="PL25">
        <v>6.2899999999999996E-3</v>
      </c>
      <c r="PM25">
        <v>6.0299999999999998E-3</v>
      </c>
      <c r="PN25">
        <v>6.4099999999999999E-3</v>
      </c>
      <c r="PO25">
        <v>6.6699999999999997E-3</v>
      </c>
      <c r="PP25">
        <v>7.0299999999999998E-3</v>
      </c>
      <c r="PQ25">
        <v>7.11E-3</v>
      </c>
      <c r="PR25">
        <v>6.3E-3</v>
      </c>
      <c r="PS25">
        <v>7.6499999999999997E-3</v>
      </c>
      <c r="PT25">
        <v>7.4400000000000004E-3</v>
      </c>
      <c r="PU25">
        <v>5.4900000000000001E-3</v>
      </c>
      <c r="PV25">
        <v>6.8500000000000002E-3</v>
      </c>
      <c r="PW25">
        <v>7.7499999999999999E-3</v>
      </c>
      <c r="PZ25">
        <v>1.2239999999999999E-2</v>
      </c>
      <c r="QA25">
        <v>4.9300000000000004E-3</v>
      </c>
      <c r="QB25">
        <v>5.1399999999999996E-3</v>
      </c>
      <c r="QC25">
        <v>6.2700000000000004E-3</v>
      </c>
      <c r="QD25">
        <v>5.5700000000000003E-3</v>
      </c>
      <c r="QE25">
        <v>5.4599999999999996E-3</v>
      </c>
      <c r="QF25">
        <v>5.5500000000000002E-3</v>
      </c>
      <c r="QG25">
        <v>6.5599999999999999E-3</v>
      </c>
      <c r="QH25">
        <v>5.5599999999999998E-3</v>
      </c>
      <c r="QI25">
        <v>5.7200000000000003E-3</v>
      </c>
      <c r="QJ25">
        <v>5.8199999999999997E-3</v>
      </c>
      <c r="QK25">
        <v>5.5100000000000001E-3</v>
      </c>
      <c r="QL25">
        <v>5.3099999999999996E-3</v>
      </c>
      <c r="QM25">
        <v>6.1399999999999996E-3</v>
      </c>
      <c r="QN25">
        <v>8.1399999999999997E-3</v>
      </c>
      <c r="QO25">
        <v>7.5799999999999999E-3</v>
      </c>
      <c r="QP25">
        <v>7.5900000000000004E-3</v>
      </c>
      <c r="QQ25">
        <v>7.7200000000000003E-3</v>
      </c>
      <c r="QR25">
        <v>9.5600000000000008E-3</v>
      </c>
      <c r="QS25">
        <v>9.6200000000000001E-3</v>
      </c>
      <c r="QT25">
        <v>7.5399999999999998E-3</v>
      </c>
      <c r="QU25">
        <v>7.6899999999999998E-3</v>
      </c>
      <c r="QV25">
        <v>7.8399999999999997E-3</v>
      </c>
      <c r="QW25">
        <v>7.2899999999999996E-3</v>
      </c>
      <c r="QX25">
        <v>7.3000000000000001E-3</v>
      </c>
      <c r="QY25">
        <v>6.7799999999999996E-3</v>
      </c>
      <c r="QZ25">
        <v>7.2300000000000003E-3</v>
      </c>
      <c r="RA25">
        <v>9.0500000000000008E-3</v>
      </c>
      <c r="RB25">
        <v>1.1220000000000001E-2</v>
      </c>
      <c r="RC25">
        <v>9.2499999999999995E-3</v>
      </c>
      <c r="RD25">
        <v>1.8159999999999999E-2</v>
      </c>
      <c r="RE25">
        <v>1.8159999999999999E-2</v>
      </c>
      <c r="RF25">
        <v>1.034E-2</v>
      </c>
      <c r="RG25">
        <v>6.94E-3</v>
      </c>
      <c r="RH25">
        <v>6.2700000000000004E-3</v>
      </c>
      <c r="RI25">
        <v>1.0500000000000001E-2</v>
      </c>
      <c r="RJ25">
        <v>1.1089999999999999E-2</v>
      </c>
      <c r="RK25">
        <v>1.061E-2</v>
      </c>
      <c r="RL25">
        <v>9.5700000000000004E-3</v>
      </c>
      <c r="RM25">
        <v>5.6299999999999996E-3</v>
      </c>
      <c r="RN25">
        <v>5.62E-3</v>
      </c>
      <c r="RO25">
        <v>5.62E-3</v>
      </c>
      <c r="RP25">
        <v>5.2500000000000003E-3</v>
      </c>
      <c r="RQ25">
        <v>5.7200000000000003E-3</v>
      </c>
      <c r="RR25">
        <v>5.4200000000000003E-3</v>
      </c>
      <c r="RS25">
        <v>5.5799999999999999E-3</v>
      </c>
      <c r="RT25">
        <v>4.81E-3</v>
      </c>
      <c r="RW25">
        <v>7.0099999999999997E-3</v>
      </c>
      <c r="RY25">
        <v>4.7099999999999998E-3</v>
      </c>
      <c r="RZ25">
        <v>7.6600000000000001E-3</v>
      </c>
      <c r="SA25">
        <v>1.41E-2</v>
      </c>
      <c r="SB25">
        <v>1.24E-2</v>
      </c>
      <c r="SC25">
        <v>8.2400000000000008E-3</v>
      </c>
      <c r="SD25">
        <v>8.3300000000000006E-3</v>
      </c>
      <c r="SE25">
        <v>7.5300000000000002E-3</v>
      </c>
      <c r="SF25">
        <v>8.3400000000000002E-3</v>
      </c>
      <c r="SG25">
        <v>1.0829999999999999E-2</v>
      </c>
      <c r="SH25">
        <v>1.3429999999999999E-2</v>
      </c>
      <c r="SI25">
        <v>7.6699999999999997E-3</v>
      </c>
      <c r="SJ25">
        <v>6.11E-3</v>
      </c>
      <c r="SK25">
        <v>5.5300000000000002E-3</v>
      </c>
      <c r="SL25">
        <v>5.64E-3</v>
      </c>
      <c r="SM25">
        <v>5.2900000000000004E-3</v>
      </c>
      <c r="SN25">
        <v>5.0899999999999999E-3</v>
      </c>
      <c r="SO25">
        <v>5.0499999999999998E-3</v>
      </c>
      <c r="SQ25">
        <v>6.43E-3</v>
      </c>
      <c r="SR25">
        <v>6.1399999999999996E-3</v>
      </c>
      <c r="SS25">
        <v>5.5700000000000003E-3</v>
      </c>
      <c r="ST25">
        <v>5.4999999999999997E-3</v>
      </c>
      <c r="SU25">
        <v>6.0000000000000001E-3</v>
      </c>
      <c r="SV25">
        <v>5.7299999999999999E-3</v>
      </c>
      <c r="SW25">
        <v>5.9300000000000004E-3</v>
      </c>
      <c r="SX25">
        <v>7.0800000000000004E-3</v>
      </c>
      <c r="SY25">
        <v>5.7400000000000003E-3</v>
      </c>
      <c r="SZ25">
        <v>6.0299999999999998E-3</v>
      </c>
      <c r="TA25">
        <v>6.0499999999999998E-3</v>
      </c>
      <c r="TB25">
        <v>6.3E-3</v>
      </c>
      <c r="TC25">
        <v>5.4000000000000003E-3</v>
      </c>
      <c r="TD25">
        <v>6.9699999999999996E-3</v>
      </c>
      <c r="TF25">
        <v>7.3600000000000002E-3</v>
      </c>
      <c r="TG25">
        <v>6.4400000000000004E-3</v>
      </c>
      <c r="TH25">
        <v>8.7399999999999995E-3</v>
      </c>
      <c r="TI25">
        <v>6.1999999999999998E-3</v>
      </c>
      <c r="TJ25">
        <v>5.9699999999999996E-3</v>
      </c>
      <c r="TK25">
        <v>5.47E-3</v>
      </c>
      <c r="TL25">
        <v>5.0800000000000003E-3</v>
      </c>
      <c r="TM25">
        <v>4.6899999999999997E-3</v>
      </c>
      <c r="TN25">
        <v>5.8900000000000003E-3</v>
      </c>
      <c r="TO25">
        <v>6.0800000000000003E-3</v>
      </c>
      <c r="TP25">
        <v>5.6499999999999996E-3</v>
      </c>
      <c r="TQ25">
        <v>5.4799999999999996E-3</v>
      </c>
      <c r="TR25">
        <v>7.0699999999999999E-3</v>
      </c>
      <c r="TS25">
        <v>7.9600000000000001E-3</v>
      </c>
      <c r="TT25">
        <v>7.7799999999999996E-3</v>
      </c>
      <c r="TU25">
        <v>6.9800000000000001E-3</v>
      </c>
      <c r="TV25">
        <v>6.6100000000000004E-3</v>
      </c>
      <c r="TW25">
        <v>5.5500000000000002E-3</v>
      </c>
      <c r="TX25">
        <v>5.5199999999999997E-3</v>
      </c>
      <c r="TY25">
        <v>4.8199999999999996E-3</v>
      </c>
      <c r="TZ25">
        <v>5.4599999999999996E-3</v>
      </c>
      <c r="UA25">
        <v>4.7099999999999998E-3</v>
      </c>
      <c r="UB25">
        <v>5.4799999999999996E-3</v>
      </c>
      <c r="UC25">
        <v>5.3099999999999996E-3</v>
      </c>
      <c r="UD25">
        <v>5.3099999999999996E-3</v>
      </c>
      <c r="UE25">
        <v>5.3099999999999996E-3</v>
      </c>
      <c r="UF25">
        <v>5.5100000000000001E-3</v>
      </c>
      <c r="UG25">
        <v>5.5399999999999998E-3</v>
      </c>
      <c r="UH25">
        <v>5.96E-3</v>
      </c>
      <c r="UI25">
        <v>6.0000000000000001E-3</v>
      </c>
      <c r="UJ25">
        <v>5.8500000000000002E-3</v>
      </c>
      <c r="UK25">
        <v>5.5300000000000002E-3</v>
      </c>
      <c r="UL25">
        <v>5.9300000000000004E-3</v>
      </c>
      <c r="UM25">
        <v>6.4999999999999997E-3</v>
      </c>
      <c r="UN25">
        <v>5.3200000000000001E-3</v>
      </c>
      <c r="UO25">
        <v>5.77E-3</v>
      </c>
      <c r="UP25">
        <v>7.8700000000000003E-3</v>
      </c>
      <c r="UQ25">
        <v>5.2199999999999998E-3</v>
      </c>
      <c r="UR25">
        <v>5.3600000000000002E-3</v>
      </c>
      <c r="US25">
        <v>5.7099999999999998E-3</v>
      </c>
      <c r="UT25">
        <v>5.28E-3</v>
      </c>
      <c r="UU25">
        <v>5.4400000000000004E-3</v>
      </c>
      <c r="UV25">
        <v>5.6499999999999996E-3</v>
      </c>
      <c r="UW25">
        <v>8.2000000000000007E-3</v>
      </c>
      <c r="UX25">
        <v>5.9800000000000001E-3</v>
      </c>
      <c r="UY25">
        <v>6.2100000000000002E-3</v>
      </c>
      <c r="VA25">
        <v>8.9999999999999993E-3</v>
      </c>
      <c r="VB25">
        <v>6.6699999999999997E-3</v>
      </c>
      <c r="VC25">
        <v>8.4100000000000008E-3</v>
      </c>
      <c r="VG25">
        <v>1.2070000000000001E-2</v>
      </c>
      <c r="VH25">
        <v>8.9099999999999995E-3</v>
      </c>
      <c r="VI25">
        <v>7.4099999999999999E-3</v>
      </c>
    </row>
    <row r="26" spans="1:581" x14ac:dyDescent="0.25">
      <c r="A26">
        <v>575000</v>
      </c>
      <c r="B26">
        <v>4.64E-3</v>
      </c>
      <c r="C26">
        <v>4.5599999999999998E-3</v>
      </c>
      <c r="D26">
        <v>4.3200000000000001E-3</v>
      </c>
      <c r="E26">
        <v>4.2300000000000003E-3</v>
      </c>
      <c r="F26">
        <v>4.2300000000000003E-3</v>
      </c>
      <c r="G26">
        <v>5.0699999999999999E-3</v>
      </c>
      <c r="H26">
        <v>4.47E-3</v>
      </c>
      <c r="I26">
        <v>4.3499999999999997E-3</v>
      </c>
      <c r="J26">
        <v>4.2500000000000003E-3</v>
      </c>
      <c r="K26">
        <v>4.8999999999999998E-3</v>
      </c>
      <c r="L26">
        <v>4.5300000000000002E-3</v>
      </c>
      <c r="M26">
        <v>4.4299999999999999E-3</v>
      </c>
      <c r="N26">
        <v>4.3600000000000002E-3</v>
      </c>
      <c r="P26">
        <v>6.2100000000000002E-3</v>
      </c>
      <c r="Q26">
        <v>6.1199999999999996E-3</v>
      </c>
      <c r="R26">
        <v>5.5999999999999999E-3</v>
      </c>
      <c r="S26">
        <v>5.3E-3</v>
      </c>
      <c r="T26">
        <v>5.1999999999999998E-3</v>
      </c>
      <c r="U26">
        <v>6.0299999999999998E-3</v>
      </c>
      <c r="V26">
        <v>5.2700000000000004E-3</v>
      </c>
      <c r="W26">
        <v>5.4999999999999997E-3</v>
      </c>
      <c r="X26">
        <v>5.0800000000000003E-3</v>
      </c>
      <c r="Y26">
        <v>4.8300000000000001E-3</v>
      </c>
      <c r="Z26">
        <v>4.4299999999999999E-3</v>
      </c>
      <c r="AA26">
        <v>9.8300000000000002E-3</v>
      </c>
      <c r="AB26">
        <v>7.62E-3</v>
      </c>
      <c r="AC26">
        <v>8.4600000000000005E-3</v>
      </c>
      <c r="AD26">
        <v>6.6699999999999997E-3</v>
      </c>
      <c r="AF26">
        <v>7.5399999999999998E-3</v>
      </c>
      <c r="AG26">
        <v>9.1000000000000004E-3</v>
      </c>
      <c r="AH26">
        <v>9.0699999999999999E-3</v>
      </c>
      <c r="AI26">
        <v>1.106E-2</v>
      </c>
      <c r="AJ26">
        <v>7.3200000000000001E-3</v>
      </c>
      <c r="AK26">
        <v>7.8499999999999993E-3</v>
      </c>
      <c r="AL26">
        <v>9.0299999999999998E-3</v>
      </c>
      <c r="AM26">
        <v>9.2800000000000001E-3</v>
      </c>
      <c r="AN26">
        <v>9.7800000000000005E-3</v>
      </c>
      <c r="AO26">
        <v>1.661E-2</v>
      </c>
      <c r="AP26">
        <v>9.4599999999999997E-3</v>
      </c>
      <c r="AR26">
        <v>1.025E-2</v>
      </c>
      <c r="AS26">
        <v>1.0829999999999999E-2</v>
      </c>
      <c r="AT26">
        <v>8.5400000000000007E-3</v>
      </c>
      <c r="AW26">
        <v>9.8399999999999998E-3</v>
      </c>
      <c r="AX26">
        <v>9.5200000000000007E-3</v>
      </c>
      <c r="AZ26">
        <v>8.9300000000000004E-3</v>
      </c>
      <c r="BA26">
        <v>1.153E-2</v>
      </c>
      <c r="BB26">
        <v>8.4100000000000008E-3</v>
      </c>
      <c r="BC26">
        <v>9.1999999999999998E-3</v>
      </c>
      <c r="BD26">
        <v>9.7599999999999996E-3</v>
      </c>
      <c r="BE26">
        <v>1.183E-2</v>
      </c>
      <c r="BF26">
        <v>1.2659999999999999E-2</v>
      </c>
      <c r="BG26">
        <v>8.9800000000000001E-3</v>
      </c>
      <c r="BH26">
        <v>1.009E-2</v>
      </c>
      <c r="BI26">
        <v>1.312E-2</v>
      </c>
      <c r="BK26">
        <v>9.5700000000000004E-3</v>
      </c>
      <c r="BL26">
        <v>9.6500000000000006E-3</v>
      </c>
      <c r="BM26">
        <v>9.1500000000000001E-3</v>
      </c>
      <c r="BN26">
        <v>6.1700000000000001E-3</v>
      </c>
      <c r="BO26">
        <v>1.0460000000000001E-2</v>
      </c>
      <c r="BP26">
        <v>7.6299999999999996E-3</v>
      </c>
      <c r="BQ26">
        <v>6.5799999999999999E-3</v>
      </c>
      <c r="BR26">
        <v>7.8799999999999999E-3</v>
      </c>
      <c r="BS26">
        <v>1.248E-2</v>
      </c>
      <c r="BT26">
        <v>1.107E-2</v>
      </c>
      <c r="BU26">
        <v>1.0789999999999999E-2</v>
      </c>
      <c r="BV26">
        <v>1.103E-2</v>
      </c>
      <c r="BW26">
        <v>1.0580000000000001E-2</v>
      </c>
      <c r="BX26">
        <v>1.025E-2</v>
      </c>
      <c r="BY26">
        <v>1.064E-2</v>
      </c>
      <c r="BZ26">
        <v>9.6500000000000006E-3</v>
      </c>
      <c r="CA26">
        <v>1.005E-2</v>
      </c>
      <c r="CC26">
        <v>8.3000000000000001E-3</v>
      </c>
      <c r="CE26">
        <v>6.0400000000000002E-3</v>
      </c>
      <c r="CF26">
        <v>5.9100000000000003E-3</v>
      </c>
      <c r="CG26">
        <v>5.7999999999999996E-3</v>
      </c>
      <c r="CH26">
        <v>5.79E-3</v>
      </c>
      <c r="CI26">
        <v>5.8799999999999998E-3</v>
      </c>
      <c r="CJ26">
        <v>6.0499999999999998E-3</v>
      </c>
      <c r="CK26">
        <v>7.1999999999999998E-3</v>
      </c>
      <c r="CL26">
        <v>6.28E-3</v>
      </c>
      <c r="CM26">
        <v>6.77E-3</v>
      </c>
      <c r="CN26">
        <v>7.62E-3</v>
      </c>
      <c r="CO26">
        <v>7.0699999999999999E-3</v>
      </c>
      <c r="CP26">
        <v>7.8700000000000003E-3</v>
      </c>
      <c r="CQ26">
        <v>6.5900000000000004E-3</v>
      </c>
      <c r="CS26">
        <v>7.8399999999999997E-3</v>
      </c>
      <c r="CT26">
        <v>8.2699999999999996E-3</v>
      </c>
      <c r="CU26">
        <v>6.4200000000000004E-3</v>
      </c>
      <c r="CV26">
        <v>6.1000000000000004E-3</v>
      </c>
      <c r="CW26">
        <v>6.7499999999999999E-3</v>
      </c>
      <c r="CX26">
        <v>6.6800000000000002E-3</v>
      </c>
      <c r="CY26">
        <v>7.3600000000000002E-3</v>
      </c>
      <c r="CZ26">
        <v>6.2500000000000003E-3</v>
      </c>
      <c r="DA26">
        <v>5.8100000000000001E-3</v>
      </c>
      <c r="DB26">
        <v>5.7000000000000002E-3</v>
      </c>
      <c r="DC26">
        <v>5.5900000000000004E-3</v>
      </c>
      <c r="DD26">
        <v>5.4900000000000001E-3</v>
      </c>
      <c r="DE26">
        <v>5.4400000000000004E-3</v>
      </c>
      <c r="DF26">
        <v>1.1350000000000001E-2</v>
      </c>
      <c r="DG26">
        <v>6.8100000000000001E-3</v>
      </c>
      <c r="DH26">
        <v>1.0070000000000001E-2</v>
      </c>
      <c r="DI26">
        <v>9.58E-3</v>
      </c>
      <c r="DJ26">
        <v>9.1699999999999993E-3</v>
      </c>
      <c r="DK26">
        <v>8.8400000000000006E-3</v>
      </c>
      <c r="DL26">
        <v>8.6599999999999993E-3</v>
      </c>
      <c r="DM26">
        <v>9.6100000000000005E-3</v>
      </c>
      <c r="DN26">
        <v>9.5200000000000007E-3</v>
      </c>
      <c r="DO26">
        <v>8.3199999999999993E-3</v>
      </c>
      <c r="DP26">
        <v>7.3600000000000002E-3</v>
      </c>
      <c r="DR26">
        <v>9.9399999999999992E-3</v>
      </c>
      <c r="DS26">
        <v>1.082E-2</v>
      </c>
      <c r="DT26">
        <v>9.5999999999999992E-3</v>
      </c>
      <c r="DU26">
        <v>8.4799999999999997E-3</v>
      </c>
      <c r="DX26">
        <v>9.7400000000000004E-3</v>
      </c>
      <c r="DY26">
        <v>1.1220000000000001E-2</v>
      </c>
      <c r="DZ26">
        <v>8.77E-3</v>
      </c>
      <c r="EA26">
        <v>7.0200000000000002E-3</v>
      </c>
      <c r="EB26">
        <v>6.8599999999999998E-3</v>
      </c>
      <c r="EC26">
        <v>6.3600000000000002E-3</v>
      </c>
      <c r="ED26">
        <v>2.5430000000000001E-2</v>
      </c>
      <c r="EH26">
        <v>2.5360000000000001E-2</v>
      </c>
      <c r="EI26">
        <v>6.8100000000000001E-3</v>
      </c>
      <c r="EJ26">
        <v>6.0800000000000003E-3</v>
      </c>
      <c r="EK26">
        <v>6.5900000000000004E-3</v>
      </c>
      <c r="EM26">
        <v>7.8899999999999994E-3</v>
      </c>
      <c r="EO26">
        <v>8.3800000000000003E-3</v>
      </c>
      <c r="EP26">
        <v>8.6099999999999996E-3</v>
      </c>
      <c r="EQ26">
        <v>8.7299999999999999E-3</v>
      </c>
      <c r="ES26">
        <v>8.8199999999999997E-3</v>
      </c>
      <c r="ET26">
        <v>0.01</v>
      </c>
      <c r="EU26">
        <v>1.2579999999999999E-2</v>
      </c>
      <c r="EV26">
        <v>1.176E-2</v>
      </c>
      <c r="EW26">
        <v>1.0880000000000001E-2</v>
      </c>
      <c r="EX26">
        <v>1.146E-2</v>
      </c>
      <c r="EZ26">
        <v>7.4400000000000004E-3</v>
      </c>
      <c r="FA26">
        <v>8.7600000000000004E-3</v>
      </c>
      <c r="FB26">
        <v>9.1900000000000003E-3</v>
      </c>
      <c r="FC26">
        <v>8.3300000000000006E-3</v>
      </c>
      <c r="FD26">
        <v>7.7999999999999996E-3</v>
      </c>
      <c r="FE26">
        <v>9.0200000000000002E-3</v>
      </c>
      <c r="FF26">
        <v>5.1900000000000002E-3</v>
      </c>
      <c r="FG26">
        <v>9.4299999999999991E-3</v>
      </c>
      <c r="FH26">
        <v>1.0449999999999999E-2</v>
      </c>
      <c r="FI26">
        <v>9.5600000000000008E-3</v>
      </c>
      <c r="FJ26">
        <v>9.3900000000000008E-3</v>
      </c>
      <c r="FK26">
        <v>9.0699999999999999E-3</v>
      </c>
      <c r="FL26">
        <v>6.5300000000000002E-3</v>
      </c>
      <c r="FN26">
        <v>9.58E-3</v>
      </c>
      <c r="FO26">
        <v>8.2100000000000003E-3</v>
      </c>
      <c r="FP26">
        <v>7.5399999999999998E-3</v>
      </c>
      <c r="FQ26">
        <v>1.094E-2</v>
      </c>
      <c r="FR26">
        <v>1.2030000000000001E-2</v>
      </c>
      <c r="FS26">
        <v>1.227E-2</v>
      </c>
      <c r="FT26">
        <v>1.073E-2</v>
      </c>
      <c r="FU26">
        <v>9.9799999999999993E-3</v>
      </c>
      <c r="FV26">
        <v>9.3799999999999994E-3</v>
      </c>
      <c r="FX26">
        <v>9.7000000000000003E-3</v>
      </c>
      <c r="FZ26">
        <v>9.3500000000000007E-3</v>
      </c>
      <c r="GA26">
        <v>1.01E-2</v>
      </c>
      <c r="GB26">
        <v>9.3600000000000003E-3</v>
      </c>
      <c r="GC26">
        <v>1.001E-2</v>
      </c>
      <c r="GD26">
        <v>9.1900000000000003E-3</v>
      </c>
      <c r="GE26">
        <v>9.9100000000000004E-3</v>
      </c>
      <c r="GF26">
        <v>8.4899999999999993E-3</v>
      </c>
      <c r="GG26">
        <v>8.5100000000000002E-3</v>
      </c>
      <c r="GH26">
        <v>8.6800000000000002E-3</v>
      </c>
      <c r="GI26">
        <v>9.2300000000000004E-3</v>
      </c>
      <c r="GJ26">
        <v>9.4000000000000004E-3</v>
      </c>
      <c r="GK26">
        <v>9.5999999999999992E-3</v>
      </c>
      <c r="GL26">
        <v>9.9900000000000006E-3</v>
      </c>
      <c r="GM26">
        <v>8.6899999999999998E-3</v>
      </c>
      <c r="GO26">
        <v>9.0100000000000006E-3</v>
      </c>
      <c r="GP26">
        <v>9.2499999999999995E-3</v>
      </c>
      <c r="GQ26">
        <v>9.8200000000000006E-3</v>
      </c>
      <c r="GR26">
        <v>1.1270000000000001E-2</v>
      </c>
      <c r="GS26">
        <v>8.6300000000000005E-3</v>
      </c>
      <c r="GT26">
        <v>9.2099999999999994E-3</v>
      </c>
      <c r="GU26">
        <v>6.8199999999999997E-3</v>
      </c>
      <c r="GV26">
        <v>9.9299999999999996E-3</v>
      </c>
      <c r="GW26">
        <v>1.043E-2</v>
      </c>
      <c r="GX26">
        <v>9.3200000000000002E-3</v>
      </c>
      <c r="GY26">
        <v>1.188E-2</v>
      </c>
      <c r="GZ26">
        <v>9.7999999999999997E-3</v>
      </c>
      <c r="HC26">
        <v>7.6099999999999996E-3</v>
      </c>
      <c r="HE26">
        <v>8.9599999999999992E-3</v>
      </c>
      <c r="HF26">
        <v>7.9000000000000008E-3</v>
      </c>
      <c r="HI26">
        <v>1.057E-2</v>
      </c>
      <c r="HJ26">
        <v>5.28E-3</v>
      </c>
      <c r="HK26">
        <v>1.0460000000000001E-2</v>
      </c>
      <c r="HL26">
        <v>9.8300000000000002E-3</v>
      </c>
      <c r="HM26">
        <v>9.75E-3</v>
      </c>
      <c r="HN26">
        <v>9.4699999999999993E-3</v>
      </c>
      <c r="HO26">
        <v>9.4500000000000001E-3</v>
      </c>
      <c r="HP26">
        <v>6.1199999999999996E-3</v>
      </c>
      <c r="HQ26">
        <v>1.0619999999999999E-2</v>
      </c>
      <c r="HR26">
        <v>1.244E-2</v>
      </c>
      <c r="HT26">
        <v>9.11E-3</v>
      </c>
      <c r="HU26">
        <v>6.4599999999999996E-3</v>
      </c>
      <c r="HV26">
        <v>8.8100000000000001E-3</v>
      </c>
      <c r="HW26">
        <v>6.7600000000000004E-3</v>
      </c>
      <c r="HX26">
        <v>1.179E-2</v>
      </c>
      <c r="HY26">
        <v>9.3699999999999999E-3</v>
      </c>
      <c r="IA26">
        <v>9.6299999999999997E-3</v>
      </c>
      <c r="IB26">
        <v>1.137E-2</v>
      </c>
      <c r="IC26">
        <v>8.9899999999999997E-3</v>
      </c>
      <c r="ID26">
        <v>7.9500000000000005E-3</v>
      </c>
      <c r="IE26">
        <v>7.3200000000000001E-3</v>
      </c>
      <c r="IF26">
        <v>7.1199999999999996E-3</v>
      </c>
      <c r="IG26">
        <v>8.1300000000000001E-3</v>
      </c>
      <c r="IH26">
        <v>9.1400000000000006E-3</v>
      </c>
      <c r="II26">
        <v>6.43E-3</v>
      </c>
      <c r="IJ26">
        <v>7.3400000000000002E-3</v>
      </c>
      <c r="IK26">
        <v>8.0000000000000002E-3</v>
      </c>
      <c r="IL26">
        <v>8.9200000000000008E-3</v>
      </c>
      <c r="IM26">
        <v>9.8200000000000006E-3</v>
      </c>
      <c r="IN26">
        <v>1.072E-2</v>
      </c>
      <c r="IP26">
        <v>1.43E-2</v>
      </c>
      <c r="IQ26">
        <v>1.609E-2</v>
      </c>
      <c r="IR26">
        <v>1.7780000000000001E-2</v>
      </c>
      <c r="IS26">
        <v>5.47E-3</v>
      </c>
      <c r="IT26">
        <v>7.1900000000000002E-3</v>
      </c>
      <c r="IU26">
        <v>8.5900000000000004E-3</v>
      </c>
      <c r="IV26">
        <v>5.8599999999999998E-3</v>
      </c>
      <c r="IW26">
        <v>6.9499999999999996E-3</v>
      </c>
      <c r="IX26">
        <v>4.6699999999999997E-3</v>
      </c>
      <c r="IY26">
        <v>5.1599999999999997E-3</v>
      </c>
      <c r="IZ26">
        <v>5.0800000000000003E-3</v>
      </c>
      <c r="JA26">
        <v>5.5999999999999999E-3</v>
      </c>
      <c r="JB26">
        <v>5.9199999999999999E-3</v>
      </c>
      <c r="JC26">
        <v>6.45E-3</v>
      </c>
      <c r="JD26">
        <v>6.8399999999999997E-3</v>
      </c>
      <c r="JE26">
        <v>5.8199999999999997E-3</v>
      </c>
      <c r="JF26">
        <v>6.6899999999999998E-3</v>
      </c>
      <c r="JG26">
        <v>7.3099999999999997E-3</v>
      </c>
      <c r="JH26">
        <v>1.4540000000000001E-2</v>
      </c>
      <c r="JI26">
        <v>9.8200000000000006E-3</v>
      </c>
      <c r="JJ26">
        <v>8.3800000000000003E-3</v>
      </c>
      <c r="JK26">
        <v>1.3220000000000001E-2</v>
      </c>
      <c r="JL26">
        <v>1.027E-2</v>
      </c>
      <c r="JM26">
        <v>8.4200000000000004E-3</v>
      </c>
      <c r="JN26">
        <v>1.1950000000000001E-2</v>
      </c>
      <c r="JQ26">
        <v>6.6100000000000004E-3</v>
      </c>
      <c r="JR26">
        <v>7.2700000000000004E-3</v>
      </c>
      <c r="JS26">
        <v>6.5799999999999999E-3</v>
      </c>
      <c r="JT26">
        <v>7.4400000000000004E-3</v>
      </c>
      <c r="JU26">
        <v>7.7400000000000004E-3</v>
      </c>
      <c r="JV26">
        <v>7.6600000000000001E-3</v>
      </c>
      <c r="JW26">
        <v>8.3999999999999995E-3</v>
      </c>
      <c r="JX26">
        <v>7.7299999999999999E-3</v>
      </c>
      <c r="JY26">
        <v>8.8999999999999999E-3</v>
      </c>
      <c r="JZ26">
        <v>9.8799999999999999E-3</v>
      </c>
      <c r="KA26">
        <v>9.8899999999999995E-3</v>
      </c>
      <c r="KB26">
        <v>6.8799999999999998E-3</v>
      </c>
      <c r="KC26">
        <v>7.2199999999999999E-3</v>
      </c>
      <c r="KD26">
        <v>7.77E-3</v>
      </c>
      <c r="KE26">
        <v>8.4600000000000005E-3</v>
      </c>
      <c r="KF26">
        <v>1.0489999999999999E-2</v>
      </c>
      <c r="KG26">
        <v>1.29E-2</v>
      </c>
      <c r="KH26">
        <v>9.1000000000000004E-3</v>
      </c>
      <c r="KI26">
        <v>1.0410000000000001E-2</v>
      </c>
      <c r="KJ26">
        <v>1.056E-2</v>
      </c>
      <c r="KK26">
        <v>1.061E-2</v>
      </c>
      <c r="KL26">
        <v>1.0670000000000001E-2</v>
      </c>
      <c r="KM26">
        <v>1.085E-2</v>
      </c>
      <c r="KO26">
        <v>6.9100000000000003E-3</v>
      </c>
      <c r="KP26">
        <v>9.5399999999999999E-3</v>
      </c>
      <c r="KQ26">
        <v>9.8700000000000003E-3</v>
      </c>
      <c r="KR26">
        <v>1.098E-2</v>
      </c>
      <c r="KS26">
        <v>8.6899999999999998E-3</v>
      </c>
      <c r="KT26">
        <v>9.4199999999999996E-3</v>
      </c>
      <c r="KU26">
        <v>5.77E-3</v>
      </c>
      <c r="KV26">
        <v>5.7299999999999999E-3</v>
      </c>
      <c r="KW26">
        <v>6.1500000000000001E-3</v>
      </c>
      <c r="KX26">
        <v>1.397E-2</v>
      </c>
      <c r="KY26">
        <v>5.8300000000000001E-3</v>
      </c>
      <c r="KZ26">
        <v>7.28E-3</v>
      </c>
      <c r="LA26">
        <v>8.4399999999999996E-3</v>
      </c>
      <c r="LB26">
        <v>7.8799999999999999E-3</v>
      </c>
      <c r="LC26">
        <v>8.1099999999999992E-3</v>
      </c>
      <c r="LD26">
        <v>8.1099999999999992E-3</v>
      </c>
      <c r="LE26">
        <v>1.1730000000000001E-2</v>
      </c>
      <c r="LF26">
        <v>1.163E-2</v>
      </c>
      <c r="LG26">
        <v>1.153E-2</v>
      </c>
      <c r="LI26">
        <v>1.154E-2</v>
      </c>
      <c r="LJ26">
        <v>1.1820000000000001E-2</v>
      </c>
      <c r="LK26">
        <v>1.2019999999999999E-2</v>
      </c>
      <c r="LL26">
        <v>9.4599999999999997E-3</v>
      </c>
      <c r="LM26">
        <v>6.62E-3</v>
      </c>
      <c r="LO26">
        <v>1.078E-2</v>
      </c>
      <c r="LP26">
        <v>8.77E-3</v>
      </c>
      <c r="LR26">
        <v>1.1769999999999999E-2</v>
      </c>
      <c r="LS26">
        <v>1.321E-2</v>
      </c>
      <c r="LT26">
        <v>8.5699999999999995E-3</v>
      </c>
      <c r="LV26">
        <v>1.61E-2</v>
      </c>
      <c r="LW26">
        <v>5.2399999999999999E-3</v>
      </c>
      <c r="LX26">
        <v>5.9300000000000004E-3</v>
      </c>
      <c r="LY26">
        <v>9.4999999999999998E-3</v>
      </c>
      <c r="LZ26">
        <v>9.5399999999999999E-3</v>
      </c>
      <c r="MA26">
        <v>9.3799999999999994E-3</v>
      </c>
      <c r="MB26">
        <v>4.7800000000000004E-3</v>
      </c>
      <c r="MC26">
        <v>8.6499999999999997E-3</v>
      </c>
      <c r="MD26">
        <v>1.1979999999999999E-2</v>
      </c>
      <c r="ME26">
        <v>1.4460000000000001E-2</v>
      </c>
      <c r="MF26">
        <v>1.6799999999999999E-2</v>
      </c>
      <c r="MH26">
        <v>9.4999999999999998E-3</v>
      </c>
      <c r="MI26">
        <v>1.0710000000000001E-2</v>
      </c>
      <c r="MJ26">
        <v>1.0710000000000001E-2</v>
      </c>
      <c r="ML26">
        <v>1.2540000000000001E-2</v>
      </c>
      <c r="MM26">
        <v>1.098E-2</v>
      </c>
      <c r="MN26">
        <v>6.5799999999999999E-3</v>
      </c>
      <c r="MO26">
        <v>7.26E-3</v>
      </c>
      <c r="MP26">
        <v>7.2700000000000004E-3</v>
      </c>
      <c r="MQ26">
        <v>6.0499999999999998E-3</v>
      </c>
      <c r="MR26">
        <v>7.5100000000000002E-3</v>
      </c>
      <c r="MS26">
        <v>8.5100000000000002E-3</v>
      </c>
      <c r="MT26">
        <v>9.2200000000000008E-3</v>
      </c>
      <c r="MU26">
        <v>5.8599999999999998E-3</v>
      </c>
      <c r="MV26">
        <v>6.8100000000000001E-3</v>
      </c>
      <c r="MW26">
        <v>7.26E-3</v>
      </c>
      <c r="MX26">
        <v>7.4999999999999997E-3</v>
      </c>
      <c r="MY26">
        <v>8.1700000000000002E-3</v>
      </c>
      <c r="MZ26">
        <v>9.1000000000000004E-3</v>
      </c>
      <c r="NA26">
        <v>8.2500000000000004E-3</v>
      </c>
      <c r="NB26">
        <v>8.4200000000000004E-3</v>
      </c>
      <c r="ND26">
        <v>1.1339999999999999E-2</v>
      </c>
      <c r="NE26">
        <v>1.009E-2</v>
      </c>
      <c r="NF26">
        <v>1.0120000000000001E-2</v>
      </c>
      <c r="NG26">
        <v>6.0899999999999999E-3</v>
      </c>
      <c r="NH26">
        <v>4.9100000000000003E-3</v>
      </c>
      <c r="NJ26">
        <v>6.0800000000000003E-3</v>
      </c>
      <c r="NK26">
        <v>5.3600000000000002E-3</v>
      </c>
      <c r="NL26">
        <v>5.7400000000000003E-3</v>
      </c>
      <c r="NM26">
        <v>6.1199999999999996E-3</v>
      </c>
      <c r="NN26">
        <v>6.4599999999999996E-3</v>
      </c>
      <c r="NO26">
        <v>6.7400000000000003E-3</v>
      </c>
      <c r="NP26">
        <v>5.4299999999999999E-3</v>
      </c>
      <c r="NQ26">
        <v>5.8599999999999998E-3</v>
      </c>
      <c r="NR26">
        <v>5.8199999999999997E-3</v>
      </c>
      <c r="NS26">
        <v>6.1599999999999997E-3</v>
      </c>
      <c r="NT26">
        <v>6.79E-3</v>
      </c>
      <c r="NU26">
        <v>5.47E-3</v>
      </c>
      <c r="NV26">
        <v>5.8300000000000001E-3</v>
      </c>
      <c r="NW26">
        <v>5.8700000000000002E-3</v>
      </c>
      <c r="NX26">
        <v>6.0899999999999999E-3</v>
      </c>
      <c r="NY26">
        <v>6.2300000000000003E-3</v>
      </c>
      <c r="NZ26">
        <v>6.5599999999999999E-3</v>
      </c>
      <c r="OA26">
        <v>6.8399999999999997E-3</v>
      </c>
      <c r="OB26">
        <v>5.5100000000000001E-3</v>
      </c>
      <c r="OC26">
        <v>5.8799999999999998E-3</v>
      </c>
      <c r="OD26">
        <v>6.0299999999999998E-3</v>
      </c>
      <c r="OE26">
        <v>6.0299999999999998E-3</v>
      </c>
      <c r="OF26">
        <v>9.0399999999999994E-3</v>
      </c>
      <c r="OG26">
        <v>6.2899999999999996E-3</v>
      </c>
      <c r="OH26">
        <v>6.5500000000000003E-3</v>
      </c>
      <c r="OI26">
        <v>6.9499999999999996E-3</v>
      </c>
      <c r="OJ26">
        <v>7.2100000000000003E-3</v>
      </c>
      <c r="OK26">
        <v>7.4400000000000004E-3</v>
      </c>
      <c r="OL26">
        <v>7.6899999999999998E-3</v>
      </c>
      <c r="OM26">
        <v>5.6699999999999997E-3</v>
      </c>
      <c r="ON26">
        <v>5.9800000000000001E-3</v>
      </c>
      <c r="OO26">
        <v>6.3699999999999998E-3</v>
      </c>
      <c r="OP26">
        <v>7.0000000000000001E-3</v>
      </c>
      <c r="OQ26">
        <v>7.28E-3</v>
      </c>
      <c r="OR26">
        <v>7.5199999999999998E-3</v>
      </c>
      <c r="OS26">
        <v>8.4700000000000001E-3</v>
      </c>
      <c r="OT26">
        <v>6.0400000000000002E-3</v>
      </c>
      <c r="OU26">
        <v>6.11E-3</v>
      </c>
      <c r="OV26">
        <v>4.4900000000000001E-3</v>
      </c>
      <c r="OW26">
        <v>4.1399999999999996E-3</v>
      </c>
      <c r="OX26">
        <v>4.0000000000000001E-3</v>
      </c>
      <c r="OY26">
        <v>4.1399999999999996E-3</v>
      </c>
      <c r="OZ26">
        <v>5.2599999999999999E-3</v>
      </c>
      <c r="PA26">
        <v>1.115E-2</v>
      </c>
      <c r="PB26">
        <v>1.227E-2</v>
      </c>
      <c r="PC26">
        <v>9.3500000000000007E-3</v>
      </c>
      <c r="PD26">
        <v>7.9500000000000005E-3</v>
      </c>
      <c r="PE26">
        <v>7.3099999999999997E-3</v>
      </c>
      <c r="PF26">
        <v>6.8100000000000001E-3</v>
      </c>
      <c r="PG26">
        <v>6.6600000000000001E-3</v>
      </c>
      <c r="PH26">
        <v>6.7000000000000002E-3</v>
      </c>
      <c r="PI26">
        <v>8.6599999999999993E-3</v>
      </c>
      <c r="PJ26">
        <v>8.0300000000000007E-3</v>
      </c>
      <c r="PL26">
        <v>6.28E-3</v>
      </c>
      <c r="PM26">
        <v>5.9699999999999996E-3</v>
      </c>
      <c r="PN26">
        <v>6.3E-3</v>
      </c>
      <c r="PO26">
        <v>6.5100000000000002E-3</v>
      </c>
      <c r="PP26">
        <v>6.8500000000000002E-3</v>
      </c>
      <c r="PQ26">
        <v>6.9499999999999996E-3</v>
      </c>
      <c r="PR26">
        <v>6.1799999999999997E-3</v>
      </c>
      <c r="PS26">
        <v>7.45E-3</v>
      </c>
      <c r="PT26">
        <v>7.2700000000000004E-3</v>
      </c>
      <c r="PU26">
        <v>5.4000000000000003E-3</v>
      </c>
      <c r="PV26">
        <v>6.6400000000000001E-3</v>
      </c>
      <c r="PW26">
        <v>7.4999999999999997E-3</v>
      </c>
      <c r="PX26">
        <v>8.5800000000000008E-3</v>
      </c>
      <c r="PZ26">
        <v>1.171E-2</v>
      </c>
      <c r="QA26">
        <v>4.8300000000000001E-3</v>
      </c>
      <c r="QB26">
        <v>5.0400000000000002E-3</v>
      </c>
      <c r="QC26">
        <v>6.2199999999999998E-3</v>
      </c>
      <c r="QD26">
        <v>5.47E-3</v>
      </c>
      <c r="QE26">
        <v>5.3699999999999998E-3</v>
      </c>
      <c r="QF26">
        <v>5.4299999999999999E-3</v>
      </c>
      <c r="QG26">
        <v>6.5500000000000003E-3</v>
      </c>
      <c r="QH26">
        <v>5.45E-3</v>
      </c>
      <c r="QI26">
        <v>5.6100000000000004E-3</v>
      </c>
      <c r="QJ26">
        <v>5.7000000000000002E-3</v>
      </c>
      <c r="QK26">
        <v>5.4200000000000003E-3</v>
      </c>
      <c r="QL26">
        <v>5.2199999999999998E-3</v>
      </c>
      <c r="QM26">
        <v>6.0400000000000002E-3</v>
      </c>
      <c r="QN26">
        <v>7.9799999999999992E-3</v>
      </c>
      <c r="QO26">
        <v>7.45E-3</v>
      </c>
      <c r="QP26">
        <v>7.4700000000000001E-3</v>
      </c>
      <c r="QQ26">
        <v>7.6299999999999996E-3</v>
      </c>
      <c r="QR26">
        <v>9.4500000000000001E-3</v>
      </c>
      <c r="QS26">
        <v>9.5099999999999994E-3</v>
      </c>
      <c r="QT26">
        <v>7.4200000000000004E-3</v>
      </c>
      <c r="QU26">
        <v>7.5599999999999999E-3</v>
      </c>
      <c r="QV26">
        <v>7.7099999999999998E-3</v>
      </c>
      <c r="QW26">
        <v>7.1799999999999998E-3</v>
      </c>
      <c r="QX26">
        <v>7.1500000000000001E-3</v>
      </c>
      <c r="QY26">
        <v>6.6600000000000001E-3</v>
      </c>
      <c r="QZ26">
        <v>7.1000000000000004E-3</v>
      </c>
      <c r="RA26">
        <v>8.8800000000000007E-3</v>
      </c>
      <c r="RB26">
        <v>1.0919999999999999E-2</v>
      </c>
      <c r="RC26">
        <v>8.9999999999999993E-3</v>
      </c>
      <c r="RD26">
        <v>1.7590000000000001E-2</v>
      </c>
      <c r="RE26">
        <v>1.7219999999999999E-2</v>
      </c>
      <c r="RF26">
        <v>1.013E-2</v>
      </c>
      <c r="RG26">
        <v>6.8100000000000001E-3</v>
      </c>
      <c r="RH26">
        <v>6.1999999999999998E-3</v>
      </c>
      <c r="RI26">
        <v>1.025E-2</v>
      </c>
      <c r="RJ26">
        <v>1.076E-2</v>
      </c>
      <c r="RK26">
        <v>1.0279999999999999E-2</v>
      </c>
      <c r="RL26">
        <v>9.3299999999999998E-3</v>
      </c>
      <c r="RM26">
        <v>5.5300000000000002E-3</v>
      </c>
      <c r="RN26">
        <v>5.5300000000000002E-3</v>
      </c>
      <c r="RO26">
        <v>5.5300000000000002E-3</v>
      </c>
      <c r="RP26">
        <v>5.1599999999999997E-3</v>
      </c>
      <c r="RQ26">
        <v>5.6299999999999996E-3</v>
      </c>
      <c r="RR26">
        <v>5.3299999999999997E-3</v>
      </c>
      <c r="RS26">
        <v>5.4799999999999996E-3</v>
      </c>
      <c r="RT26">
        <v>4.7000000000000002E-3</v>
      </c>
      <c r="RU26">
        <v>5.4299999999999999E-3</v>
      </c>
      <c r="RV26">
        <v>6.1500000000000001E-3</v>
      </c>
      <c r="RW26">
        <v>6.8999999999999999E-3</v>
      </c>
      <c r="RX26">
        <v>6.1799999999999997E-3</v>
      </c>
      <c r="RY26">
        <v>4.5900000000000003E-3</v>
      </c>
      <c r="RZ26">
        <v>7.45E-3</v>
      </c>
      <c r="SA26">
        <v>1.3509999999999999E-2</v>
      </c>
      <c r="SB26">
        <v>1.1820000000000001E-2</v>
      </c>
      <c r="SC26">
        <v>8.1099999999999992E-3</v>
      </c>
      <c r="SD26">
        <v>8.2100000000000003E-3</v>
      </c>
      <c r="SE26">
        <v>7.4400000000000004E-3</v>
      </c>
      <c r="SF26">
        <v>8.2299999999999995E-3</v>
      </c>
      <c r="SG26">
        <v>1.0670000000000001E-2</v>
      </c>
      <c r="SH26">
        <v>1.325E-2</v>
      </c>
      <c r="SI26">
        <v>7.5799999999999999E-3</v>
      </c>
      <c r="SJ26">
        <v>6.0200000000000002E-3</v>
      </c>
      <c r="SK26">
        <v>5.4400000000000004E-3</v>
      </c>
      <c r="SL26">
        <v>5.5599999999999998E-3</v>
      </c>
      <c r="SM26">
        <v>5.1700000000000001E-3</v>
      </c>
      <c r="SN26">
        <v>5.0000000000000001E-3</v>
      </c>
      <c r="SO26">
        <v>4.9699999999999996E-3</v>
      </c>
      <c r="SP26">
        <v>6.4900000000000001E-3</v>
      </c>
      <c r="SQ26">
        <v>6.3099999999999996E-3</v>
      </c>
      <c r="SR26">
        <v>6.0899999999999999E-3</v>
      </c>
      <c r="SS26">
        <v>5.47E-3</v>
      </c>
      <c r="ST26">
        <v>5.3800000000000002E-3</v>
      </c>
      <c r="SU26">
        <v>5.9100000000000003E-3</v>
      </c>
      <c r="SV26">
        <v>5.6299999999999996E-3</v>
      </c>
      <c r="SW26">
        <v>5.8500000000000002E-3</v>
      </c>
      <c r="SX26">
        <v>6.96E-3</v>
      </c>
      <c r="SY26">
        <v>5.6499999999999996E-3</v>
      </c>
      <c r="SZ26">
        <v>6.0200000000000002E-3</v>
      </c>
      <c r="TA26">
        <v>5.9800000000000001E-3</v>
      </c>
      <c r="TC26">
        <v>5.3600000000000002E-3</v>
      </c>
      <c r="TD26">
        <v>6.77E-3</v>
      </c>
      <c r="TE26">
        <v>7.7099999999999998E-3</v>
      </c>
      <c r="TF26">
        <v>7.26E-3</v>
      </c>
      <c r="TG26">
        <v>6.3800000000000003E-3</v>
      </c>
      <c r="TH26">
        <v>8.6400000000000001E-3</v>
      </c>
      <c r="TI26">
        <v>6.0800000000000003E-3</v>
      </c>
      <c r="TK26">
        <v>5.3800000000000002E-3</v>
      </c>
      <c r="TL26">
        <v>4.9899999999999996E-3</v>
      </c>
      <c r="TM26">
        <v>4.5999999999999999E-3</v>
      </c>
      <c r="TN26">
        <v>5.8300000000000001E-3</v>
      </c>
      <c r="TO26">
        <v>5.9699999999999996E-3</v>
      </c>
      <c r="TP26">
        <v>5.5300000000000002E-3</v>
      </c>
      <c r="TQ26">
        <v>5.45E-3</v>
      </c>
      <c r="TR26">
        <v>6.9899999999999997E-3</v>
      </c>
      <c r="TS26">
        <v>7.8300000000000002E-3</v>
      </c>
      <c r="TT26">
        <v>7.6400000000000001E-3</v>
      </c>
      <c r="TU26">
        <v>6.8900000000000003E-3</v>
      </c>
      <c r="TV26">
        <v>6.4599999999999996E-3</v>
      </c>
      <c r="TW26">
        <v>5.4799999999999996E-3</v>
      </c>
      <c r="TX26">
        <v>5.47E-3</v>
      </c>
      <c r="TY26">
        <v>4.79E-3</v>
      </c>
      <c r="TZ26">
        <v>5.4200000000000003E-3</v>
      </c>
      <c r="UA26">
        <v>4.7200000000000002E-3</v>
      </c>
      <c r="UB26">
        <v>5.3899999999999998E-3</v>
      </c>
      <c r="UC26">
        <v>5.2399999999999999E-3</v>
      </c>
      <c r="UD26">
        <v>5.2300000000000003E-3</v>
      </c>
      <c r="UE26">
        <v>5.2399999999999999E-3</v>
      </c>
      <c r="UF26">
        <v>5.3699999999999998E-3</v>
      </c>
      <c r="UG26">
        <v>5.4400000000000004E-3</v>
      </c>
      <c r="UH26">
        <v>5.9199999999999999E-3</v>
      </c>
      <c r="UI26">
        <v>5.8900000000000003E-3</v>
      </c>
      <c r="UJ26">
        <v>5.7400000000000003E-3</v>
      </c>
      <c r="UK26">
        <v>5.4799999999999996E-3</v>
      </c>
      <c r="UL26">
        <v>5.8700000000000002E-3</v>
      </c>
      <c r="UM26">
        <v>6.45E-3</v>
      </c>
      <c r="UN26">
        <v>5.2599999999999999E-3</v>
      </c>
      <c r="UO26">
        <v>5.7000000000000002E-3</v>
      </c>
      <c r="UP26">
        <v>7.7600000000000004E-3</v>
      </c>
      <c r="UQ26">
        <v>5.1500000000000001E-3</v>
      </c>
      <c r="UR26">
        <v>5.2599999999999999E-3</v>
      </c>
      <c r="US26">
        <v>5.6499999999999996E-3</v>
      </c>
      <c r="UT26">
        <v>5.1999999999999998E-3</v>
      </c>
      <c r="UV26">
        <v>5.5799999999999999E-3</v>
      </c>
      <c r="UW26">
        <v>8.0700000000000008E-3</v>
      </c>
      <c r="UX26">
        <v>5.8399999999999997E-3</v>
      </c>
      <c r="UY26">
        <v>6.1000000000000004E-3</v>
      </c>
      <c r="VA26">
        <v>8.8699999999999994E-3</v>
      </c>
      <c r="VB26">
        <v>6.5300000000000002E-3</v>
      </c>
      <c r="VC26">
        <v>8.2199999999999999E-3</v>
      </c>
      <c r="VG26">
        <v>1.1820000000000001E-2</v>
      </c>
      <c r="VH26">
        <v>8.5699999999999995E-3</v>
      </c>
      <c r="VI26">
        <v>7.28E-3</v>
      </c>
    </row>
    <row r="27" spans="1:581" x14ac:dyDescent="0.25">
      <c r="A27">
        <v>600000</v>
      </c>
      <c r="B27">
        <v>4.5799999999999999E-3</v>
      </c>
      <c r="C27">
        <v>4.4999999999999997E-3</v>
      </c>
      <c r="D27">
        <v>4.2599999999999999E-3</v>
      </c>
      <c r="E27">
        <v>4.1599999999999996E-3</v>
      </c>
      <c r="F27">
        <v>4.15E-3</v>
      </c>
      <c r="G27">
        <v>5.1900000000000002E-3</v>
      </c>
      <c r="H27">
        <v>4.4299999999999999E-3</v>
      </c>
      <c r="I27">
        <v>4.3E-3</v>
      </c>
      <c r="J27">
        <v>4.1999999999999997E-3</v>
      </c>
      <c r="K27">
        <v>4.9699999999999996E-3</v>
      </c>
      <c r="L27">
        <v>4.47E-3</v>
      </c>
      <c r="M27">
        <v>4.3699999999999998E-3</v>
      </c>
      <c r="N27">
        <v>4.3099999999999996E-3</v>
      </c>
      <c r="O27">
        <v>6.3299999999999997E-3</v>
      </c>
      <c r="P27">
        <v>6.1399999999999996E-3</v>
      </c>
      <c r="Q27">
        <v>6.0600000000000003E-3</v>
      </c>
      <c r="R27">
        <v>5.5700000000000003E-3</v>
      </c>
      <c r="S27">
        <v>5.2199999999999998E-3</v>
      </c>
      <c r="T27">
        <v>5.1200000000000004E-3</v>
      </c>
      <c r="U27">
        <v>6.0400000000000002E-3</v>
      </c>
      <c r="V27">
        <v>5.1799999999999997E-3</v>
      </c>
      <c r="W27">
        <v>5.5599999999999998E-3</v>
      </c>
      <c r="X27">
        <v>5.0200000000000002E-3</v>
      </c>
      <c r="Y27">
        <v>4.9800000000000001E-3</v>
      </c>
      <c r="AA27">
        <v>9.5399999999999999E-3</v>
      </c>
      <c r="AB27">
        <v>7.5500000000000003E-3</v>
      </c>
      <c r="AC27">
        <v>8.3000000000000001E-3</v>
      </c>
      <c r="AD27">
        <v>6.5700000000000003E-3</v>
      </c>
      <c r="AE27">
        <v>7.5900000000000004E-3</v>
      </c>
      <c r="AF27">
        <v>7.4599999999999996E-3</v>
      </c>
      <c r="AG27">
        <v>8.8100000000000001E-3</v>
      </c>
      <c r="AH27">
        <v>8.77E-3</v>
      </c>
      <c r="AI27">
        <v>1.065E-2</v>
      </c>
      <c r="AJ27">
        <v>7.1199999999999996E-3</v>
      </c>
      <c r="AK27">
        <v>7.6299999999999996E-3</v>
      </c>
      <c r="AL27">
        <v>8.8699999999999994E-3</v>
      </c>
      <c r="AM27">
        <v>8.9099999999999995E-3</v>
      </c>
      <c r="AN27">
        <v>9.4800000000000006E-3</v>
      </c>
      <c r="AO27">
        <v>1.6070000000000001E-2</v>
      </c>
      <c r="AP27">
        <v>9.2300000000000004E-3</v>
      </c>
      <c r="AR27">
        <v>9.9699999999999997E-3</v>
      </c>
      <c r="AS27">
        <v>1.052E-2</v>
      </c>
      <c r="AT27">
        <v>8.3199999999999993E-3</v>
      </c>
      <c r="AU27">
        <v>9.0299999999999998E-3</v>
      </c>
      <c r="AW27">
        <v>9.5399999999999999E-3</v>
      </c>
      <c r="AX27">
        <v>9.2300000000000004E-3</v>
      </c>
      <c r="AZ27">
        <v>8.5900000000000004E-3</v>
      </c>
      <c r="BA27">
        <v>1.108E-2</v>
      </c>
      <c r="BB27">
        <v>8.2400000000000008E-3</v>
      </c>
      <c r="BC27">
        <v>9.0100000000000006E-3</v>
      </c>
      <c r="BD27">
        <v>9.5600000000000008E-3</v>
      </c>
      <c r="BE27">
        <v>1.1560000000000001E-2</v>
      </c>
      <c r="BF27">
        <v>1.244E-2</v>
      </c>
      <c r="BG27">
        <v>8.7500000000000008E-3</v>
      </c>
      <c r="BH27">
        <v>9.7999999999999997E-3</v>
      </c>
      <c r="BI27">
        <v>1.2930000000000001E-2</v>
      </c>
      <c r="BJ27">
        <v>9.1500000000000001E-3</v>
      </c>
      <c r="BK27">
        <v>9.3799999999999994E-3</v>
      </c>
      <c r="BL27">
        <v>9.4900000000000002E-3</v>
      </c>
      <c r="BM27">
        <v>8.9700000000000005E-3</v>
      </c>
      <c r="BN27">
        <v>6.1500000000000001E-3</v>
      </c>
      <c r="BO27">
        <v>1.026E-2</v>
      </c>
      <c r="BQ27">
        <v>6.5399999999999998E-3</v>
      </c>
      <c r="BR27">
        <v>7.7499999999999999E-3</v>
      </c>
      <c r="BS27">
        <v>1.2359999999999999E-2</v>
      </c>
      <c r="BT27">
        <v>1.077E-2</v>
      </c>
      <c r="BU27">
        <v>1.0699999999999999E-2</v>
      </c>
      <c r="BV27">
        <v>1.0869999999999999E-2</v>
      </c>
      <c r="BW27">
        <v>1.0460000000000001E-2</v>
      </c>
      <c r="BX27">
        <v>1.0109999999999999E-2</v>
      </c>
      <c r="BY27">
        <v>1.047E-2</v>
      </c>
      <c r="BZ27">
        <v>9.5200000000000007E-3</v>
      </c>
      <c r="CA27">
        <v>9.8499999999999994E-3</v>
      </c>
      <c r="CB27">
        <v>7.4000000000000003E-3</v>
      </c>
      <c r="CC27">
        <v>8.2100000000000003E-3</v>
      </c>
      <c r="CD27">
        <v>7.0099999999999997E-3</v>
      </c>
      <c r="CE27">
        <v>5.94E-3</v>
      </c>
      <c r="CF27">
        <v>5.7999999999999996E-3</v>
      </c>
      <c r="CG27">
        <v>5.7000000000000002E-3</v>
      </c>
      <c r="CH27">
        <v>5.6899999999999997E-3</v>
      </c>
      <c r="CI27">
        <v>5.7999999999999996E-3</v>
      </c>
      <c r="CJ27">
        <v>5.9300000000000004E-3</v>
      </c>
      <c r="CK27">
        <v>7.0299999999999998E-3</v>
      </c>
      <c r="CL27">
        <v>6.1799999999999997E-3</v>
      </c>
      <c r="CM27">
        <v>6.6899999999999998E-3</v>
      </c>
      <c r="CN27">
        <v>7.5300000000000002E-3</v>
      </c>
      <c r="CP27">
        <v>7.77E-3</v>
      </c>
      <c r="CQ27">
        <v>6.4799999999999996E-3</v>
      </c>
      <c r="CR27">
        <v>6.7799999999999996E-3</v>
      </c>
      <c r="CS27">
        <v>7.7400000000000004E-3</v>
      </c>
      <c r="CT27">
        <v>8.1899999999999994E-3</v>
      </c>
      <c r="CU27">
        <v>6.3400000000000001E-3</v>
      </c>
      <c r="CV27">
        <v>6.0299999999999998E-3</v>
      </c>
      <c r="CW27">
        <v>6.6699999999999997E-3</v>
      </c>
      <c r="CX27">
        <v>6.5700000000000003E-3</v>
      </c>
      <c r="CY27">
        <v>7.1700000000000002E-3</v>
      </c>
      <c r="CZ27">
        <v>6.1199999999999996E-3</v>
      </c>
      <c r="DA27">
        <v>5.7400000000000003E-3</v>
      </c>
      <c r="DB27">
        <v>5.62E-3</v>
      </c>
      <c r="DC27">
        <v>5.5300000000000002E-3</v>
      </c>
      <c r="DD27">
        <v>5.4099999999999999E-3</v>
      </c>
      <c r="DE27">
        <v>5.3600000000000002E-3</v>
      </c>
      <c r="DF27">
        <v>1.103E-2</v>
      </c>
      <c r="DG27">
        <v>6.6499999999999997E-3</v>
      </c>
      <c r="DH27">
        <v>9.7300000000000008E-3</v>
      </c>
      <c r="DI27">
        <v>9.2700000000000005E-3</v>
      </c>
      <c r="DJ27">
        <v>8.9099999999999995E-3</v>
      </c>
      <c r="DK27">
        <v>8.6400000000000001E-3</v>
      </c>
      <c r="DL27">
        <v>8.4799999999999997E-3</v>
      </c>
      <c r="DM27">
        <v>9.1999999999999998E-3</v>
      </c>
      <c r="DN27">
        <v>9.0500000000000008E-3</v>
      </c>
      <c r="DO27">
        <v>8.09E-3</v>
      </c>
      <c r="DP27">
        <v>7.1999999999999998E-3</v>
      </c>
      <c r="DS27">
        <v>1.043E-2</v>
      </c>
      <c r="DT27">
        <v>9.2499999999999995E-3</v>
      </c>
      <c r="DU27">
        <v>8.2799999999999992E-3</v>
      </c>
      <c r="DW27">
        <v>1.1050000000000001E-2</v>
      </c>
      <c r="DX27">
        <v>9.2700000000000005E-3</v>
      </c>
      <c r="DY27">
        <v>1.108E-2</v>
      </c>
      <c r="DZ27">
        <v>8.5800000000000008E-3</v>
      </c>
      <c r="EA27">
        <v>6.8599999999999998E-3</v>
      </c>
      <c r="EB27">
        <v>6.7400000000000003E-3</v>
      </c>
      <c r="EC27">
        <v>6.2399999999999999E-3</v>
      </c>
      <c r="ED27">
        <v>2.5260000000000001E-2</v>
      </c>
      <c r="EH27">
        <v>2.4799999999999999E-2</v>
      </c>
      <c r="EI27">
        <v>6.7999999999999996E-3</v>
      </c>
      <c r="EJ27">
        <v>6.0000000000000001E-3</v>
      </c>
      <c r="EK27">
        <v>6.5100000000000002E-3</v>
      </c>
      <c r="EL27">
        <v>7.2899999999999996E-3</v>
      </c>
      <c r="EM27">
        <v>7.79E-3</v>
      </c>
      <c r="EN27">
        <v>8.0400000000000003E-3</v>
      </c>
      <c r="EO27">
        <v>8.2299999999999995E-3</v>
      </c>
      <c r="EP27">
        <v>8.5000000000000006E-3</v>
      </c>
      <c r="EQ27">
        <v>8.6199999999999992E-3</v>
      </c>
      <c r="ES27">
        <v>8.4799999999999997E-3</v>
      </c>
      <c r="ET27">
        <v>9.5899999999999996E-3</v>
      </c>
      <c r="EU27">
        <v>1.239E-2</v>
      </c>
      <c r="EV27">
        <v>1.154E-2</v>
      </c>
      <c r="EW27">
        <v>1.0699999999999999E-2</v>
      </c>
      <c r="EX27">
        <v>1.1259999999999999E-2</v>
      </c>
      <c r="EY27">
        <v>7.1199999999999996E-3</v>
      </c>
      <c r="EZ27">
        <v>7.4000000000000003E-3</v>
      </c>
      <c r="FA27">
        <v>8.5800000000000008E-3</v>
      </c>
      <c r="FB27">
        <v>8.9700000000000005E-3</v>
      </c>
      <c r="FC27">
        <v>8.0999999999999996E-3</v>
      </c>
      <c r="FD27">
        <v>7.6099999999999996E-3</v>
      </c>
      <c r="FE27">
        <v>8.8599999999999998E-3</v>
      </c>
      <c r="FG27">
        <v>9.3600000000000003E-3</v>
      </c>
      <c r="FH27">
        <v>1.035E-2</v>
      </c>
      <c r="FI27">
        <v>9.4999999999999998E-3</v>
      </c>
      <c r="FJ27">
        <v>9.3500000000000007E-3</v>
      </c>
      <c r="FK27">
        <v>8.9499999999999996E-3</v>
      </c>
      <c r="FL27">
        <v>6.4099999999999999E-3</v>
      </c>
      <c r="FN27">
        <v>9.2899999999999996E-3</v>
      </c>
      <c r="FO27">
        <v>7.9900000000000006E-3</v>
      </c>
      <c r="FP27">
        <v>7.3400000000000002E-3</v>
      </c>
      <c r="FQ27">
        <v>1.056E-2</v>
      </c>
      <c r="FR27">
        <v>1.1520000000000001E-2</v>
      </c>
      <c r="FS27">
        <v>1.191E-2</v>
      </c>
      <c r="FT27">
        <v>1.0489999999999999E-2</v>
      </c>
      <c r="FU27">
        <v>9.7300000000000008E-3</v>
      </c>
      <c r="FV27">
        <v>9.1900000000000003E-3</v>
      </c>
      <c r="FW27">
        <v>9.0799999999999995E-3</v>
      </c>
      <c r="FX27">
        <v>9.4599999999999997E-3</v>
      </c>
      <c r="FY27">
        <v>1.0149999999999999E-2</v>
      </c>
      <c r="FZ27">
        <v>9.1800000000000007E-3</v>
      </c>
      <c r="GA27">
        <v>9.9000000000000008E-3</v>
      </c>
      <c r="GB27">
        <v>9.1599999999999997E-3</v>
      </c>
      <c r="GC27">
        <v>9.92E-3</v>
      </c>
      <c r="GD27">
        <v>9.0699999999999999E-3</v>
      </c>
      <c r="GE27">
        <v>9.7999999999999997E-3</v>
      </c>
      <c r="GF27">
        <v>8.3400000000000002E-3</v>
      </c>
      <c r="GH27">
        <v>8.5299999999999994E-3</v>
      </c>
      <c r="GI27">
        <v>9.0900000000000009E-3</v>
      </c>
      <c r="GJ27">
        <v>9.2800000000000001E-3</v>
      </c>
      <c r="GK27">
        <v>9.4699999999999993E-3</v>
      </c>
      <c r="GL27">
        <v>9.8399999999999998E-3</v>
      </c>
      <c r="GM27">
        <v>8.6E-3</v>
      </c>
      <c r="GO27">
        <v>8.8999999999999999E-3</v>
      </c>
      <c r="GP27">
        <v>9.0799999999999995E-3</v>
      </c>
      <c r="GQ27">
        <v>9.58E-3</v>
      </c>
      <c r="GR27">
        <v>1.0959999999999999E-2</v>
      </c>
      <c r="GS27">
        <v>8.4100000000000008E-3</v>
      </c>
      <c r="GT27">
        <v>9.0200000000000002E-3</v>
      </c>
      <c r="GU27">
        <v>6.5799999999999999E-3</v>
      </c>
      <c r="GV27">
        <v>9.8300000000000002E-3</v>
      </c>
      <c r="GW27">
        <v>1.027E-2</v>
      </c>
      <c r="GX27">
        <v>9.1900000000000003E-3</v>
      </c>
      <c r="GY27">
        <v>1.157E-2</v>
      </c>
      <c r="GZ27">
        <v>9.5999999999999992E-3</v>
      </c>
      <c r="HC27">
        <v>7.4400000000000004E-3</v>
      </c>
      <c r="HE27">
        <v>8.7100000000000007E-3</v>
      </c>
      <c r="HF27">
        <v>7.6800000000000002E-3</v>
      </c>
      <c r="HI27">
        <v>1.043E-2</v>
      </c>
      <c r="HJ27">
        <v>5.1999999999999998E-3</v>
      </c>
      <c r="HK27">
        <v>1.013E-2</v>
      </c>
      <c r="HL27">
        <v>9.5600000000000008E-3</v>
      </c>
      <c r="HM27">
        <v>9.4999999999999998E-3</v>
      </c>
      <c r="HN27">
        <v>9.2099999999999994E-3</v>
      </c>
      <c r="HP27">
        <v>6.0200000000000002E-3</v>
      </c>
      <c r="HQ27">
        <v>1.025E-2</v>
      </c>
      <c r="HR27">
        <v>1.2070000000000001E-2</v>
      </c>
      <c r="HS27">
        <v>1.371E-2</v>
      </c>
      <c r="HT27">
        <v>8.8199999999999997E-3</v>
      </c>
      <c r="HU27">
        <v>6.3499999999999997E-3</v>
      </c>
      <c r="HV27">
        <v>8.6800000000000002E-3</v>
      </c>
      <c r="HW27">
        <v>6.6699999999999997E-3</v>
      </c>
      <c r="HX27">
        <v>1.1469999999999999E-2</v>
      </c>
      <c r="HY27">
        <v>8.9800000000000001E-3</v>
      </c>
      <c r="IA27">
        <v>9.4599999999999997E-3</v>
      </c>
      <c r="IB27">
        <v>1.1209999999999999E-2</v>
      </c>
      <c r="IC27">
        <v>8.8800000000000007E-3</v>
      </c>
      <c r="ID27">
        <v>7.7400000000000004E-3</v>
      </c>
      <c r="IE27">
        <v>7.0600000000000003E-3</v>
      </c>
      <c r="IF27">
        <v>6.96E-3</v>
      </c>
      <c r="IG27">
        <v>8.0000000000000002E-3</v>
      </c>
      <c r="IH27">
        <v>8.9099999999999995E-3</v>
      </c>
      <c r="II27">
        <v>6.2599999999999999E-3</v>
      </c>
      <c r="IJ27">
        <v>7.2100000000000003E-3</v>
      </c>
      <c r="IK27">
        <v>7.8899999999999994E-3</v>
      </c>
      <c r="IM27">
        <v>9.6500000000000006E-3</v>
      </c>
      <c r="IN27">
        <v>1.0540000000000001E-2</v>
      </c>
      <c r="IO27">
        <v>1.1560000000000001E-2</v>
      </c>
      <c r="IP27">
        <v>1.404E-2</v>
      </c>
      <c r="IQ27">
        <v>1.5709999999999998E-2</v>
      </c>
      <c r="IR27">
        <v>1.7340000000000001E-2</v>
      </c>
      <c r="IS27">
        <v>5.3899999999999998E-3</v>
      </c>
      <c r="IT27">
        <v>6.9499999999999996E-3</v>
      </c>
      <c r="IU27">
        <v>8.2699999999999996E-3</v>
      </c>
      <c r="IV27">
        <v>5.7600000000000004E-3</v>
      </c>
      <c r="IW27">
        <v>6.8300000000000001E-3</v>
      </c>
      <c r="IX27">
        <v>4.5500000000000002E-3</v>
      </c>
      <c r="IY27">
        <v>5.0800000000000003E-3</v>
      </c>
      <c r="IZ27">
        <v>5.0000000000000001E-3</v>
      </c>
      <c r="JA27">
        <v>5.5100000000000001E-3</v>
      </c>
      <c r="JB27">
        <v>5.8199999999999997E-3</v>
      </c>
      <c r="JC27">
        <v>6.3200000000000001E-3</v>
      </c>
      <c r="JD27">
        <v>6.7299999999999999E-3</v>
      </c>
      <c r="JE27">
        <v>5.7000000000000002E-3</v>
      </c>
      <c r="JF27">
        <v>6.6E-3</v>
      </c>
      <c r="JG27">
        <v>7.2399999999999999E-3</v>
      </c>
      <c r="JH27">
        <v>1.4160000000000001E-2</v>
      </c>
      <c r="JI27">
        <v>9.58E-3</v>
      </c>
      <c r="JJ27">
        <v>8.1399999999999997E-3</v>
      </c>
      <c r="JK27">
        <v>1.2789999999999999E-2</v>
      </c>
      <c r="JL27">
        <v>1.0120000000000001E-2</v>
      </c>
      <c r="JM27">
        <v>8.1899999999999994E-3</v>
      </c>
      <c r="JN27">
        <v>1.1560000000000001E-2</v>
      </c>
      <c r="JO27">
        <v>2.3879999999999998E-2</v>
      </c>
      <c r="JQ27">
        <v>6.5199999999999998E-3</v>
      </c>
      <c r="JR27">
        <v>7.1599999999999997E-3</v>
      </c>
      <c r="JS27">
        <v>6.4900000000000001E-3</v>
      </c>
      <c r="JT27">
        <v>7.3600000000000002E-3</v>
      </c>
      <c r="JU27">
        <v>7.6699999999999997E-3</v>
      </c>
      <c r="JX27">
        <v>7.5500000000000003E-3</v>
      </c>
      <c r="JY27">
        <v>8.6999999999999994E-3</v>
      </c>
      <c r="JZ27">
        <v>9.6399999999999993E-3</v>
      </c>
      <c r="KA27">
        <v>9.6299999999999997E-3</v>
      </c>
      <c r="KB27">
        <v>6.7999999999999996E-3</v>
      </c>
      <c r="KC27">
        <v>7.11E-3</v>
      </c>
      <c r="KD27">
        <v>7.6400000000000001E-3</v>
      </c>
      <c r="KE27">
        <v>8.3599999999999994E-3</v>
      </c>
      <c r="KF27">
        <v>1.0410000000000001E-2</v>
      </c>
      <c r="KG27">
        <v>1.2800000000000001E-2</v>
      </c>
      <c r="KH27">
        <v>9.3399999999999993E-3</v>
      </c>
      <c r="KI27">
        <v>1.027E-2</v>
      </c>
      <c r="KJ27">
        <v>1.031E-2</v>
      </c>
      <c r="KK27">
        <v>1.035E-2</v>
      </c>
      <c r="KL27">
        <v>1.043E-2</v>
      </c>
      <c r="KM27">
        <v>1.061E-2</v>
      </c>
      <c r="KN27">
        <v>6.0899999999999999E-3</v>
      </c>
      <c r="KO27">
        <v>6.7600000000000004E-3</v>
      </c>
      <c r="KP27">
        <v>9.4199999999999996E-3</v>
      </c>
      <c r="KQ27">
        <v>9.6600000000000002E-3</v>
      </c>
      <c r="KR27">
        <v>1.0699999999999999E-2</v>
      </c>
      <c r="KS27">
        <v>8.4200000000000004E-3</v>
      </c>
      <c r="KT27">
        <v>9.1400000000000006E-3</v>
      </c>
      <c r="KU27">
        <v>5.7000000000000002E-3</v>
      </c>
      <c r="KV27">
        <v>5.64E-3</v>
      </c>
      <c r="KW27">
        <v>6.0699999999999999E-3</v>
      </c>
      <c r="KX27">
        <v>1.38E-2</v>
      </c>
      <c r="KY27">
        <v>5.8399999999999997E-3</v>
      </c>
      <c r="KZ27">
        <v>7.3000000000000001E-3</v>
      </c>
      <c r="LA27">
        <v>8.2199999999999999E-3</v>
      </c>
      <c r="LB27">
        <v>7.7000000000000002E-3</v>
      </c>
      <c r="LC27">
        <v>7.9399999999999991E-3</v>
      </c>
      <c r="LD27">
        <v>7.9399999999999991E-3</v>
      </c>
      <c r="LE27">
        <v>1.154E-2</v>
      </c>
      <c r="LF27">
        <v>1.1379999999999999E-2</v>
      </c>
      <c r="LG27">
        <v>1.123E-2</v>
      </c>
      <c r="LI27">
        <v>1.136E-2</v>
      </c>
      <c r="LJ27">
        <v>1.166E-2</v>
      </c>
      <c r="LK27">
        <v>1.1820000000000001E-2</v>
      </c>
      <c r="LL27">
        <v>9.2200000000000008E-3</v>
      </c>
      <c r="LM27">
        <v>6.4700000000000001E-3</v>
      </c>
      <c r="LO27">
        <v>1.0460000000000001E-2</v>
      </c>
      <c r="LP27">
        <v>8.5199999999999998E-3</v>
      </c>
      <c r="LR27">
        <v>1.1560000000000001E-2</v>
      </c>
      <c r="LS27">
        <v>1.295E-2</v>
      </c>
      <c r="LT27">
        <v>8.3400000000000002E-3</v>
      </c>
      <c r="LV27">
        <v>1.562E-2</v>
      </c>
      <c r="LW27">
        <v>5.1599999999999997E-3</v>
      </c>
      <c r="LX27">
        <v>5.8799999999999998E-3</v>
      </c>
      <c r="LY27">
        <v>9.2999999999999992E-3</v>
      </c>
      <c r="LZ27">
        <v>9.3799999999999994E-3</v>
      </c>
      <c r="MA27">
        <v>9.1900000000000003E-3</v>
      </c>
      <c r="MB27">
        <v>4.6800000000000001E-3</v>
      </c>
      <c r="MC27">
        <v>8.4100000000000008E-3</v>
      </c>
      <c r="MD27">
        <v>1.1860000000000001E-2</v>
      </c>
      <c r="ME27">
        <v>1.4030000000000001E-2</v>
      </c>
      <c r="MF27">
        <v>1.6389999999999998E-2</v>
      </c>
      <c r="MH27">
        <v>9.1000000000000004E-3</v>
      </c>
      <c r="MJ27">
        <v>1.03E-2</v>
      </c>
      <c r="MK27">
        <v>1.0500000000000001E-2</v>
      </c>
      <c r="ML27">
        <v>1.218E-2</v>
      </c>
      <c r="MM27">
        <v>1.064E-2</v>
      </c>
      <c r="MN27">
        <v>6.4599999999999996E-3</v>
      </c>
      <c r="MO27">
        <v>7.1599999999999997E-3</v>
      </c>
      <c r="MP27">
        <v>7.1799999999999998E-3</v>
      </c>
      <c r="MQ27">
        <v>5.9300000000000004E-3</v>
      </c>
      <c r="MR27">
        <v>7.3800000000000003E-3</v>
      </c>
      <c r="MS27">
        <v>8.3199999999999993E-3</v>
      </c>
      <c r="MT27">
        <v>9.0699999999999999E-3</v>
      </c>
      <c r="MU27">
        <v>5.77E-3</v>
      </c>
      <c r="MV27">
        <v>6.6899999999999998E-3</v>
      </c>
      <c r="MW27">
        <v>7.1199999999999996E-3</v>
      </c>
      <c r="MX27">
        <v>7.3499999999999998E-3</v>
      </c>
      <c r="MY27">
        <v>8.0400000000000003E-3</v>
      </c>
      <c r="MZ27">
        <v>8.9099999999999995E-3</v>
      </c>
      <c r="NA27">
        <v>8.09E-3</v>
      </c>
      <c r="NB27">
        <v>8.2400000000000008E-3</v>
      </c>
      <c r="ND27">
        <v>1.1429999999999999E-2</v>
      </c>
      <c r="NE27">
        <v>9.9100000000000004E-3</v>
      </c>
      <c r="NF27">
        <v>9.9000000000000008E-3</v>
      </c>
      <c r="NG27">
        <v>6.0000000000000001E-3</v>
      </c>
      <c r="NH27">
        <v>4.8599999999999997E-3</v>
      </c>
      <c r="NI27">
        <v>5.3499999999999997E-3</v>
      </c>
      <c r="NJ27">
        <v>5.9800000000000001E-3</v>
      </c>
      <c r="NK27">
        <v>5.3E-3</v>
      </c>
      <c r="NL27">
        <v>5.6699999999999997E-3</v>
      </c>
      <c r="NM27">
        <v>6.0200000000000002E-3</v>
      </c>
      <c r="NN27">
        <v>6.3800000000000003E-3</v>
      </c>
      <c r="NO27">
        <v>6.6299999999999996E-3</v>
      </c>
      <c r="NP27">
        <v>5.3499999999999997E-3</v>
      </c>
      <c r="NQ27">
        <v>5.77E-3</v>
      </c>
      <c r="NR27">
        <v>5.7299999999999999E-3</v>
      </c>
      <c r="NS27">
        <v>6.0600000000000003E-3</v>
      </c>
      <c r="NT27">
        <v>6.6499999999999997E-3</v>
      </c>
      <c r="NU27">
        <v>5.4000000000000003E-3</v>
      </c>
      <c r="NV27">
        <v>5.7400000000000003E-3</v>
      </c>
      <c r="NW27">
        <v>5.7800000000000004E-3</v>
      </c>
      <c r="NX27">
        <v>6.0000000000000001E-3</v>
      </c>
      <c r="NY27">
        <v>6.1199999999999996E-3</v>
      </c>
      <c r="NZ27">
        <v>6.4599999999999996E-3</v>
      </c>
      <c r="OA27">
        <v>6.7200000000000003E-3</v>
      </c>
      <c r="OB27">
        <v>5.4400000000000004E-3</v>
      </c>
      <c r="OC27">
        <v>5.79E-3</v>
      </c>
      <c r="OD27">
        <v>5.94E-3</v>
      </c>
      <c r="OE27">
        <v>5.94E-3</v>
      </c>
      <c r="OF27">
        <v>8.8199999999999997E-3</v>
      </c>
      <c r="OG27">
        <v>6.1999999999999998E-3</v>
      </c>
      <c r="OH27">
        <v>6.4700000000000001E-3</v>
      </c>
      <c r="OI27">
        <v>6.8399999999999997E-3</v>
      </c>
      <c r="OJ27">
        <v>7.0800000000000004E-3</v>
      </c>
      <c r="OK27">
        <v>7.3099999999999997E-3</v>
      </c>
      <c r="OL27">
        <v>7.5399999999999998E-3</v>
      </c>
      <c r="OM27">
        <v>5.5999999999999999E-3</v>
      </c>
      <c r="ON27">
        <v>5.8799999999999998E-3</v>
      </c>
      <c r="OO27">
        <v>6.2599999999999999E-3</v>
      </c>
      <c r="OP27">
        <v>6.8599999999999998E-3</v>
      </c>
      <c r="OQ27">
        <v>7.1599999999999997E-3</v>
      </c>
      <c r="OR27">
        <v>7.3899999999999999E-3</v>
      </c>
      <c r="OS27">
        <v>8.3199999999999993E-3</v>
      </c>
      <c r="OT27">
        <v>5.9800000000000001E-3</v>
      </c>
      <c r="OU27">
        <v>6.0299999999999998E-3</v>
      </c>
      <c r="OV27">
        <v>4.3800000000000002E-3</v>
      </c>
      <c r="OW27">
        <v>4.0600000000000002E-3</v>
      </c>
      <c r="OX27">
        <v>3.9199999999999999E-3</v>
      </c>
      <c r="OY27">
        <v>4.1200000000000004E-3</v>
      </c>
      <c r="OZ27">
        <v>5.2199999999999998E-3</v>
      </c>
      <c r="PA27">
        <v>1.099E-2</v>
      </c>
      <c r="PB27">
        <v>1.204E-2</v>
      </c>
      <c r="PC27">
        <v>9.2200000000000008E-3</v>
      </c>
      <c r="PD27">
        <v>7.8700000000000003E-3</v>
      </c>
      <c r="PF27">
        <v>6.7400000000000003E-3</v>
      </c>
      <c r="PG27">
        <v>6.5300000000000002E-3</v>
      </c>
      <c r="PH27">
        <v>6.6299999999999996E-3</v>
      </c>
      <c r="PI27">
        <v>8.5199999999999998E-3</v>
      </c>
      <c r="PJ27">
        <v>7.9100000000000004E-3</v>
      </c>
      <c r="PK27">
        <v>7.1500000000000001E-3</v>
      </c>
      <c r="PL27">
        <v>6.2899999999999996E-3</v>
      </c>
      <c r="PM27">
        <v>5.9100000000000003E-3</v>
      </c>
      <c r="PN27">
        <v>6.1700000000000001E-3</v>
      </c>
      <c r="PO27">
        <v>6.3699999999999998E-3</v>
      </c>
      <c r="PP27">
        <v>6.6800000000000002E-3</v>
      </c>
      <c r="PQ27">
        <v>6.7799999999999996E-3</v>
      </c>
      <c r="PR27">
        <v>6.0600000000000003E-3</v>
      </c>
      <c r="PS27">
        <v>7.2700000000000004E-3</v>
      </c>
      <c r="PT27">
        <v>7.1000000000000004E-3</v>
      </c>
      <c r="PU27">
        <v>5.3200000000000001E-3</v>
      </c>
      <c r="PV27">
        <v>6.4400000000000004E-3</v>
      </c>
      <c r="PW27">
        <v>7.2399999999999999E-3</v>
      </c>
      <c r="PY27">
        <v>9.5099999999999994E-3</v>
      </c>
      <c r="QA27">
        <v>4.7299999999999998E-3</v>
      </c>
      <c r="QB27">
        <v>4.9500000000000004E-3</v>
      </c>
      <c r="QC27">
        <v>6.1900000000000002E-3</v>
      </c>
      <c r="QD27">
        <v>5.4000000000000003E-3</v>
      </c>
      <c r="QE27">
        <v>5.2900000000000004E-3</v>
      </c>
      <c r="QF27">
        <v>5.3200000000000001E-3</v>
      </c>
      <c r="QG27">
        <v>6.5599999999999999E-3</v>
      </c>
      <c r="QH27">
        <v>5.3499999999999997E-3</v>
      </c>
      <c r="QI27">
        <v>5.5199999999999997E-3</v>
      </c>
      <c r="QJ27">
        <v>5.5900000000000004E-3</v>
      </c>
      <c r="QK27">
        <v>5.3200000000000001E-3</v>
      </c>
      <c r="QL27">
        <v>5.13E-3</v>
      </c>
      <c r="QM27">
        <v>5.96E-3</v>
      </c>
      <c r="QN27">
        <v>7.8399999999999997E-3</v>
      </c>
      <c r="QO27">
        <v>7.3299999999999997E-3</v>
      </c>
      <c r="QP27">
        <v>7.3800000000000003E-3</v>
      </c>
      <c r="QQ27">
        <v>7.5199999999999998E-3</v>
      </c>
      <c r="QR27">
        <v>9.3600000000000003E-3</v>
      </c>
      <c r="QT27">
        <v>7.3099999999999997E-3</v>
      </c>
      <c r="QU27">
        <v>7.4400000000000004E-3</v>
      </c>
      <c r="QV27">
        <v>7.5799999999999999E-3</v>
      </c>
      <c r="QW27">
        <v>7.0899999999999999E-3</v>
      </c>
      <c r="QX27">
        <v>7.0299999999999998E-3</v>
      </c>
      <c r="QY27">
        <v>6.5500000000000003E-3</v>
      </c>
      <c r="QZ27">
        <v>6.9899999999999997E-3</v>
      </c>
      <c r="RA27">
        <v>8.7399999999999995E-3</v>
      </c>
      <c r="RB27">
        <v>1.069E-2</v>
      </c>
      <c r="RC27">
        <v>8.8000000000000005E-3</v>
      </c>
      <c r="RD27">
        <v>1.7000000000000001E-2</v>
      </c>
      <c r="RE27">
        <v>1.6209999999999999E-2</v>
      </c>
      <c r="RF27">
        <v>9.8799999999999999E-3</v>
      </c>
      <c r="RG27">
        <v>6.7099999999999998E-3</v>
      </c>
      <c r="RH27">
        <v>6.1399999999999996E-3</v>
      </c>
      <c r="RJ27">
        <v>1.0540000000000001E-2</v>
      </c>
      <c r="RK27">
        <v>1.001E-2</v>
      </c>
      <c r="RL27">
        <v>9.1699999999999993E-3</v>
      </c>
      <c r="RM27">
        <v>5.4400000000000004E-3</v>
      </c>
      <c r="RN27">
        <v>5.4599999999999996E-3</v>
      </c>
      <c r="RO27">
        <v>5.4599999999999996E-3</v>
      </c>
      <c r="RQ27">
        <v>5.5500000000000002E-3</v>
      </c>
      <c r="RR27">
        <v>5.2500000000000003E-3</v>
      </c>
      <c r="RS27">
        <v>5.4000000000000003E-3</v>
      </c>
      <c r="RT27">
        <v>4.5999999999999999E-3</v>
      </c>
      <c r="RU27">
        <v>5.3600000000000002E-3</v>
      </c>
      <c r="RV27">
        <v>6.0800000000000003E-3</v>
      </c>
      <c r="RW27">
        <v>6.79E-3</v>
      </c>
      <c r="RX27">
        <v>6.1000000000000004E-3</v>
      </c>
      <c r="RY27">
        <v>4.4799999999999996E-3</v>
      </c>
      <c r="RZ27">
        <v>7.2300000000000003E-3</v>
      </c>
      <c r="SA27">
        <v>1.291E-2</v>
      </c>
      <c r="SB27">
        <v>1.129E-2</v>
      </c>
      <c r="SC27">
        <v>7.9699999999999997E-3</v>
      </c>
      <c r="SD27">
        <v>8.1099999999999992E-3</v>
      </c>
      <c r="SE27">
        <v>7.3600000000000002E-3</v>
      </c>
      <c r="SF27">
        <v>8.1399999999999997E-3</v>
      </c>
      <c r="SG27">
        <v>1.0540000000000001E-2</v>
      </c>
      <c r="SH27">
        <v>1.3100000000000001E-2</v>
      </c>
      <c r="SI27">
        <v>7.4599999999999996E-3</v>
      </c>
      <c r="SJ27">
        <v>5.9300000000000004E-3</v>
      </c>
      <c r="SK27">
        <v>5.3499999999999997E-3</v>
      </c>
      <c r="SL27">
        <v>5.5100000000000001E-3</v>
      </c>
      <c r="SM27">
        <v>5.0600000000000003E-3</v>
      </c>
      <c r="SN27">
        <v>4.9300000000000004E-3</v>
      </c>
      <c r="SO27">
        <v>4.8799999999999998E-3</v>
      </c>
      <c r="SP27">
        <v>6.4599999999999996E-3</v>
      </c>
      <c r="SQ27">
        <v>6.2199999999999998E-3</v>
      </c>
      <c r="SR27">
        <v>6.0499999999999998E-3</v>
      </c>
      <c r="SS27">
        <v>5.3699999999999998E-3</v>
      </c>
      <c r="ST27">
        <v>5.28E-3</v>
      </c>
      <c r="SU27">
        <v>5.8300000000000001E-3</v>
      </c>
      <c r="SV27">
        <v>5.5300000000000002E-3</v>
      </c>
      <c r="SW27">
        <v>5.7499999999999999E-3</v>
      </c>
      <c r="SX27">
        <v>6.8399999999999997E-3</v>
      </c>
      <c r="SY27">
        <v>5.5599999999999998E-3</v>
      </c>
      <c r="SZ27">
        <v>6.0000000000000001E-3</v>
      </c>
      <c r="TA27">
        <v>5.9199999999999999E-3</v>
      </c>
      <c r="TB27">
        <v>6.1599999999999997E-3</v>
      </c>
      <c r="TC27">
        <v>5.3099999999999996E-3</v>
      </c>
      <c r="TD27">
        <v>6.6E-3</v>
      </c>
      <c r="TE27">
        <v>7.6699999999999997E-3</v>
      </c>
      <c r="TF27">
        <v>7.1500000000000001E-3</v>
      </c>
      <c r="TG27">
        <v>6.3400000000000001E-3</v>
      </c>
      <c r="TH27">
        <v>8.5400000000000007E-3</v>
      </c>
      <c r="TI27">
        <v>5.96E-3</v>
      </c>
      <c r="TJ27">
        <v>6.11E-3</v>
      </c>
      <c r="TL27">
        <v>4.9100000000000003E-3</v>
      </c>
      <c r="TM27">
        <v>4.5199999999999997E-3</v>
      </c>
      <c r="TN27">
        <v>5.77E-3</v>
      </c>
      <c r="TO27">
        <v>5.8500000000000002E-3</v>
      </c>
      <c r="TP27">
        <v>5.4200000000000003E-3</v>
      </c>
      <c r="TQ27">
        <v>5.4299999999999999E-3</v>
      </c>
      <c r="TR27">
        <v>6.9300000000000004E-3</v>
      </c>
      <c r="TT27">
        <v>7.5100000000000002E-3</v>
      </c>
      <c r="TU27">
        <v>6.79E-3</v>
      </c>
      <c r="TV27">
        <v>6.3200000000000001E-3</v>
      </c>
      <c r="TW27">
        <v>5.4200000000000003E-3</v>
      </c>
      <c r="TX27">
        <v>5.4099999999999999E-3</v>
      </c>
      <c r="TY27">
        <v>4.7600000000000003E-3</v>
      </c>
      <c r="TZ27">
        <v>5.3899999999999998E-3</v>
      </c>
      <c r="UA27">
        <v>4.7299999999999998E-3</v>
      </c>
      <c r="UB27">
        <v>5.3E-3</v>
      </c>
      <c r="UC27">
        <v>5.1700000000000001E-3</v>
      </c>
      <c r="UD27">
        <v>5.1700000000000001E-3</v>
      </c>
      <c r="UE27">
        <v>5.1799999999999997E-3</v>
      </c>
      <c r="UF27">
        <v>5.2500000000000003E-3</v>
      </c>
      <c r="UG27">
        <v>5.3400000000000001E-3</v>
      </c>
      <c r="UH27">
        <v>5.8799999999999998E-3</v>
      </c>
      <c r="UI27">
        <v>5.77E-3</v>
      </c>
      <c r="UJ27">
        <v>5.64E-3</v>
      </c>
      <c r="UK27">
        <v>5.4400000000000004E-3</v>
      </c>
      <c r="UL27">
        <v>5.8100000000000001E-3</v>
      </c>
      <c r="UM27">
        <v>6.4200000000000004E-3</v>
      </c>
      <c r="UN27">
        <v>5.1999999999999998E-3</v>
      </c>
      <c r="UO27">
        <v>5.6299999999999996E-3</v>
      </c>
      <c r="UP27">
        <v>7.6800000000000002E-3</v>
      </c>
      <c r="UQ27">
        <v>5.0800000000000003E-3</v>
      </c>
      <c r="UR27">
        <v>5.1799999999999997E-3</v>
      </c>
      <c r="US27">
        <v>5.5900000000000004E-3</v>
      </c>
      <c r="UT27">
        <v>5.1399999999999996E-3</v>
      </c>
      <c r="UU27">
        <v>5.3200000000000001E-3</v>
      </c>
      <c r="UV27">
        <v>5.5300000000000002E-3</v>
      </c>
      <c r="UW27">
        <v>7.9000000000000008E-3</v>
      </c>
      <c r="UX27">
        <v>5.7299999999999999E-3</v>
      </c>
      <c r="UY27">
        <v>6.0099999999999997E-3</v>
      </c>
      <c r="VA27">
        <v>8.77E-3</v>
      </c>
      <c r="VC27">
        <v>8.0499999999999999E-3</v>
      </c>
      <c r="VG27">
        <v>1.1599999999999999E-2</v>
      </c>
      <c r="VH27">
        <v>8.2400000000000008E-3</v>
      </c>
      <c r="VI27">
        <v>7.1399999999999996E-3</v>
      </c>
    </row>
    <row r="28" spans="1:581" x14ac:dyDescent="0.25">
      <c r="A28">
        <v>625000</v>
      </c>
      <c r="B28">
        <v>4.5300000000000002E-3</v>
      </c>
      <c r="C28">
        <v>4.45E-3</v>
      </c>
      <c r="D28">
        <v>4.1999999999999997E-3</v>
      </c>
      <c r="E28">
        <v>4.1099999999999999E-3</v>
      </c>
      <c r="F28">
        <v>4.0800000000000003E-3</v>
      </c>
      <c r="G28">
        <v>5.3200000000000001E-3</v>
      </c>
      <c r="H28">
        <v>4.3800000000000002E-3</v>
      </c>
      <c r="I28">
        <v>4.2599999999999999E-3</v>
      </c>
      <c r="J28">
        <v>4.1599999999999996E-3</v>
      </c>
      <c r="K28">
        <v>5.0200000000000002E-3</v>
      </c>
      <c r="L28">
        <v>4.4200000000000003E-3</v>
      </c>
      <c r="M28">
        <v>4.3200000000000001E-3</v>
      </c>
      <c r="N28">
        <v>4.2500000000000003E-3</v>
      </c>
      <c r="O28">
        <v>6.2500000000000003E-3</v>
      </c>
      <c r="P28">
        <v>6.0800000000000003E-3</v>
      </c>
      <c r="R28">
        <v>5.5500000000000002E-3</v>
      </c>
      <c r="S28">
        <v>5.1500000000000001E-3</v>
      </c>
      <c r="T28">
        <v>5.0400000000000002E-3</v>
      </c>
      <c r="U28">
        <v>6.0600000000000003E-3</v>
      </c>
      <c r="V28">
        <v>5.1000000000000004E-3</v>
      </c>
      <c r="W28">
        <v>5.62E-3</v>
      </c>
      <c r="X28">
        <v>4.9500000000000004E-3</v>
      </c>
      <c r="Y28">
        <v>5.11E-3</v>
      </c>
      <c r="Z28">
        <v>4.4000000000000003E-3</v>
      </c>
      <c r="AA28">
        <v>9.2499999999999995E-3</v>
      </c>
      <c r="AB28">
        <v>7.4900000000000001E-3</v>
      </c>
      <c r="AC28">
        <v>8.1700000000000002E-3</v>
      </c>
      <c r="AD28">
        <v>6.4700000000000001E-3</v>
      </c>
      <c r="AF28">
        <v>7.3899999999999999E-3</v>
      </c>
      <c r="AG28">
        <v>8.5500000000000003E-3</v>
      </c>
      <c r="AH28">
        <v>8.4799999999999997E-3</v>
      </c>
      <c r="AI28">
        <v>1.026E-2</v>
      </c>
      <c r="AJ28">
        <v>6.9100000000000003E-3</v>
      </c>
      <c r="AK28">
        <v>7.4400000000000004E-3</v>
      </c>
      <c r="AL28">
        <v>8.7399999999999995E-3</v>
      </c>
      <c r="AM28">
        <v>8.5699999999999995E-3</v>
      </c>
      <c r="AN28">
        <v>9.1999999999999998E-3</v>
      </c>
      <c r="AO28">
        <v>1.5570000000000001E-2</v>
      </c>
      <c r="AP28">
        <v>8.9700000000000005E-3</v>
      </c>
      <c r="AR28">
        <v>9.6900000000000007E-3</v>
      </c>
      <c r="AS28">
        <v>1.021E-2</v>
      </c>
      <c r="AT28">
        <v>8.0700000000000008E-3</v>
      </c>
      <c r="AU28">
        <v>8.7899999999999992E-3</v>
      </c>
      <c r="AV28">
        <v>1.1379999999999999E-2</v>
      </c>
      <c r="AW28">
        <v>9.2899999999999996E-3</v>
      </c>
      <c r="AX28">
        <v>8.9499999999999996E-3</v>
      </c>
      <c r="AZ28">
        <v>8.3199999999999993E-3</v>
      </c>
      <c r="BA28">
        <v>1.0670000000000001E-2</v>
      </c>
      <c r="BB28">
        <v>8.0800000000000004E-3</v>
      </c>
      <c r="BC28">
        <v>8.8400000000000006E-3</v>
      </c>
      <c r="BD28">
        <v>9.4000000000000004E-3</v>
      </c>
      <c r="BE28">
        <v>1.132E-2</v>
      </c>
      <c r="BF28">
        <v>1.226E-2</v>
      </c>
      <c r="BG28">
        <v>8.5500000000000003E-3</v>
      </c>
      <c r="BH28">
        <v>9.5700000000000004E-3</v>
      </c>
      <c r="BI28">
        <v>1.2670000000000001E-2</v>
      </c>
      <c r="BJ28">
        <v>9.0399999999999994E-3</v>
      </c>
      <c r="BK28">
        <v>9.2099999999999994E-3</v>
      </c>
      <c r="BL28">
        <v>9.3299999999999998E-3</v>
      </c>
      <c r="BM28">
        <v>8.8100000000000001E-3</v>
      </c>
      <c r="BN28">
        <v>6.13E-3</v>
      </c>
      <c r="BO28">
        <v>1.009E-2</v>
      </c>
      <c r="BP28">
        <v>7.4900000000000001E-3</v>
      </c>
      <c r="BQ28">
        <v>6.4900000000000001E-3</v>
      </c>
      <c r="BR28">
        <v>7.5700000000000003E-3</v>
      </c>
      <c r="BT28">
        <v>1.0500000000000001E-2</v>
      </c>
      <c r="BU28">
        <v>1.059E-2</v>
      </c>
      <c r="BV28">
        <v>1.074E-2</v>
      </c>
      <c r="BW28">
        <v>1.034E-2</v>
      </c>
      <c r="BX28">
        <v>9.9699999999999997E-3</v>
      </c>
      <c r="BY28">
        <v>1.0330000000000001E-2</v>
      </c>
      <c r="BZ28">
        <v>9.41E-3</v>
      </c>
      <c r="CA28">
        <v>9.6699999999999998E-3</v>
      </c>
      <c r="CB28">
        <v>7.3200000000000001E-3</v>
      </c>
      <c r="CC28">
        <v>8.1300000000000001E-3</v>
      </c>
      <c r="CD28">
        <v>6.8900000000000003E-3</v>
      </c>
      <c r="CE28">
        <v>5.8500000000000002E-3</v>
      </c>
      <c r="CF28">
        <v>5.7099999999999998E-3</v>
      </c>
      <c r="CG28">
        <v>5.6100000000000004E-3</v>
      </c>
      <c r="CH28">
        <v>5.5900000000000004E-3</v>
      </c>
      <c r="CI28">
        <v>5.6899999999999997E-3</v>
      </c>
      <c r="CJ28">
        <v>5.8199999999999997E-3</v>
      </c>
      <c r="CK28">
        <v>6.8799999999999998E-3</v>
      </c>
      <c r="CL28">
        <v>6.1000000000000004E-3</v>
      </c>
      <c r="CM28">
        <v>6.6299999999999996E-3</v>
      </c>
      <c r="CN28">
        <v>7.4599999999999996E-3</v>
      </c>
      <c r="CO28">
        <v>6.8999999999999999E-3</v>
      </c>
      <c r="CP28">
        <v>7.6699999999999997E-3</v>
      </c>
      <c r="CQ28">
        <v>6.3699999999999998E-3</v>
      </c>
      <c r="CR28">
        <v>6.7299999999999999E-3</v>
      </c>
      <c r="CS28">
        <v>7.6400000000000001E-3</v>
      </c>
      <c r="CT28">
        <v>8.0800000000000004E-3</v>
      </c>
      <c r="CU28">
        <v>6.2700000000000004E-3</v>
      </c>
      <c r="CV28">
        <v>5.9500000000000004E-3</v>
      </c>
      <c r="CW28">
        <v>6.6E-3</v>
      </c>
      <c r="CX28">
        <v>6.4700000000000001E-3</v>
      </c>
      <c r="CY28">
        <v>7.0000000000000001E-3</v>
      </c>
      <c r="CZ28">
        <v>6.0000000000000001E-3</v>
      </c>
      <c r="DA28">
        <v>5.6699999999999997E-3</v>
      </c>
      <c r="DB28">
        <v>5.5599999999999998E-3</v>
      </c>
      <c r="DC28">
        <v>5.4599999999999996E-3</v>
      </c>
      <c r="DD28">
        <v>5.3499999999999997E-3</v>
      </c>
      <c r="DE28">
        <v>5.28E-3</v>
      </c>
      <c r="DF28">
        <v>1.073E-2</v>
      </c>
      <c r="DG28">
        <v>6.5100000000000002E-3</v>
      </c>
      <c r="DH28">
        <v>9.5200000000000007E-3</v>
      </c>
      <c r="DI28">
        <v>8.9599999999999992E-3</v>
      </c>
      <c r="DK28">
        <v>8.4600000000000005E-3</v>
      </c>
      <c r="DM28">
        <v>9.0399999999999994E-3</v>
      </c>
      <c r="DN28">
        <v>8.6400000000000001E-3</v>
      </c>
      <c r="DO28">
        <v>7.7299999999999999E-3</v>
      </c>
      <c r="DS28">
        <v>1.0059999999999999E-2</v>
      </c>
      <c r="DT28">
        <v>8.9999999999999993E-3</v>
      </c>
      <c r="DW28">
        <v>1.042E-2</v>
      </c>
      <c r="DX28">
        <v>9.0799999999999995E-3</v>
      </c>
      <c r="DY28">
        <v>1.095E-2</v>
      </c>
      <c r="DZ28">
        <v>8.3499999999999998E-3</v>
      </c>
      <c r="EA28">
        <v>6.7299999999999999E-3</v>
      </c>
      <c r="EB28">
        <v>6.6400000000000001E-3</v>
      </c>
      <c r="EC28">
        <v>6.1000000000000004E-3</v>
      </c>
      <c r="ED28">
        <v>2.521E-2</v>
      </c>
      <c r="EH28">
        <v>2.4539999999999999E-2</v>
      </c>
      <c r="EI28">
        <v>6.7799999999999996E-3</v>
      </c>
      <c r="EJ28">
        <v>5.8900000000000003E-3</v>
      </c>
      <c r="EK28">
        <v>6.4400000000000004E-3</v>
      </c>
      <c r="EL28">
        <v>7.1799999999999998E-3</v>
      </c>
      <c r="EM28">
        <v>7.6800000000000002E-3</v>
      </c>
      <c r="EN28">
        <v>7.92E-3</v>
      </c>
      <c r="EO28">
        <v>8.0999999999999996E-3</v>
      </c>
      <c r="EP28">
        <v>8.3700000000000007E-3</v>
      </c>
      <c r="EQ28">
        <v>8.5000000000000006E-3</v>
      </c>
      <c r="ER28">
        <v>8.8599999999999998E-3</v>
      </c>
      <c r="ES28">
        <v>8.1799999999999998E-3</v>
      </c>
      <c r="ET28">
        <v>9.2200000000000008E-3</v>
      </c>
      <c r="EU28">
        <v>1.2239999999999999E-2</v>
      </c>
      <c r="EV28">
        <v>1.136E-2</v>
      </c>
      <c r="EW28">
        <v>1.055E-2</v>
      </c>
      <c r="EX28">
        <v>1.1050000000000001E-2</v>
      </c>
      <c r="EY28">
        <v>7.0800000000000004E-3</v>
      </c>
      <c r="EZ28">
        <v>7.3699999999999998E-3</v>
      </c>
      <c r="FA28">
        <v>8.3599999999999994E-3</v>
      </c>
      <c r="FB28">
        <v>8.8000000000000005E-3</v>
      </c>
      <c r="FC28">
        <v>7.8899999999999994E-3</v>
      </c>
      <c r="FD28">
        <v>7.4400000000000004E-3</v>
      </c>
      <c r="FE28">
        <v>8.6700000000000006E-3</v>
      </c>
      <c r="FF28">
        <v>4.96E-3</v>
      </c>
      <c r="FG28">
        <v>9.3100000000000006E-3</v>
      </c>
      <c r="FI28">
        <v>9.4199999999999996E-3</v>
      </c>
      <c r="FJ28">
        <v>9.2800000000000001E-3</v>
      </c>
      <c r="FK28">
        <v>8.8599999999999998E-3</v>
      </c>
      <c r="FN28">
        <v>9.0500000000000008E-3</v>
      </c>
      <c r="FO28">
        <v>7.79E-3</v>
      </c>
      <c r="FP28">
        <v>7.1599999999999997E-3</v>
      </c>
      <c r="FQ28">
        <v>1.031E-2</v>
      </c>
      <c r="FR28">
        <v>1.11E-2</v>
      </c>
      <c r="FS28">
        <v>1.15E-2</v>
      </c>
      <c r="FT28">
        <v>1.021E-2</v>
      </c>
      <c r="FU28">
        <v>9.4800000000000006E-3</v>
      </c>
      <c r="FV28">
        <v>8.9899999999999997E-3</v>
      </c>
      <c r="FW28">
        <v>8.9200000000000008E-3</v>
      </c>
      <c r="FX28">
        <v>9.2499999999999995E-3</v>
      </c>
      <c r="FY28">
        <v>9.9100000000000004E-3</v>
      </c>
      <c r="FZ28">
        <v>9.0299999999999998E-3</v>
      </c>
      <c r="GA28">
        <v>9.75E-3</v>
      </c>
      <c r="GB28">
        <v>8.9999999999999993E-3</v>
      </c>
      <c r="GC28">
        <v>9.7599999999999996E-3</v>
      </c>
      <c r="GD28">
        <v>8.9099999999999995E-3</v>
      </c>
      <c r="GE28">
        <v>9.6900000000000007E-3</v>
      </c>
      <c r="GF28">
        <v>8.2000000000000007E-3</v>
      </c>
      <c r="GG28">
        <v>8.2900000000000005E-3</v>
      </c>
      <c r="GH28">
        <v>8.3800000000000003E-3</v>
      </c>
      <c r="GI28">
        <v>8.9800000000000001E-3</v>
      </c>
      <c r="GJ28">
        <v>9.1599999999999997E-3</v>
      </c>
      <c r="GK28">
        <v>9.3500000000000007E-3</v>
      </c>
      <c r="GL28">
        <v>9.7199999999999995E-3</v>
      </c>
      <c r="GM28">
        <v>8.5000000000000006E-3</v>
      </c>
      <c r="GO28">
        <v>8.7500000000000008E-3</v>
      </c>
      <c r="GP28">
        <v>8.8199999999999997E-3</v>
      </c>
      <c r="GQ28">
        <v>9.3399999999999993E-3</v>
      </c>
      <c r="GR28">
        <v>1.0670000000000001E-2</v>
      </c>
      <c r="GS28">
        <v>8.2100000000000003E-3</v>
      </c>
      <c r="GT28">
        <v>8.8299999999999993E-3</v>
      </c>
      <c r="GU28">
        <v>6.4599999999999996E-3</v>
      </c>
      <c r="GW28">
        <v>1.014E-2</v>
      </c>
      <c r="GX28">
        <v>9.0699999999999999E-3</v>
      </c>
      <c r="GY28">
        <v>1.1350000000000001E-2</v>
      </c>
      <c r="GZ28">
        <v>9.4999999999999998E-3</v>
      </c>
      <c r="HC28">
        <v>7.2899999999999996E-3</v>
      </c>
      <c r="HE28">
        <v>8.4399999999999996E-3</v>
      </c>
      <c r="HI28">
        <v>1.03E-2</v>
      </c>
      <c r="HJ28">
        <v>5.13E-3</v>
      </c>
      <c r="HK28">
        <v>9.8399999999999998E-3</v>
      </c>
      <c r="HL28">
        <v>9.3100000000000006E-3</v>
      </c>
      <c r="HM28">
        <v>9.2300000000000004E-3</v>
      </c>
      <c r="HN28">
        <v>8.9700000000000005E-3</v>
      </c>
      <c r="HO28">
        <v>9.0299999999999998E-3</v>
      </c>
      <c r="HP28">
        <v>5.9300000000000004E-3</v>
      </c>
      <c r="HQ28">
        <v>9.9000000000000008E-3</v>
      </c>
      <c r="HR28">
        <v>1.1639999999999999E-2</v>
      </c>
      <c r="HS28">
        <v>1.341E-2</v>
      </c>
      <c r="HT28">
        <v>8.5599999999999999E-3</v>
      </c>
      <c r="HU28">
        <v>6.2700000000000004E-3</v>
      </c>
      <c r="HV28">
        <v>8.5699999999999995E-3</v>
      </c>
      <c r="HW28">
        <v>6.5700000000000003E-3</v>
      </c>
      <c r="HX28">
        <v>1.112E-2</v>
      </c>
      <c r="HY28">
        <v>8.6199999999999992E-3</v>
      </c>
      <c r="IA28">
        <v>9.3500000000000007E-3</v>
      </c>
      <c r="IB28">
        <v>1.108E-2</v>
      </c>
      <c r="IC28">
        <v>8.7600000000000004E-3</v>
      </c>
      <c r="ID28">
        <v>7.5399999999999998E-3</v>
      </c>
      <c r="IE28">
        <v>6.8399999999999997E-3</v>
      </c>
      <c r="IF28">
        <v>6.8300000000000001E-3</v>
      </c>
      <c r="IG28">
        <v>7.8600000000000007E-3</v>
      </c>
      <c r="IH28">
        <v>8.6999999999999994E-3</v>
      </c>
      <c r="II28">
        <v>6.1199999999999996E-3</v>
      </c>
      <c r="IJ28">
        <v>7.1000000000000004E-3</v>
      </c>
      <c r="IK28">
        <v>7.7600000000000004E-3</v>
      </c>
      <c r="IL28">
        <v>8.6499999999999997E-3</v>
      </c>
      <c r="IM28">
        <v>9.4999999999999998E-3</v>
      </c>
      <c r="IN28">
        <v>1.039E-2</v>
      </c>
      <c r="IO28">
        <v>1.1379999999999999E-2</v>
      </c>
      <c r="IP28">
        <v>1.3849999999999999E-2</v>
      </c>
      <c r="IQ28">
        <v>1.5350000000000001E-2</v>
      </c>
      <c r="IR28">
        <v>1.6969999999999999E-2</v>
      </c>
      <c r="IS28">
        <v>5.3099999999999996E-3</v>
      </c>
      <c r="IT28">
        <v>6.7200000000000003E-3</v>
      </c>
      <c r="IU28">
        <v>7.9900000000000006E-3</v>
      </c>
      <c r="IV28">
        <v>5.6499999999999996E-3</v>
      </c>
      <c r="IW28">
        <v>6.6699999999999997E-3</v>
      </c>
      <c r="IX28">
        <v>4.45E-3</v>
      </c>
      <c r="IY28">
        <v>5.0200000000000002E-3</v>
      </c>
      <c r="IZ28">
        <v>4.9199999999999999E-3</v>
      </c>
      <c r="JB28">
        <v>5.7299999999999999E-3</v>
      </c>
      <c r="JC28">
        <v>6.2199999999999998E-3</v>
      </c>
      <c r="JD28">
        <v>6.62E-3</v>
      </c>
      <c r="JE28">
        <v>5.5999999999999999E-3</v>
      </c>
      <c r="JF28">
        <v>6.5100000000000002E-3</v>
      </c>
      <c r="JG28">
        <v>7.1999999999999998E-3</v>
      </c>
      <c r="JH28">
        <v>1.384E-2</v>
      </c>
      <c r="JI28">
        <v>9.3299999999999998E-3</v>
      </c>
      <c r="JJ28">
        <v>7.9299999999999995E-3</v>
      </c>
      <c r="JK28">
        <v>1.2540000000000001E-2</v>
      </c>
      <c r="JL28">
        <v>1.001E-2</v>
      </c>
      <c r="JN28">
        <v>1.12E-2</v>
      </c>
      <c r="JQ28">
        <v>6.43E-3</v>
      </c>
      <c r="JR28">
        <v>7.0699999999999999E-3</v>
      </c>
      <c r="JS28">
        <v>6.4099999999999999E-3</v>
      </c>
      <c r="JT28">
        <v>7.2899999999999996E-3</v>
      </c>
      <c r="JU28">
        <v>7.6099999999999996E-3</v>
      </c>
      <c r="JV28">
        <v>7.1399999999999996E-3</v>
      </c>
      <c r="JW28">
        <v>8.0599999999999995E-3</v>
      </c>
      <c r="JX28">
        <v>7.3899999999999999E-3</v>
      </c>
      <c r="JY28">
        <v>8.5400000000000007E-3</v>
      </c>
      <c r="JZ28">
        <v>9.4199999999999996E-3</v>
      </c>
      <c r="KA28">
        <v>9.4000000000000004E-3</v>
      </c>
      <c r="KB28">
        <v>6.7000000000000002E-3</v>
      </c>
      <c r="KC28">
        <v>7.0000000000000001E-3</v>
      </c>
      <c r="KD28">
        <v>7.5399999999999998E-3</v>
      </c>
      <c r="KE28">
        <v>8.2699999999999996E-3</v>
      </c>
      <c r="KF28">
        <v>1.035E-2</v>
      </c>
      <c r="KG28">
        <v>1.2710000000000001E-2</v>
      </c>
      <c r="KH28">
        <v>9.6200000000000001E-3</v>
      </c>
      <c r="KI28">
        <v>1.0109999999999999E-2</v>
      </c>
      <c r="KJ28">
        <v>1.01E-2</v>
      </c>
      <c r="KK28">
        <v>1.0109999999999999E-2</v>
      </c>
      <c r="KL28">
        <v>1.023E-2</v>
      </c>
      <c r="KM28">
        <v>1.04E-2</v>
      </c>
      <c r="KN28">
        <v>6.0099999999999997E-3</v>
      </c>
      <c r="KO28">
        <v>6.5900000000000004E-3</v>
      </c>
      <c r="KP28">
        <v>9.2399999999999999E-3</v>
      </c>
      <c r="KQ28">
        <v>9.4800000000000006E-3</v>
      </c>
      <c r="KR28">
        <v>1.0449999999999999E-2</v>
      </c>
      <c r="KS28">
        <v>8.1899999999999994E-3</v>
      </c>
      <c r="KT28">
        <v>8.8599999999999998E-3</v>
      </c>
      <c r="KU28">
        <v>5.6800000000000002E-3</v>
      </c>
      <c r="KV28">
        <v>5.5700000000000003E-3</v>
      </c>
      <c r="KW28">
        <v>5.9699999999999996E-3</v>
      </c>
      <c r="KY28">
        <v>5.8599999999999998E-3</v>
      </c>
      <c r="KZ28">
        <v>7.3200000000000001E-3</v>
      </c>
      <c r="LA28">
        <v>8.0300000000000007E-3</v>
      </c>
      <c r="LB28">
        <v>7.5300000000000002E-3</v>
      </c>
      <c r="LC28">
        <v>7.7999999999999996E-3</v>
      </c>
      <c r="LD28">
        <v>7.7999999999999996E-3</v>
      </c>
      <c r="LE28">
        <v>1.136E-2</v>
      </c>
      <c r="LF28">
        <v>1.1169999999999999E-2</v>
      </c>
      <c r="LG28">
        <v>1.089E-2</v>
      </c>
      <c r="LI28">
        <v>1.12E-2</v>
      </c>
      <c r="LJ28">
        <v>1.154E-2</v>
      </c>
      <c r="LK28">
        <v>1.1639999999999999E-2</v>
      </c>
      <c r="LL28">
        <v>9.0100000000000006E-3</v>
      </c>
      <c r="LM28">
        <v>6.3400000000000001E-3</v>
      </c>
      <c r="LO28">
        <v>1.0160000000000001E-2</v>
      </c>
      <c r="LP28">
        <v>8.2900000000000005E-3</v>
      </c>
      <c r="LR28">
        <v>1.137E-2</v>
      </c>
      <c r="LS28">
        <v>1.2710000000000001E-2</v>
      </c>
      <c r="LT28">
        <v>8.1200000000000005E-3</v>
      </c>
      <c r="LV28">
        <v>1.523E-2</v>
      </c>
      <c r="LW28">
        <v>5.11E-3</v>
      </c>
      <c r="LX28">
        <v>5.8300000000000001E-3</v>
      </c>
      <c r="LY28">
        <v>9.1199999999999996E-3</v>
      </c>
      <c r="LZ28">
        <v>9.1999999999999998E-3</v>
      </c>
      <c r="MA28">
        <v>9.0299999999999998E-3</v>
      </c>
      <c r="MB28">
        <v>4.5999999999999999E-3</v>
      </c>
      <c r="MC28">
        <v>8.2199999999999999E-3</v>
      </c>
      <c r="MD28">
        <v>1.179E-2</v>
      </c>
      <c r="ME28">
        <v>1.37E-2</v>
      </c>
      <c r="MF28">
        <v>1.6080000000000001E-2</v>
      </c>
      <c r="MH28">
        <v>8.7299999999999999E-3</v>
      </c>
      <c r="MI28">
        <v>9.9699999999999997E-3</v>
      </c>
      <c r="MJ28">
        <v>9.92E-3</v>
      </c>
      <c r="MK28">
        <v>1.014E-2</v>
      </c>
      <c r="ML28">
        <v>1.1769999999999999E-2</v>
      </c>
      <c r="MM28">
        <v>1.0330000000000001E-2</v>
      </c>
      <c r="MN28">
        <v>6.3800000000000003E-3</v>
      </c>
      <c r="MO28">
        <v>7.0899999999999999E-3</v>
      </c>
      <c r="MP28">
        <v>7.1000000000000004E-3</v>
      </c>
      <c r="MR28">
        <v>7.2700000000000004E-3</v>
      </c>
      <c r="MS28">
        <v>8.1600000000000006E-3</v>
      </c>
      <c r="MT28">
        <v>8.9300000000000004E-3</v>
      </c>
      <c r="MU28">
        <v>5.6800000000000002E-3</v>
      </c>
      <c r="MV28">
        <v>6.5900000000000004E-3</v>
      </c>
      <c r="MW28">
        <v>7.0099999999999997E-3</v>
      </c>
      <c r="MX28">
        <v>7.2199999999999999E-3</v>
      </c>
      <c r="MZ28">
        <v>8.7500000000000008E-3</v>
      </c>
      <c r="NA28">
        <v>7.9600000000000001E-3</v>
      </c>
      <c r="NB28">
        <v>8.09E-3</v>
      </c>
      <c r="NC28">
        <v>5.2399999999999999E-3</v>
      </c>
      <c r="ND28">
        <v>1.2540000000000001E-2</v>
      </c>
      <c r="NE28">
        <v>9.6699999999999998E-3</v>
      </c>
      <c r="NF28">
        <v>9.7400000000000004E-3</v>
      </c>
      <c r="NG28">
        <v>5.9300000000000004E-3</v>
      </c>
      <c r="NH28">
        <v>4.7999999999999996E-3</v>
      </c>
      <c r="NI28">
        <v>5.28E-3</v>
      </c>
      <c r="NJ28">
        <v>5.8999999999999999E-3</v>
      </c>
      <c r="NK28">
        <v>5.2300000000000003E-3</v>
      </c>
      <c r="NL28">
        <v>5.5799999999999999E-3</v>
      </c>
      <c r="NM28">
        <v>5.9300000000000004E-3</v>
      </c>
      <c r="NN28">
        <v>6.2700000000000004E-3</v>
      </c>
      <c r="NO28">
        <v>6.5199999999999998E-3</v>
      </c>
      <c r="NP28">
        <v>5.2900000000000004E-3</v>
      </c>
      <c r="NQ28">
        <v>5.6800000000000002E-3</v>
      </c>
      <c r="NR28">
        <v>5.6600000000000001E-3</v>
      </c>
      <c r="NS28">
        <v>5.96E-3</v>
      </c>
      <c r="NT28">
        <v>6.5399999999999998E-3</v>
      </c>
      <c r="NU28">
        <v>5.3200000000000001E-3</v>
      </c>
      <c r="NV28">
        <v>5.6499999999999996E-3</v>
      </c>
      <c r="NW28">
        <v>5.7000000000000002E-3</v>
      </c>
      <c r="NY28">
        <v>6.0299999999999998E-3</v>
      </c>
      <c r="NZ28">
        <v>6.3800000000000003E-3</v>
      </c>
      <c r="OA28">
        <v>6.62E-3</v>
      </c>
      <c r="OB28">
        <v>5.3600000000000002E-3</v>
      </c>
      <c r="OC28">
        <v>5.7099999999999998E-3</v>
      </c>
      <c r="OD28">
        <v>5.8500000000000002E-3</v>
      </c>
      <c r="OE28">
        <v>5.8500000000000002E-3</v>
      </c>
      <c r="OF28">
        <v>8.6199999999999992E-3</v>
      </c>
      <c r="OG28">
        <v>6.1000000000000004E-3</v>
      </c>
      <c r="OH28">
        <v>6.3600000000000002E-3</v>
      </c>
      <c r="OI28">
        <v>6.7099999999999998E-3</v>
      </c>
      <c r="OJ28">
        <v>6.9800000000000001E-3</v>
      </c>
      <c r="OK28">
        <v>7.1700000000000002E-3</v>
      </c>
      <c r="OL28">
        <v>7.4099999999999999E-3</v>
      </c>
      <c r="OM28">
        <v>5.5199999999999997E-3</v>
      </c>
      <c r="ON28">
        <v>5.7999999999999996E-3</v>
      </c>
      <c r="OO28">
        <v>6.1599999999999997E-3</v>
      </c>
      <c r="OP28">
        <v>6.7600000000000004E-3</v>
      </c>
      <c r="OQ28">
        <v>7.0200000000000002E-3</v>
      </c>
      <c r="OR28">
        <v>7.2700000000000004E-3</v>
      </c>
      <c r="OS28">
        <v>8.2100000000000003E-3</v>
      </c>
      <c r="OT28">
        <v>5.9300000000000004E-3</v>
      </c>
      <c r="OU28">
        <v>5.94E-3</v>
      </c>
      <c r="OV28">
        <v>4.3099999999999996E-3</v>
      </c>
      <c r="OW28">
        <v>3.98E-3</v>
      </c>
      <c r="OX28">
        <v>3.8400000000000001E-3</v>
      </c>
      <c r="OY28">
        <v>4.1099999999999999E-3</v>
      </c>
      <c r="OZ28">
        <v>5.1799999999999997E-3</v>
      </c>
      <c r="PA28">
        <v>1.09E-2</v>
      </c>
      <c r="PB28">
        <v>1.183E-2</v>
      </c>
      <c r="PC28">
        <v>9.11E-3</v>
      </c>
      <c r="PD28">
        <v>7.8100000000000001E-3</v>
      </c>
      <c r="PE28">
        <v>7.1700000000000002E-3</v>
      </c>
      <c r="PI28">
        <v>8.3999999999999995E-3</v>
      </c>
      <c r="PJ28">
        <v>7.7999999999999996E-3</v>
      </c>
      <c r="PK28">
        <v>7.0600000000000003E-3</v>
      </c>
      <c r="PL28">
        <v>6.3200000000000001E-3</v>
      </c>
      <c r="PM28">
        <v>5.8599999999999998E-3</v>
      </c>
      <c r="PN28">
        <v>6.0499999999999998E-3</v>
      </c>
      <c r="PO28">
        <v>6.2300000000000003E-3</v>
      </c>
      <c r="PP28">
        <v>6.5399999999999998E-3</v>
      </c>
      <c r="PQ28">
        <v>6.6299999999999996E-3</v>
      </c>
      <c r="PR28">
        <v>5.9300000000000004E-3</v>
      </c>
      <c r="PS28">
        <v>7.11E-3</v>
      </c>
      <c r="PT28">
        <v>6.9300000000000004E-3</v>
      </c>
      <c r="PW28">
        <v>6.9800000000000001E-3</v>
      </c>
      <c r="PZ28">
        <v>1.085E-2</v>
      </c>
      <c r="QA28">
        <v>4.64E-3</v>
      </c>
      <c r="QB28">
        <v>4.8799999999999998E-3</v>
      </c>
      <c r="QC28">
        <v>6.1799999999999997E-3</v>
      </c>
      <c r="QD28">
        <v>5.3600000000000002E-3</v>
      </c>
      <c r="QE28">
        <v>5.1999999999999998E-3</v>
      </c>
      <c r="QF28">
        <v>5.2300000000000003E-3</v>
      </c>
      <c r="QG28">
        <v>6.5599999999999999E-3</v>
      </c>
      <c r="QH28">
        <v>5.2500000000000003E-3</v>
      </c>
      <c r="QI28">
        <v>5.4299999999999999E-3</v>
      </c>
      <c r="QJ28">
        <v>5.47E-3</v>
      </c>
      <c r="QK28">
        <v>5.2300000000000003E-3</v>
      </c>
      <c r="QL28">
        <v>5.0400000000000002E-3</v>
      </c>
      <c r="QM28">
        <v>5.8799999999999998E-3</v>
      </c>
      <c r="QN28">
        <v>7.7299999999999999E-3</v>
      </c>
      <c r="QO28">
        <v>7.1999999999999998E-3</v>
      </c>
      <c r="QP28">
        <v>7.2700000000000004E-3</v>
      </c>
      <c r="QQ28">
        <v>7.4400000000000004E-3</v>
      </c>
      <c r="QR28">
        <v>9.2800000000000001E-3</v>
      </c>
      <c r="QS28">
        <v>9.3299999999999998E-3</v>
      </c>
      <c r="QT28">
        <v>7.1999999999999998E-3</v>
      </c>
      <c r="QU28">
        <v>7.3200000000000001E-3</v>
      </c>
      <c r="QV28">
        <v>7.45E-3</v>
      </c>
      <c r="QW28">
        <v>6.9899999999999997E-3</v>
      </c>
      <c r="QX28">
        <v>6.9100000000000003E-3</v>
      </c>
      <c r="QY28">
        <v>6.43E-3</v>
      </c>
      <c r="QZ28">
        <v>6.8999999999999999E-3</v>
      </c>
      <c r="RA28">
        <v>8.5699999999999995E-3</v>
      </c>
      <c r="RB28">
        <v>1.0500000000000001E-2</v>
      </c>
      <c r="RC28">
        <v>8.5900000000000004E-3</v>
      </c>
      <c r="RD28">
        <v>1.6449999999999999E-2</v>
      </c>
      <c r="RF28">
        <v>9.6699999999999998E-3</v>
      </c>
      <c r="RH28">
        <v>6.1000000000000004E-3</v>
      </c>
      <c r="RI28">
        <v>9.8200000000000006E-3</v>
      </c>
      <c r="RJ28">
        <v>1.035E-2</v>
      </c>
      <c r="RK28">
        <v>9.7800000000000005E-3</v>
      </c>
      <c r="RL28">
        <v>8.9899999999999997E-3</v>
      </c>
      <c r="RM28">
        <v>5.3800000000000002E-3</v>
      </c>
      <c r="RN28">
        <v>5.3800000000000002E-3</v>
      </c>
      <c r="RO28">
        <v>5.3800000000000002E-3</v>
      </c>
      <c r="RP28">
        <v>5.0000000000000001E-3</v>
      </c>
      <c r="RQ28">
        <v>5.4599999999999996E-3</v>
      </c>
      <c r="RR28">
        <v>5.1700000000000001E-3</v>
      </c>
      <c r="RS28">
        <v>5.3200000000000001E-3</v>
      </c>
      <c r="RT28">
        <v>4.5199999999999997E-3</v>
      </c>
      <c r="RU28">
        <v>5.2900000000000004E-3</v>
      </c>
      <c r="RV28">
        <v>6.0000000000000001E-3</v>
      </c>
      <c r="RW28">
        <v>6.7099999999999998E-3</v>
      </c>
      <c r="RX28">
        <v>6.0200000000000002E-3</v>
      </c>
      <c r="RY28">
        <v>4.3699999999999998E-3</v>
      </c>
      <c r="RZ28">
        <v>7.0400000000000003E-3</v>
      </c>
      <c r="SA28">
        <v>1.235E-2</v>
      </c>
      <c r="SC28">
        <v>7.8399999999999997E-3</v>
      </c>
      <c r="SD28">
        <v>8.0300000000000007E-3</v>
      </c>
      <c r="SE28">
        <v>7.26E-3</v>
      </c>
      <c r="SF28">
        <v>8.0599999999999995E-3</v>
      </c>
      <c r="SG28">
        <v>1.044E-2</v>
      </c>
      <c r="SH28">
        <v>1.2959999999999999E-2</v>
      </c>
      <c r="SI28">
        <v>7.3499999999999998E-3</v>
      </c>
      <c r="SJ28">
        <v>5.8500000000000002E-3</v>
      </c>
      <c r="SK28">
        <v>5.2700000000000004E-3</v>
      </c>
      <c r="SL28">
        <v>5.45E-3</v>
      </c>
      <c r="SM28">
        <v>4.96E-3</v>
      </c>
      <c r="SN28">
        <v>4.8599999999999997E-3</v>
      </c>
      <c r="SO28">
        <v>4.81E-3</v>
      </c>
      <c r="SP28">
        <v>6.43E-3</v>
      </c>
      <c r="SQ28">
        <v>6.1399999999999996E-3</v>
      </c>
      <c r="SR28">
        <v>6.0000000000000001E-3</v>
      </c>
      <c r="SS28">
        <v>5.2700000000000004E-3</v>
      </c>
      <c r="ST28">
        <v>5.1900000000000002E-3</v>
      </c>
      <c r="SU28">
        <v>5.7400000000000003E-3</v>
      </c>
      <c r="SV28">
        <v>5.4400000000000004E-3</v>
      </c>
      <c r="SW28">
        <v>5.6699999999999997E-3</v>
      </c>
      <c r="SX28">
        <v>6.7400000000000003E-3</v>
      </c>
      <c r="SY28">
        <v>5.47E-3</v>
      </c>
      <c r="TA28">
        <v>5.8999999999999999E-3</v>
      </c>
      <c r="TB28">
        <v>6.0899999999999999E-3</v>
      </c>
      <c r="TC28">
        <v>5.28E-3</v>
      </c>
      <c r="TD28">
        <v>6.4200000000000004E-3</v>
      </c>
      <c r="TE28">
        <v>7.6400000000000001E-3</v>
      </c>
      <c r="TF28">
        <v>7.0299999999999998E-3</v>
      </c>
      <c r="TG28">
        <v>6.3299999999999997E-3</v>
      </c>
      <c r="TI28">
        <v>5.8500000000000002E-3</v>
      </c>
      <c r="TJ28">
        <v>6.1799999999999997E-3</v>
      </c>
      <c r="TK28">
        <v>5.2199999999999998E-3</v>
      </c>
      <c r="TL28">
        <v>4.8199999999999996E-3</v>
      </c>
      <c r="TM28">
        <v>4.4600000000000004E-3</v>
      </c>
      <c r="TO28">
        <v>5.7499999999999999E-3</v>
      </c>
      <c r="TP28">
        <v>5.3400000000000001E-3</v>
      </c>
      <c r="TQ28">
        <v>5.4200000000000003E-3</v>
      </c>
      <c r="TR28">
        <v>6.8500000000000002E-3</v>
      </c>
      <c r="TS28">
        <v>7.5900000000000004E-3</v>
      </c>
      <c r="TT28">
        <v>7.3899999999999999E-3</v>
      </c>
      <c r="TU28">
        <v>6.7000000000000002E-3</v>
      </c>
      <c r="TV28">
        <v>6.1900000000000002E-3</v>
      </c>
      <c r="TW28">
        <v>5.3499999999999997E-3</v>
      </c>
      <c r="TX28">
        <v>5.3699999999999998E-3</v>
      </c>
      <c r="TY28">
        <v>4.7400000000000003E-3</v>
      </c>
      <c r="TZ28">
        <v>5.3699999999999998E-3</v>
      </c>
      <c r="UA28">
        <v>4.7600000000000003E-3</v>
      </c>
      <c r="UB28">
        <v>5.2199999999999998E-3</v>
      </c>
      <c r="UC28">
        <v>5.11E-3</v>
      </c>
      <c r="UD28">
        <v>5.11E-3</v>
      </c>
      <c r="UE28">
        <v>5.1200000000000004E-3</v>
      </c>
      <c r="UF28">
        <v>5.1399999999999996E-3</v>
      </c>
      <c r="UG28">
        <v>5.2300000000000003E-3</v>
      </c>
      <c r="UH28">
        <v>5.8500000000000002E-3</v>
      </c>
      <c r="UI28">
        <v>5.6800000000000002E-3</v>
      </c>
      <c r="UJ28">
        <v>5.5399999999999998E-3</v>
      </c>
      <c r="UK28">
        <v>5.4000000000000003E-3</v>
      </c>
      <c r="UL28">
        <v>5.7600000000000004E-3</v>
      </c>
      <c r="UM28">
        <v>6.3899999999999998E-3</v>
      </c>
      <c r="UN28">
        <v>5.1599999999999997E-3</v>
      </c>
      <c r="UO28">
        <v>5.5799999999999999E-3</v>
      </c>
      <c r="UP28">
        <v>7.5900000000000004E-3</v>
      </c>
      <c r="UR28">
        <v>5.0899999999999999E-3</v>
      </c>
      <c r="US28">
        <v>5.5399999999999998E-3</v>
      </c>
      <c r="UT28">
        <v>5.0800000000000003E-3</v>
      </c>
      <c r="UU28">
        <v>5.28E-3</v>
      </c>
      <c r="UV28">
        <v>5.47E-3</v>
      </c>
      <c r="UW28">
        <v>7.7499999999999999E-3</v>
      </c>
      <c r="UX28">
        <v>5.62E-3</v>
      </c>
      <c r="UY28">
        <v>5.8999999999999999E-3</v>
      </c>
      <c r="VA28">
        <v>8.6700000000000006E-3</v>
      </c>
      <c r="VB28">
        <v>6.3200000000000001E-3</v>
      </c>
      <c r="VC28">
        <v>7.8899999999999994E-3</v>
      </c>
      <c r="VF28">
        <v>1.5219999999999999E-2</v>
      </c>
      <c r="VG28">
        <v>1.133E-2</v>
      </c>
      <c r="VH28">
        <v>7.9299999999999995E-3</v>
      </c>
      <c r="VI28">
        <v>7.0099999999999997E-3</v>
      </c>
    </row>
    <row r="29" spans="1:581" x14ac:dyDescent="0.25">
      <c r="A29">
        <v>650000</v>
      </c>
      <c r="B29">
        <v>4.4799999999999996E-3</v>
      </c>
      <c r="C29">
        <v>4.4099999999999999E-3</v>
      </c>
      <c r="D29">
        <v>4.15E-3</v>
      </c>
      <c r="E29">
        <v>4.0699999999999998E-3</v>
      </c>
      <c r="F29">
        <v>4.0200000000000001E-3</v>
      </c>
      <c r="G29">
        <v>5.45E-3</v>
      </c>
      <c r="H29">
        <v>4.3499999999999997E-3</v>
      </c>
      <c r="I29">
        <v>4.2300000000000003E-3</v>
      </c>
      <c r="J29">
        <v>4.1200000000000004E-3</v>
      </c>
      <c r="K29">
        <v>5.0499999999999998E-3</v>
      </c>
      <c r="L29">
        <v>4.3699999999999998E-3</v>
      </c>
      <c r="M29">
        <v>4.2700000000000004E-3</v>
      </c>
      <c r="N29">
        <v>4.1999999999999997E-3</v>
      </c>
      <c r="O29">
        <v>6.1799999999999997E-3</v>
      </c>
      <c r="P29">
        <v>6.0200000000000002E-3</v>
      </c>
      <c r="Q29">
        <v>5.94E-3</v>
      </c>
      <c r="R29">
        <v>5.5300000000000002E-3</v>
      </c>
      <c r="S29">
        <v>5.0699999999999999E-3</v>
      </c>
      <c r="T29">
        <v>4.9800000000000001E-3</v>
      </c>
      <c r="U29">
        <v>6.0800000000000003E-3</v>
      </c>
      <c r="V29">
        <v>5.0299999999999997E-3</v>
      </c>
      <c r="W29">
        <v>5.7000000000000002E-3</v>
      </c>
      <c r="X29">
        <v>4.8799999999999998E-3</v>
      </c>
      <c r="Y29">
        <v>5.2300000000000003E-3</v>
      </c>
      <c r="Z29">
        <v>4.3800000000000002E-3</v>
      </c>
      <c r="AA29">
        <v>8.9800000000000001E-3</v>
      </c>
      <c r="AB29">
        <v>7.43E-3</v>
      </c>
      <c r="AC29">
        <v>8.0599999999999995E-3</v>
      </c>
      <c r="AD29">
        <v>6.3800000000000003E-3</v>
      </c>
      <c r="AE29">
        <v>7.3899999999999999E-3</v>
      </c>
      <c r="AF29">
        <v>7.3200000000000001E-3</v>
      </c>
      <c r="AG29">
        <v>8.3000000000000001E-3</v>
      </c>
      <c r="AH29">
        <v>8.2100000000000003E-3</v>
      </c>
      <c r="AI29">
        <v>9.8799999999999999E-3</v>
      </c>
      <c r="AJ29">
        <v>6.7200000000000003E-3</v>
      </c>
      <c r="AK29">
        <v>7.2700000000000004E-3</v>
      </c>
      <c r="AL29">
        <v>8.6300000000000005E-3</v>
      </c>
      <c r="AM29">
        <v>8.2699999999999996E-3</v>
      </c>
      <c r="AN29">
        <v>8.94E-3</v>
      </c>
      <c r="AO29">
        <v>1.511E-2</v>
      </c>
      <c r="AP29">
        <v>8.7399999999999995E-3</v>
      </c>
      <c r="AQ29">
        <v>1.1509999999999999E-2</v>
      </c>
      <c r="AR29">
        <v>9.4299999999999991E-3</v>
      </c>
      <c r="AS29">
        <v>9.9299999999999996E-3</v>
      </c>
      <c r="AT29">
        <v>7.8399999999999997E-3</v>
      </c>
      <c r="AU29">
        <v>8.5599999999999999E-3</v>
      </c>
      <c r="AV29">
        <v>1.115E-2</v>
      </c>
      <c r="AX29">
        <v>8.6999999999999994E-3</v>
      </c>
      <c r="AZ29">
        <v>8.0700000000000008E-3</v>
      </c>
      <c r="BA29">
        <v>1.0290000000000001E-2</v>
      </c>
      <c r="BB29">
        <v>7.9500000000000005E-3</v>
      </c>
      <c r="BC29">
        <v>8.6999999999999994E-3</v>
      </c>
      <c r="BD29">
        <v>9.2499999999999995E-3</v>
      </c>
      <c r="BE29">
        <v>1.1129999999999999E-2</v>
      </c>
      <c r="BF29">
        <v>1.21E-2</v>
      </c>
      <c r="BG29">
        <v>8.3700000000000007E-3</v>
      </c>
      <c r="BH29">
        <v>9.2999999999999992E-3</v>
      </c>
      <c r="BI29">
        <v>1.243E-2</v>
      </c>
      <c r="BK29">
        <v>9.0500000000000008E-3</v>
      </c>
      <c r="BL29">
        <v>9.1800000000000007E-3</v>
      </c>
      <c r="BM29">
        <v>8.6599999999999993E-3</v>
      </c>
      <c r="BN29">
        <v>6.1199999999999996E-3</v>
      </c>
      <c r="BO29">
        <v>9.9500000000000005E-3</v>
      </c>
      <c r="BP29">
        <v>7.4099999999999999E-3</v>
      </c>
      <c r="BQ29">
        <v>6.4599999999999996E-3</v>
      </c>
      <c r="BR29">
        <v>7.43E-3</v>
      </c>
      <c r="BS29">
        <v>1.2500000000000001E-2</v>
      </c>
      <c r="BT29">
        <v>1.025E-2</v>
      </c>
      <c r="BU29">
        <v>1.044E-2</v>
      </c>
      <c r="BV29">
        <v>1.0619999999999999E-2</v>
      </c>
      <c r="BW29">
        <v>1.021E-2</v>
      </c>
      <c r="BX29">
        <v>9.8399999999999998E-3</v>
      </c>
      <c r="BY29">
        <v>1.021E-2</v>
      </c>
      <c r="BZ29">
        <v>9.3200000000000002E-3</v>
      </c>
      <c r="CA29">
        <v>9.5300000000000003E-3</v>
      </c>
      <c r="CB29">
        <v>7.26E-3</v>
      </c>
      <c r="CC29">
        <v>8.0400000000000003E-3</v>
      </c>
      <c r="CD29">
        <v>6.7999999999999996E-3</v>
      </c>
      <c r="CE29">
        <v>5.7800000000000004E-3</v>
      </c>
      <c r="CF29">
        <v>5.64E-3</v>
      </c>
      <c r="CG29">
        <v>5.5399999999999998E-3</v>
      </c>
      <c r="CH29">
        <v>5.5100000000000001E-3</v>
      </c>
      <c r="CI29">
        <v>5.5799999999999999E-3</v>
      </c>
      <c r="CJ29">
        <v>5.7299999999999999E-3</v>
      </c>
      <c r="CK29">
        <v>6.7099999999999998E-3</v>
      </c>
      <c r="CM29">
        <v>6.5900000000000004E-3</v>
      </c>
      <c r="CN29">
        <v>7.3499999999999998E-3</v>
      </c>
      <c r="CO29">
        <v>6.8300000000000001E-3</v>
      </c>
      <c r="CP29">
        <v>7.5799999999999999E-3</v>
      </c>
      <c r="CQ29">
        <v>6.2599999999999999E-3</v>
      </c>
      <c r="CR29">
        <v>6.6899999999999998E-3</v>
      </c>
      <c r="CS29">
        <v>7.5500000000000003E-3</v>
      </c>
      <c r="CT29">
        <v>7.9699999999999997E-3</v>
      </c>
      <c r="CU29">
        <v>6.2199999999999998E-3</v>
      </c>
      <c r="CV29">
        <v>5.8799999999999998E-3</v>
      </c>
      <c r="CW29">
        <v>6.5300000000000002E-3</v>
      </c>
      <c r="CX29">
        <v>6.3899999999999998E-3</v>
      </c>
      <c r="CY29">
        <v>6.8500000000000002E-3</v>
      </c>
      <c r="CZ29">
        <v>5.8900000000000003E-3</v>
      </c>
      <c r="DB29">
        <v>5.5100000000000001E-3</v>
      </c>
      <c r="DC29">
        <v>5.4099999999999999E-3</v>
      </c>
      <c r="DD29">
        <v>5.3E-3</v>
      </c>
      <c r="DE29">
        <v>5.2300000000000003E-3</v>
      </c>
      <c r="DF29">
        <v>1.044E-2</v>
      </c>
      <c r="DG29">
        <v>6.3899999999999998E-3</v>
      </c>
      <c r="DH29">
        <v>9.2800000000000001E-3</v>
      </c>
      <c r="DI29">
        <v>8.6599999999999993E-3</v>
      </c>
      <c r="DJ29">
        <v>8.4399999999999996E-3</v>
      </c>
      <c r="DK29">
        <v>8.2699999999999996E-3</v>
      </c>
      <c r="DL29">
        <v>8.1700000000000002E-3</v>
      </c>
      <c r="DM29">
        <v>8.5400000000000007E-3</v>
      </c>
      <c r="DN29">
        <v>8.3099999999999997E-3</v>
      </c>
      <c r="DO29">
        <v>7.3800000000000003E-3</v>
      </c>
      <c r="DR29">
        <v>8.7299999999999999E-3</v>
      </c>
      <c r="DS29">
        <v>9.9799999999999993E-3</v>
      </c>
      <c r="DT29">
        <v>8.8199999999999997E-3</v>
      </c>
      <c r="DU29">
        <v>7.9000000000000008E-3</v>
      </c>
      <c r="DW29">
        <v>9.6699999999999998E-3</v>
      </c>
      <c r="DX29">
        <v>8.8400000000000006E-3</v>
      </c>
      <c r="DY29">
        <v>1.0840000000000001E-2</v>
      </c>
      <c r="DZ29">
        <v>8.1899999999999994E-3</v>
      </c>
      <c r="EA29">
        <v>6.62E-3</v>
      </c>
      <c r="EB29">
        <v>6.5199999999999998E-3</v>
      </c>
      <c r="EC29">
        <v>5.9800000000000001E-3</v>
      </c>
      <c r="EH29">
        <v>2.4420000000000001E-2</v>
      </c>
      <c r="EI29">
        <v>6.7400000000000003E-3</v>
      </c>
      <c r="EJ29">
        <v>5.79E-3</v>
      </c>
      <c r="EK29">
        <v>6.3899999999999998E-3</v>
      </c>
      <c r="EM29">
        <v>7.5700000000000003E-3</v>
      </c>
      <c r="EN29">
        <v>7.8100000000000001E-3</v>
      </c>
      <c r="EO29">
        <v>7.9699999999999997E-3</v>
      </c>
      <c r="EP29">
        <v>8.2400000000000008E-3</v>
      </c>
      <c r="EQ29">
        <v>8.3700000000000007E-3</v>
      </c>
      <c r="ER29">
        <v>8.5900000000000004E-3</v>
      </c>
      <c r="EU29">
        <v>1.2160000000000001E-2</v>
      </c>
      <c r="EV29">
        <v>1.12E-2</v>
      </c>
      <c r="EW29">
        <v>1.043E-2</v>
      </c>
      <c r="EX29">
        <v>1.086E-2</v>
      </c>
      <c r="EY29">
        <v>7.0400000000000003E-3</v>
      </c>
      <c r="EZ29">
        <v>7.3400000000000002E-3</v>
      </c>
      <c r="FA29">
        <v>8.1700000000000002E-3</v>
      </c>
      <c r="FB29">
        <v>8.6599999999999993E-3</v>
      </c>
      <c r="FC29">
        <v>7.7000000000000002E-3</v>
      </c>
      <c r="FD29">
        <v>7.28E-3</v>
      </c>
      <c r="FE29">
        <v>8.4799999999999997E-3</v>
      </c>
      <c r="FF29">
        <v>4.8599999999999997E-3</v>
      </c>
      <c r="FG29">
        <v>9.2599999999999991E-3</v>
      </c>
      <c r="FH29">
        <v>1.0149999999999999E-2</v>
      </c>
      <c r="FI29">
        <v>9.3399999999999993E-3</v>
      </c>
      <c r="FJ29">
        <v>9.2200000000000008E-3</v>
      </c>
      <c r="FK29">
        <v>8.77E-3</v>
      </c>
      <c r="FL29">
        <v>6.1799999999999997E-3</v>
      </c>
      <c r="FN29">
        <v>8.8900000000000003E-3</v>
      </c>
      <c r="FO29">
        <v>7.6E-3</v>
      </c>
      <c r="FP29">
        <v>7.0000000000000001E-3</v>
      </c>
      <c r="FQ29">
        <v>1.005E-2</v>
      </c>
      <c r="FR29">
        <v>1.095E-2</v>
      </c>
      <c r="FS29">
        <v>1.111E-2</v>
      </c>
      <c r="FT29">
        <v>9.9299999999999996E-3</v>
      </c>
      <c r="FU29">
        <v>9.2399999999999999E-3</v>
      </c>
      <c r="FV29">
        <v>8.8000000000000005E-3</v>
      </c>
      <c r="FW29">
        <v>8.7299999999999999E-3</v>
      </c>
      <c r="FX29">
        <v>9.0600000000000003E-3</v>
      </c>
      <c r="FY29">
        <v>9.6799999999999994E-3</v>
      </c>
      <c r="FZ29">
        <v>8.8900000000000003E-3</v>
      </c>
      <c r="GA29">
        <v>9.5499999999999995E-3</v>
      </c>
      <c r="GB29">
        <v>8.8500000000000002E-3</v>
      </c>
      <c r="GC29">
        <v>9.5700000000000004E-3</v>
      </c>
      <c r="GD29">
        <v>8.7799999999999996E-3</v>
      </c>
      <c r="GE29">
        <v>9.5200000000000007E-3</v>
      </c>
      <c r="GF29">
        <v>8.0800000000000004E-3</v>
      </c>
      <c r="GG29">
        <v>8.1399999999999997E-3</v>
      </c>
      <c r="GH29">
        <v>8.2500000000000004E-3</v>
      </c>
      <c r="GI29">
        <v>8.8900000000000003E-3</v>
      </c>
      <c r="GJ29">
        <v>9.0600000000000003E-3</v>
      </c>
      <c r="GK29">
        <v>9.2599999999999991E-3</v>
      </c>
      <c r="GL29">
        <v>9.6200000000000001E-3</v>
      </c>
      <c r="GM29">
        <v>8.3899999999999999E-3</v>
      </c>
      <c r="GO29">
        <v>8.5900000000000004E-3</v>
      </c>
      <c r="GP29">
        <v>8.6099999999999996E-3</v>
      </c>
      <c r="GQ29">
        <v>9.0900000000000009E-3</v>
      </c>
      <c r="GR29">
        <v>1.0460000000000001E-2</v>
      </c>
      <c r="GS29">
        <v>8.0700000000000008E-3</v>
      </c>
      <c r="GT29">
        <v>8.6300000000000005E-3</v>
      </c>
      <c r="GU29">
        <v>6.3099999999999996E-3</v>
      </c>
      <c r="GV29">
        <v>9.6500000000000006E-3</v>
      </c>
      <c r="GW29">
        <v>1.009E-2</v>
      </c>
      <c r="GY29">
        <v>1.1010000000000001E-2</v>
      </c>
      <c r="GZ29">
        <v>9.2599999999999991E-3</v>
      </c>
      <c r="HC29">
        <v>7.1199999999999996E-3</v>
      </c>
      <c r="HE29">
        <v>8.1399999999999997E-3</v>
      </c>
      <c r="HF29">
        <v>7.26E-3</v>
      </c>
      <c r="HI29">
        <v>1.0189999999999999E-2</v>
      </c>
      <c r="HJ29">
        <v>5.0699999999999999E-3</v>
      </c>
      <c r="HK29">
        <v>9.6299999999999997E-3</v>
      </c>
      <c r="HL29">
        <v>9.0900000000000009E-3</v>
      </c>
      <c r="HM29">
        <v>8.9899999999999997E-3</v>
      </c>
      <c r="HN29">
        <v>8.7500000000000008E-3</v>
      </c>
      <c r="HO29">
        <v>8.7799999999999996E-3</v>
      </c>
      <c r="HP29">
        <v>5.8599999999999998E-3</v>
      </c>
      <c r="HQ29">
        <v>9.58E-3</v>
      </c>
      <c r="HR29">
        <v>1.124E-2</v>
      </c>
      <c r="HS29">
        <v>1.315E-2</v>
      </c>
      <c r="HT29">
        <v>8.3099999999999997E-3</v>
      </c>
      <c r="HU29">
        <v>6.1900000000000002E-3</v>
      </c>
      <c r="HV29">
        <v>8.5000000000000006E-3</v>
      </c>
      <c r="HW29">
        <v>6.4700000000000001E-3</v>
      </c>
      <c r="HX29">
        <v>1.077E-2</v>
      </c>
      <c r="HY29">
        <v>8.3199999999999993E-3</v>
      </c>
      <c r="IA29">
        <v>9.1999999999999998E-3</v>
      </c>
      <c r="IB29">
        <v>1.099E-2</v>
      </c>
      <c r="IC29">
        <v>8.6700000000000006E-3</v>
      </c>
      <c r="ID29">
        <v>7.3499999999999998E-3</v>
      </c>
      <c r="IE29">
        <v>6.6699999999999997E-3</v>
      </c>
      <c r="IF29">
        <v>6.6899999999999998E-3</v>
      </c>
      <c r="IG29">
        <v>7.7000000000000002E-3</v>
      </c>
      <c r="IH29">
        <v>8.5100000000000002E-3</v>
      </c>
      <c r="IJ29">
        <v>7.0000000000000001E-3</v>
      </c>
      <c r="IK29">
        <v>7.6499999999999997E-3</v>
      </c>
      <c r="IL29">
        <v>8.5199999999999998E-3</v>
      </c>
      <c r="IM29">
        <v>9.3799999999999994E-3</v>
      </c>
      <c r="IN29">
        <v>1.027E-2</v>
      </c>
      <c r="IO29">
        <v>1.1209999999999999E-2</v>
      </c>
      <c r="IP29">
        <v>1.3769999999999999E-2</v>
      </c>
      <c r="IQ29">
        <v>1.503E-2</v>
      </c>
      <c r="IR29">
        <v>1.6670000000000001E-2</v>
      </c>
      <c r="IS29">
        <v>5.2399999999999999E-3</v>
      </c>
      <c r="IT29">
        <v>6.4999999999999997E-3</v>
      </c>
      <c r="IU29">
        <v>7.7200000000000003E-3</v>
      </c>
      <c r="IV29">
        <v>5.5399999999999998E-3</v>
      </c>
      <c r="IW29">
        <v>6.5300000000000002E-3</v>
      </c>
      <c r="IX29">
        <v>4.3499999999999997E-3</v>
      </c>
      <c r="IY29">
        <v>4.9699999999999996E-3</v>
      </c>
      <c r="IZ29">
        <v>4.8399999999999997E-3</v>
      </c>
      <c r="JA29">
        <v>5.3600000000000002E-3</v>
      </c>
      <c r="JB29">
        <v>5.6499999999999996E-3</v>
      </c>
      <c r="JC29">
        <v>6.13E-3</v>
      </c>
      <c r="JD29">
        <v>6.5300000000000002E-3</v>
      </c>
      <c r="JE29">
        <v>5.5100000000000001E-3</v>
      </c>
      <c r="JF29">
        <v>6.4400000000000004E-3</v>
      </c>
      <c r="JG29">
        <v>7.1799999999999998E-3</v>
      </c>
      <c r="JH29">
        <v>1.3559999999999999E-2</v>
      </c>
      <c r="JI29">
        <v>9.1000000000000004E-3</v>
      </c>
      <c r="JJ29">
        <v>7.7299999999999999E-3</v>
      </c>
      <c r="JK29">
        <v>1.2120000000000001E-2</v>
      </c>
      <c r="JL29">
        <v>9.9799999999999993E-3</v>
      </c>
      <c r="JN29">
        <v>1.09E-2</v>
      </c>
      <c r="JQ29">
        <v>6.3499999999999997E-3</v>
      </c>
      <c r="JR29">
        <v>6.9800000000000001E-3</v>
      </c>
      <c r="JS29">
        <v>6.3099999999999996E-3</v>
      </c>
      <c r="JT29">
        <v>7.1900000000000002E-3</v>
      </c>
      <c r="JU29">
        <v>7.5500000000000003E-3</v>
      </c>
      <c r="JV29">
        <v>6.94E-3</v>
      </c>
      <c r="JW29">
        <v>7.9100000000000004E-3</v>
      </c>
      <c r="JX29">
        <v>7.2300000000000003E-3</v>
      </c>
      <c r="JY29">
        <v>8.3599999999999994E-3</v>
      </c>
      <c r="JZ29">
        <v>9.2200000000000008E-3</v>
      </c>
      <c r="KA29">
        <v>9.2399999999999999E-3</v>
      </c>
      <c r="KB29">
        <v>6.6100000000000004E-3</v>
      </c>
      <c r="KC29">
        <v>6.9100000000000003E-3</v>
      </c>
      <c r="KD29">
        <v>7.4599999999999996E-3</v>
      </c>
      <c r="KE29">
        <v>8.2000000000000007E-3</v>
      </c>
      <c r="KF29">
        <v>1.0330000000000001E-2</v>
      </c>
      <c r="KG29">
        <v>1.264E-2</v>
      </c>
      <c r="KH29">
        <v>9.7900000000000001E-3</v>
      </c>
      <c r="KI29">
        <v>9.8799999999999999E-3</v>
      </c>
      <c r="KJ29">
        <v>9.9000000000000008E-3</v>
      </c>
      <c r="KK29">
        <v>9.92E-3</v>
      </c>
      <c r="KL29">
        <v>1.0070000000000001E-2</v>
      </c>
      <c r="KM29">
        <v>1.022E-2</v>
      </c>
      <c r="KN29">
        <v>5.9300000000000004E-3</v>
      </c>
      <c r="KO29">
        <v>6.43E-3</v>
      </c>
      <c r="KP29">
        <v>9.0799999999999995E-3</v>
      </c>
      <c r="KQ29">
        <v>9.3399999999999993E-3</v>
      </c>
      <c r="KR29">
        <v>1.023E-2</v>
      </c>
      <c r="KS29">
        <v>7.9799999999999992E-3</v>
      </c>
      <c r="KT29">
        <v>8.6099999999999996E-3</v>
      </c>
      <c r="KU29">
        <v>5.6899999999999997E-3</v>
      </c>
      <c r="KV29">
        <v>5.47E-3</v>
      </c>
      <c r="KW29">
        <v>5.8900000000000003E-3</v>
      </c>
      <c r="KX29">
        <v>1.3469999999999999E-2</v>
      </c>
      <c r="KY29">
        <v>5.8900000000000003E-3</v>
      </c>
      <c r="KZ29">
        <v>7.3299999999999997E-3</v>
      </c>
      <c r="LA29">
        <v>7.8600000000000007E-3</v>
      </c>
      <c r="LB29">
        <v>7.3800000000000003E-3</v>
      </c>
      <c r="LC29">
        <v>7.62E-3</v>
      </c>
      <c r="LD29">
        <v>7.62E-3</v>
      </c>
      <c r="LE29">
        <v>1.12E-2</v>
      </c>
      <c r="LF29">
        <v>1.0959999999999999E-2</v>
      </c>
      <c r="LG29">
        <v>1.057E-2</v>
      </c>
      <c r="LI29">
        <v>1.106E-2</v>
      </c>
      <c r="LJ29">
        <v>1.1440000000000001E-2</v>
      </c>
      <c r="LK29">
        <v>1.1480000000000001E-2</v>
      </c>
      <c r="LL29">
        <v>8.8100000000000001E-3</v>
      </c>
      <c r="LM29">
        <v>6.2199999999999998E-3</v>
      </c>
      <c r="LO29">
        <v>9.8700000000000003E-3</v>
      </c>
      <c r="LP29">
        <v>8.0800000000000004E-3</v>
      </c>
      <c r="LR29">
        <v>1.119E-2</v>
      </c>
      <c r="LS29">
        <v>1.2489999999999999E-2</v>
      </c>
      <c r="LT29">
        <v>7.9299999999999995E-3</v>
      </c>
      <c r="LV29">
        <v>1.478E-2</v>
      </c>
      <c r="LW29">
        <v>5.0400000000000002E-3</v>
      </c>
      <c r="LX29">
        <v>5.7999999999999996E-3</v>
      </c>
      <c r="LZ29">
        <v>9.0399999999999994E-3</v>
      </c>
      <c r="MA29">
        <v>8.8800000000000007E-3</v>
      </c>
      <c r="MB29">
        <v>4.5300000000000002E-3</v>
      </c>
      <c r="MC29">
        <v>8.0400000000000003E-3</v>
      </c>
      <c r="MD29">
        <v>1.1820000000000001E-2</v>
      </c>
      <c r="ME29">
        <v>1.3820000000000001E-2</v>
      </c>
      <c r="MF29">
        <v>1.6160000000000001E-2</v>
      </c>
      <c r="MH29">
        <v>8.4100000000000008E-3</v>
      </c>
      <c r="MI29">
        <v>9.7000000000000003E-3</v>
      </c>
      <c r="MJ29">
        <v>9.58E-3</v>
      </c>
      <c r="MK29">
        <v>9.7800000000000005E-3</v>
      </c>
      <c r="ML29">
        <v>1.1390000000000001E-2</v>
      </c>
      <c r="MM29">
        <v>1.0070000000000001E-2</v>
      </c>
      <c r="MN29">
        <v>6.3099999999999996E-3</v>
      </c>
      <c r="MO29">
        <v>6.9899999999999997E-3</v>
      </c>
      <c r="MP29">
        <v>7.0299999999999998E-3</v>
      </c>
      <c r="MQ29">
        <v>5.7400000000000003E-3</v>
      </c>
      <c r="MR29">
        <v>7.1500000000000001E-3</v>
      </c>
      <c r="MS29">
        <v>8.0199999999999994E-3</v>
      </c>
      <c r="MT29">
        <v>8.8000000000000005E-3</v>
      </c>
      <c r="MV29">
        <v>6.4999999999999997E-3</v>
      </c>
      <c r="MW29">
        <v>6.8999999999999999E-3</v>
      </c>
      <c r="MX29">
        <v>7.1199999999999996E-3</v>
      </c>
      <c r="MY29">
        <v>7.79E-3</v>
      </c>
      <c r="MZ29">
        <v>8.6099999999999996E-3</v>
      </c>
      <c r="NA29">
        <v>7.8399999999999997E-3</v>
      </c>
      <c r="NB29">
        <v>7.9699999999999997E-3</v>
      </c>
      <c r="NC29">
        <v>5.1399999999999996E-3</v>
      </c>
      <c r="ND29">
        <v>1.299E-2</v>
      </c>
      <c r="NE29">
        <v>9.4900000000000002E-3</v>
      </c>
      <c r="NF29">
        <v>9.5399999999999999E-3</v>
      </c>
      <c r="NG29">
        <v>5.8500000000000002E-3</v>
      </c>
      <c r="NH29">
        <v>4.7600000000000003E-3</v>
      </c>
      <c r="NJ29">
        <v>5.8199999999999997E-3</v>
      </c>
      <c r="NK29">
        <v>5.1500000000000001E-3</v>
      </c>
      <c r="NL29">
        <v>5.4999999999999997E-3</v>
      </c>
      <c r="NM29">
        <v>5.8500000000000002E-3</v>
      </c>
      <c r="NN29">
        <v>6.1700000000000001E-3</v>
      </c>
      <c r="NO29">
        <v>6.4200000000000004E-3</v>
      </c>
      <c r="NP29">
        <v>5.2300000000000003E-3</v>
      </c>
      <c r="NQ29">
        <v>5.62E-3</v>
      </c>
      <c r="NS29">
        <v>5.8700000000000002E-3</v>
      </c>
      <c r="NT29">
        <v>6.45E-3</v>
      </c>
      <c r="NU29">
        <v>5.2399999999999999E-3</v>
      </c>
      <c r="NV29">
        <v>5.5799999999999999E-3</v>
      </c>
      <c r="NX29">
        <v>5.8300000000000001E-3</v>
      </c>
      <c r="NY29">
        <v>5.9500000000000004E-3</v>
      </c>
      <c r="NZ29">
        <v>6.2599999999999999E-3</v>
      </c>
      <c r="OA29">
        <v>6.5300000000000002E-3</v>
      </c>
      <c r="OB29">
        <v>5.28E-3</v>
      </c>
      <c r="OC29">
        <v>5.6299999999999996E-3</v>
      </c>
      <c r="OD29">
        <v>5.77E-3</v>
      </c>
      <c r="OE29">
        <v>5.77E-3</v>
      </c>
      <c r="OF29">
        <v>8.4499999999999992E-3</v>
      </c>
      <c r="OG29">
        <v>6.0099999999999997E-3</v>
      </c>
      <c r="OH29">
        <v>6.28E-3</v>
      </c>
      <c r="OI29">
        <v>6.6E-3</v>
      </c>
      <c r="OJ29">
        <v>6.8700000000000002E-3</v>
      </c>
      <c r="OK29">
        <v>7.0499999999999998E-3</v>
      </c>
      <c r="OL29">
        <v>7.3000000000000001E-3</v>
      </c>
      <c r="OM29">
        <v>5.45E-3</v>
      </c>
      <c r="ON29">
        <v>5.7299999999999999E-3</v>
      </c>
      <c r="OO29">
        <v>6.0800000000000003E-3</v>
      </c>
      <c r="OQ29">
        <v>6.9100000000000003E-3</v>
      </c>
      <c r="OR29">
        <v>7.1799999999999998E-3</v>
      </c>
      <c r="OS29">
        <v>8.09E-3</v>
      </c>
      <c r="OT29">
        <v>5.8900000000000003E-3</v>
      </c>
      <c r="OU29">
        <v>5.8599999999999998E-3</v>
      </c>
      <c r="OV29">
        <v>4.6899999999999997E-3</v>
      </c>
      <c r="OW29">
        <v>3.9100000000000003E-3</v>
      </c>
      <c r="OX29">
        <v>3.7699999999999999E-3</v>
      </c>
      <c r="OY29">
        <v>4.1099999999999999E-3</v>
      </c>
      <c r="OZ29">
        <v>5.1399999999999996E-3</v>
      </c>
      <c r="PA29">
        <v>1.0789999999999999E-2</v>
      </c>
      <c r="PB29">
        <v>1.167E-2</v>
      </c>
      <c r="PC29">
        <v>9.0200000000000002E-3</v>
      </c>
      <c r="PD29">
        <v>7.7400000000000004E-3</v>
      </c>
      <c r="PE29">
        <v>7.11E-3</v>
      </c>
      <c r="PF29">
        <v>6.6400000000000001E-3</v>
      </c>
      <c r="PG29">
        <v>6.3E-3</v>
      </c>
      <c r="PH29">
        <v>6.4900000000000001E-3</v>
      </c>
      <c r="PI29">
        <v>8.3000000000000001E-3</v>
      </c>
      <c r="PJ29">
        <v>7.7000000000000002E-3</v>
      </c>
      <c r="PK29">
        <v>6.9800000000000001E-3</v>
      </c>
      <c r="PL29">
        <v>6.3200000000000001E-3</v>
      </c>
      <c r="PM29">
        <v>5.8300000000000001E-3</v>
      </c>
      <c r="PN29">
        <v>5.94E-3</v>
      </c>
      <c r="PO29">
        <v>6.11E-3</v>
      </c>
      <c r="PP29">
        <v>6.4200000000000004E-3</v>
      </c>
      <c r="PQ29">
        <v>6.4799999999999996E-3</v>
      </c>
      <c r="PR29">
        <v>5.8199999999999997E-3</v>
      </c>
      <c r="PS29">
        <v>6.9800000000000001E-3</v>
      </c>
      <c r="PT29">
        <v>6.7799999999999996E-3</v>
      </c>
      <c r="PU29">
        <v>5.1700000000000001E-3</v>
      </c>
      <c r="PV29">
        <v>6.1000000000000004E-3</v>
      </c>
      <c r="PW29">
        <v>6.7400000000000003E-3</v>
      </c>
      <c r="PZ29">
        <v>1.042E-2</v>
      </c>
      <c r="QA29">
        <v>4.5700000000000003E-3</v>
      </c>
      <c r="QB29">
        <v>4.7999999999999996E-3</v>
      </c>
      <c r="QC29">
        <v>6.13E-3</v>
      </c>
      <c r="QD29">
        <v>5.3E-3</v>
      </c>
      <c r="QE29">
        <v>5.1200000000000004E-3</v>
      </c>
      <c r="QF29">
        <v>5.1399999999999996E-3</v>
      </c>
      <c r="QG29">
        <v>6.5599999999999999E-3</v>
      </c>
      <c r="QH29">
        <v>5.1599999999999997E-3</v>
      </c>
      <c r="QI29">
        <v>5.3499999999999997E-3</v>
      </c>
      <c r="QJ29">
        <v>5.3800000000000002E-3</v>
      </c>
      <c r="QK29">
        <v>5.1500000000000001E-3</v>
      </c>
      <c r="QL29">
        <v>4.9699999999999996E-3</v>
      </c>
      <c r="QN29">
        <v>7.6400000000000001E-3</v>
      </c>
      <c r="QO29">
        <v>7.0899999999999999E-3</v>
      </c>
      <c r="QP29">
        <v>7.1799999999999998E-3</v>
      </c>
      <c r="QQ29">
        <v>7.3800000000000003E-3</v>
      </c>
      <c r="QR29">
        <v>9.2099999999999994E-3</v>
      </c>
      <c r="QS29">
        <v>9.2300000000000004E-3</v>
      </c>
      <c r="QT29">
        <v>7.1000000000000004E-3</v>
      </c>
      <c r="QU29">
        <v>7.2199999999999999E-3</v>
      </c>
      <c r="QV29">
        <v>7.3299999999999997E-3</v>
      </c>
      <c r="QW29">
        <v>6.9199999999999999E-3</v>
      </c>
      <c r="QX29">
        <v>6.7999999999999996E-3</v>
      </c>
      <c r="QY29">
        <v>6.3299999999999997E-3</v>
      </c>
      <c r="QZ29">
        <v>6.8100000000000001E-3</v>
      </c>
      <c r="RA29">
        <v>8.3700000000000007E-3</v>
      </c>
      <c r="RB29">
        <v>1.031E-2</v>
      </c>
      <c r="RC29">
        <v>8.3999999999999995E-3</v>
      </c>
      <c r="RD29">
        <v>1.593E-2</v>
      </c>
      <c r="RF29">
        <v>9.4800000000000006E-3</v>
      </c>
      <c r="RG29">
        <v>6.4900000000000001E-3</v>
      </c>
      <c r="RH29">
        <v>6.0299999999999998E-3</v>
      </c>
      <c r="RI29">
        <v>9.6600000000000002E-3</v>
      </c>
      <c r="RJ29">
        <v>1.005E-2</v>
      </c>
      <c r="RK29">
        <v>9.5499999999999995E-3</v>
      </c>
      <c r="RL29">
        <v>8.7600000000000004E-3</v>
      </c>
      <c r="RM29">
        <v>5.2900000000000004E-3</v>
      </c>
      <c r="RN29">
        <v>5.3099999999999996E-3</v>
      </c>
      <c r="RO29">
        <v>5.3099999999999996E-3</v>
      </c>
      <c r="RP29">
        <v>4.9300000000000004E-3</v>
      </c>
      <c r="RQ29">
        <v>5.3899999999999998E-3</v>
      </c>
      <c r="RR29">
        <v>5.1000000000000004E-3</v>
      </c>
      <c r="RS29">
        <v>5.2599999999999999E-3</v>
      </c>
      <c r="RT29">
        <v>4.4400000000000004E-3</v>
      </c>
      <c r="RU29">
        <v>5.2300000000000003E-3</v>
      </c>
      <c r="RV29">
        <v>5.9199999999999999E-3</v>
      </c>
      <c r="RW29">
        <v>6.6299999999999996E-3</v>
      </c>
      <c r="RX29">
        <v>5.96E-3</v>
      </c>
      <c r="RY29">
        <v>4.2900000000000004E-3</v>
      </c>
      <c r="RZ29">
        <v>6.8500000000000002E-3</v>
      </c>
      <c r="SA29">
        <v>1.1820000000000001E-2</v>
      </c>
      <c r="SB29">
        <v>1.0449999999999999E-2</v>
      </c>
      <c r="SD29">
        <v>7.9399999999999991E-3</v>
      </c>
      <c r="SE29">
        <v>7.1700000000000002E-3</v>
      </c>
      <c r="SF29">
        <v>7.9799999999999992E-3</v>
      </c>
      <c r="SG29">
        <v>1.035E-2</v>
      </c>
      <c r="SH29">
        <v>1.2840000000000001E-2</v>
      </c>
      <c r="SI29">
        <v>7.26E-3</v>
      </c>
      <c r="SJ29">
        <v>5.7800000000000004E-3</v>
      </c>
      <c r="SK29">
        <v>5.1999999999999998E-3</v>
      </c>
      <c r="SL29">
        <v>5.3899999999999998E-3</v>
      </c>
      <c r="SM29">
        <v>4.8700000000000002E-3</v>
      </c>
      <c r="SN29">
        <v>4.7999999999999996E-3</v>
      </c>
      <c r="SO29">
        <v>4.7400000000000003E-3</v>
      </c>
      <c r="SP29">
        <v>6.4099999999999999E-3</v>
      </c>
      <c r="SQ29">
        <v>6.0400000000000002E-3</v>
      </c>
      <c r="SR29">
        <v>5.96E-3</v>
      </c>
      <c r="SS29">
        <v>5.1799999999999997E-3</v>
      </c>
      <c r="ST29">
        <v>5.1000000000000004E-3</v>
      </c>
      <c r="SU29">
        <v>5.6499999999999996E-3</v>
      </c>
      <c r="SV29">
        <v>5.3400000000000001E-3</v>
      </c>
      <c r="SW29">
        <v>5.5999999999999999E-3</v>
      </c>
      <c r="SX29">
        <v>6.6499999999999997E-3</v>
      </c>
      <c r="SY29">
        <v>5.4099999999999999E-3</v>
      </c>
      <c r="SZ29">
        <v>5.9800000000000001E-3</v>
      </c>
      <c r="TA29">
        <v>5.8599999999999998E-3</v>
      </c>
      <c r="TC29">
        <v>5.2500000000000003E-3</v>
      </c>
      <c r="TD29">
        <v>6.2599999999999999E-3</v>
      </c>
      <c r="TE29">
        <v>7.6099999999999996E-3</v>
      </c>
      <c r="TF29">
        <v>6.9300000000000004E-3</v>
      </c>
      <c r="TG29">
        <v>6.3400000000000001E-3</v>
      </c>
      <c r="TH29">
        <v>8.3499999999999998E-3</v>
      </c>
      <c r="TI29">
        <v>5.7499999999999999E-3</v>
      </c>
      <c r="TJ29">
        <v>6.2500000000000003E-3</v>
      </c>
      <c r="TK29">
        <v>5.1500000000000001E-3</v>
      </c>
      <c r="TL29">
        <v>4.7600000000000003E-3</v>
      </c>
      <c r="TM29">
        <v>4.3899999999999998E-3</v>
      </c>
      <c r="TN29">
        <v>5.6600000000000001E-3</v>
      </c>
      <c r="TO29">
        <v>5.6499999999999996E-3</v>
      </c>
      <c r="TP29">
        <v>5.2399999999999999E-3</v>
      </c>
      <c r="TQ29">
        <v>5.4000000000000003E-3</v>
      </c>
      <c r="TR29">
        <v>6.77E-3</v>
      </c>
      <c r="TS29">
        <v>7.4599999999999996E-3</v>
      </c>
      <c r="TT29">
        <v>7.2700000000000004E-3</v>
      </c>
      <c r="TU29">
        <v>6.6100000000000004E-3</v>
      </c>
      <c r="TV29">
        <v>6.0800000000000003E-3</v>
      </c>
      <c r="TW29">
        <v>5.3E-3</v>
      </c>
      <c r="TX29">
        <v>5.3299999999999997E-3</v>
      </c>
      <c r="TY29">
        <v>4.7299999999999998E-3</v>
      </c>
      <c r="TZ29">
        <v>5.3400000000000001E-3</v>
      </c>
      <c r="UA29">
        <v>4.7800000000000004E-3</v>
      </c>
      <c r="UB29">
        <v>5.1599999999999997E-3</v>
      </c>
      <c r="UC29">
        <v>5.0600000000000003E-3</v>
      </c>
      <c r="UD29">
        <v>5.0499999999999998E-3</v>
      </c>
      <c r="UE29">
        <v>5.0699999999999999E-3</v>
      </c>
      <c r="UF29">
        <v>5.0299999999999997E-3</v>
      </c>
      <c r="UG29">
        <v>5.1399999999999996E-3</v>
      </c>
      <c r="UH29">
        <v>5.8100000000000001E-3</v>
      </c>
      <c r="UI29">
        <v>5.5900000000000004E-3</v>
      </c>
      <c r="UJ29">
        <v>5.47E-3</v>
      </c>
      <c r="UK29">
        <v>5.3800000000000002E-3</v>
      </c>
      <c r="UL29">
        <v>5.7299999999999999E-3</v>
      </c>
      <c r="UM29">
        <v>6.3699999999999998E-3</v>
      </c>
      <c r="UN29">
        <v>5.1200000000000004E-3</v>
      </c>
      <c r="UO29">
        <v>5.5199999999999997E-3</v>
      </c>
      <c r="UP29">
        <v>7.5300000000000002E-3</v>
      </c>
      <c r="UQ29">
        <v>4.9800000000000001E-3</v>
      </c>
      <c r="UR29">
        <v>5.0200000000000002E-3</v>
      </c>
      <c r="US29">
        <v>5.4999999999999997E-3</v>
      </c>
      <c r="UT29">
        <v>5.0299999999999997E-3</v>
      </c>
      <c r="UU29">
        <v>5.2300000000000003E-3</v>
      </c>
      <c r="UV29">
        <v>5.4299999999999999E-3</v>
      </c>
      <c r="UW29">
        <v>7.6299999999999996E-3</v>
      </c>
      <c r="UX29">
        <v>5.5199999999999997E-3</v>
      </c>
      <c r="UY29">
        <v>5.8100000000000001E-3</v>
      </c>
      <c r="VA29">
        <v>8.5400000000000007E-3</v>
      </c>
      <c r="VB29">
        <v>6.2100000000000002E-3</v>
      </c>
      <c r="VC29">
        <v>7.77E-3</v>
      </c>
      <c r="VF29">
        <v>1.453E-2</v>
      </c>
      <c r="VG29">
        <v>1.1050000000000001E-2</v>
      </c>
      <c r="VH29">
        <v>7.6499999999999997E-3</v>
      </c>
      <c r="VI29">
        <v>6.8999999999999999E-3</v>
      </c>
    </row>
    <row r="30" spans="1:581" x14ac:dyDescent="0.25">
      <c r="A30">
        <v>675000</v>
      </c>
      <c r="B30">
        <v>4.4299999999999999E-3</v>
      </c>
      <c r="C30">
        <v>4.3600000000000002E-3</v>
      </c>
      <c r="D30">
        <v>4.1000000000000003E-3</v>
      </c>
      <c r="E30">
        <v>4.0299999999999997E-3</v>
      </c>
      <c r="F30">
        <v>3.9699999999999996E-3</v>
      </c>
      <c r="G30">
        <v>5.5599999999999998E-3</v>
      </c>
      <c r="H30">
        <v>4.3099999999999996E-3</v>
      </c>
      <c r="I30">
        <v>4.1999999999999997E-3</v>
      </c>
      <c r="J30">
        <v>4.0899999999999999E-3</v>
      </c>
      <c r="K30">
        <v>5.0800000000000003E-3</v>
      </c>
      <c r="L30">
        <v>4.3299999999999996E-3</v>
      </c>
      <c r="M30">
        <v>4.2300000000000003E-3</v>
      </c>
      <c r="N30">
        <v>4.1599999999999996E-3</v>
      </c>
      <c r="O30">
        <v>6.13E-3</v>
      </c>
      <c r="P30">
        <v>5.94E-3</v>
      </c>
      <c r="Q30">
        <v>5.8799999999999998E-3</v>
      </c>
      <c r="R30">
        <v>5.5100000000000001E-3</v>
      </c>
      <c r="S30">
        <v>5.0000000000000001E-3</v>
      </c>
      <c r="T30">
        <v>4.9199999999999999E-3</v>
      </c>
      <c r="U30">
        <v>6.0800000000000003E-3</v>
      </c>
      <c r="V30">
        <v>4.96E-3</v>
      </c>
      <c r="W30">
        <v>5.7499999999999999E-3</v>
      </c>
      <c r="X30">
        <v>4.8199999999999996E-3</v>
      </c>
      <c r="Z30">
        <v>4.3600000000000002E-3</v>
      </c>
      <c r="AA30">
        <v>8.7299999999999999E-3</v>
      </c>
      <c r="AB30">
        <v>7.3800000000000003E-3</v>
      </c>
      <c r="AC30">
        <v>7.9600000000000001E-3</v>
      </c>
      <c r="AD30">
        <v>6.3099999999999996E-3</v>
      </c>
      <c r="AE30">
        <v>7.2899999999999996E-3</v>
      </c>
      <c r="AF30">
        <v>7.2700000000000004E-3</v>
      </c>
      <c r="AG30">
        <v>8.0599999999999995E-3</v>
      </c>
      <c r="AH30">
        <v>7.9500000000000005E-3</v>
      </c>
      <c r="AI30">
        <v>9.5200000000000007E-3</v>
      </c>
      <c r="AJ30">
        <v>6.5500000000000003E-3</v>
      </c>
      <c r="AK30">
        <v>7.11E-3</v>
      </c>
      <c r="AL30">
        <v>8.5299999999999994E-3</v>
      </c>
      <c r="AM30">
        <v>8.0000000000000002E-3</v>
      </c>
      <c r="AN30">
        <v>8.6800000000000002E-3</v>
      </c>
      <c r="AO30">
        <v>1.469E-2</v>
      </c>
      <c r="AP30">
        <v>8.5500000000000003E-3</v>
      </c>
      <c r="AQ30">
        <v>1.112E-2</v>
      </c>
      <c r="AR30">
        <v>9.1900000000000003E-3</v>
      </c>
      <c r="AS30">
        <v>9.6799999999999994E-3</v>
      </c>
      <c r="AT30">
        <v>7.62E-3</v>
      </c>
      <c r="AU30">
        <v>8.3400000000000002E-3</v>
      </c>
      <c r="AV30">
        <v>1.0749999999999999E-2</v>
      </c>
      <c r="AW30">
        <v>8.7600000000000004E-3</v>
      </c>
      <c r="AX30">
        <v>8.4700000000000001E-3</v>
      </c>
      <c r="AY30">
        <v>8.6899999999999998E-3</v>
      </c>
      <c r="AZ30">
        <v>7.8300000000000002E-3</v>
      </c>
      <c r="BA30">
        <v>9.9299999999999996E-3</v>
      </c>
      <c r="BB30">
        <v>7.8200000000000006E-3</v>
      </c>
      <c r="BC30">
        <v>8.5900000000000004E-3</v>
      </c>
      <c r="BD30">
        <v>9.1199999999999996E-3</v>
      </c>
      <c r="BE30">
        <v>1.094E-2</v>
      </c>
      <c r="BF30">
        <v>1.1979999999999999E-2</v>
      </c>
      <c r="BG30">
        <v>8.1899999999999994E-3</v>
      </c>
      <c r="BH30">
        <v>9.0500000000000008E-3</v>
      </c>
      <c r="BI30">
        <v>1.221E-2</v>
      </c>
      <c r="BJ30">
        <v>8.6499999999999997E-3</v>
      </c>
      <c r="BK30">
        <v>8.8999999999999999E-3</v>
      </c>
      <c r="BL30">
        <v>9.0399999999999994E-3</v>
      </c>
      <c r="BM30">
        <v>8.5500000000000003E-3</v>
      </c>
      <c r="BN30">
        <v>6.0899999999999999E-3</v>
      </c>
      <c r="BO30">
        <v>9.8300000000000002E-3</v>
      </c>
      <c r="BP30">
        <v>7.3600000000000002E-3</v>
      </c>
      <c r="BQ30">
        <v>6.43E-3</v>
      </c>
      <c r="BR30">
        <v>7.3200000000000001E-3</v>
      </c>
      <c r="BS30">
        <v>1.257E-2</v>
      </c>
      <c r="BT30">
        <v>1.0030000000000001E-2</v>
      </c>
      <c r="BU30">
        <v>1.0319999999999999E-2</v>
      </c>
      <c r="BV30">
        <v>1.048E-2</v>
      </c>
      <c r="BW30">
        <v>1.008E-2</v>
      </c>
      <c r="BX30">
        <v>9.7400000000000004E-3</v>
      </c>
      <c r="BY30">
        <v>1.01E-2</v>
      </c>
      <c r="BZ30">
        <v>9.1900000000000003E-3</v>
      </c>
      <c r="CA30">
        <v>9.4000000000000004E-3</v>
      </c>
      <c r="CB30">
        <v>7.2100000000000003E-3</v>
      </c>
      <c r="CC30">
        <v>7.9399999999999991E-3</v>
      </c>
      <c r="CD30">
        <v>6.7299999999999999E-3</v>
      </c>
      <c r="CE30">
        <v>5.6800000000000002E-3</v>
      </c>
      <c r="CF30">
        <v>5.5599999999999998E-3</v>
      </c>
      <c r="CG30">
        <v>5.4400000000000004E-3</v>
      </c>
      <c r="CH30">
        <v>5.45E-3</v>
      </c>
      <c r="CI30">
        <v>5.4799999999999996E-3</v>
      </c>
      <c r="CJ30">
        <v>5.6100000000000004E-3</v>
      </c>
      <c r="CL30">
        <v>5.9300000000000004E-3</v>
      </c>
      <c r="CM30">
        <v>6.5300000000000002E-3</v>
      </c>
      <c r="CN30">
        <v>7.26E-3</v>
      </c>
      <c r="CO30">
        <v>6.7600000000000004E-3</v>
      </c>
      <c r="CP30">
        <v>7.4799999999999997E-3</v>
      </c>
      <c r="CQ30">
        <v>6.1599999999999997E-3</v>
      </c>
      <c r="CR30">
        <v>6.62E-3</v>
      </c>
      <c r="CS30">
        <v>7.4599999999999996E-3</v>
      </c>
      <c r="CT30">
        <v>7.8799999999999999E-3</v>
      </c>
      <c r="CU30">
        <v>6.1500000000000001E-3</v>
      </c>
      <c r="CV30">
        <v>5.8300000000000001E-3</v>
      </c>
      <c r="CW30">
        <v>6.4599999999999996E-3</v>
      </c>
      <c r="CX30">
        <v>6.3099999999999996E-3</v>
      </c>
      <c r="CY30">
        <v>6.7400000000000003E-3</v>
      </c>
      <c r="CZ30">
        <v>5.7999999999999996E-3</v>
      </c>
      <c r="DA30">
        <v>5.5599999999999998E-3</v>
      </c>
      <c r="DB30">
        <v>5.45E-3</v>
      </c>
      <c r="DD30">
        <v>5.2399999999999999E-3</v>
      </c>
      <c r="DE30">
        <v>5.1700000000000001E-3</v>
      </c>
      <c r="DF30">
        <v>1.017E-2</v>
      </c>
      <c r="DG30">
        <v>6.2500000000000003E-3</v>
      </c>
      <c r="DH30">
        <v>8.9999999999999993E-3</v>
      </c>
      <c r="DI30">
        <v>8.3999999999999995E-3</v>
      </c>
      <c r="DJ30">
        <v>8.26E-3</v>
      </c>
      <c r="DK30">
        <v>8.0999999999999996E-3</v>
      </c>
      <c r="DL30">
        <v>8.0099999999999998E-3</v>
      </c>
      <c r="DM30">
        <v>7.7799999999999996E-3</v>
      </c>
      <c r="DR30">
        <v>8.26E-3</v>
      </c>
      <c r="DS30">
        <v>9.6299999999999997E-3</v>
      </c>
      <c r="DT30">
        <v>8.6199999999999992E-3</v>
      </c>
      <c r="DU30">
        <v>7.7600000000000004E-3</v>
      </c>
      <c r="DW30">
        <v>9.2700000000000005E-3</v>
      </c>
      <c r="DX30">
        <v>8.5900000000000004E-3</v>
      </c>
      <c r="DY30">
        <v>1.0749999999999999E-2</v>
      </c>
      <c r="DZ30">
        <v>8.0300000000000007E-3</v>
      </c>
      <c r="EA30">
        <v>6.5100000000000002E-3</v>
      </c>
      <c r="EB30">
        <v>6.4000000000000003E-3</v>
      </c>
      <c r="EC30">
        <v>5.8700000000000002E-3</v>
      </c>
      <c r="EH30">
        <v>2.4340000000000001E-2</v>
      </c>
      <c r="EI30">
        <v>6.7000000000000002E-3</v>
      </c>
      <c r="EJ30">
        <v>5.7000000000000002E-3</v>
      </c>
      <c r="EK30">
        <v>6.3400000000000001E-3</v>
      </c>
      <c r="EL30">
        <v>7.0200000000000002E-3</v>
      </c>
      <c r="EM30">
        <v>7.4700000000000001E-3</v>
      </c>
      <c r="EN30">
        <v>7.7099999999999998E-3</v>
      </c>
      <c r="EO30">
        <v>7.8700000000000003E-3</v>
      </c>
      <c r="EP30">
        <v>8.1300000000000001E-3</v>
      </c>
      <c r="EQ30">
        <v>8.2500000000000004E-3</v>
      </c>
      <c r="ER30">
        <v>8.3499999999999998E-3</v>
      </c>
      <c r="ES30">
        <v>7.6800000000000002E-3</v>
      </c>
      <c r="EU30">
        <v>1.2E-2</v>
      </c>
      <c r="EV30">
        <v>1.103E-2</v>
      </c>
      <c r="EW30">
        <v>1.0330000000000001E-2</v>
      </c>
      <c r="EX30">
        <v>1.069E-2</v>
      </c>
      <c r="EY30">
        <v>7.0099999999999997E-3</v>
      </c>
      <c r="EZ30">
        <v>7.3099999999999997E-3</v>
      </c>
      <c r="FA30">
        <v>8.0199999999999994E-3</v>
      </c>
      <c r="FB30">
        <v>8.4899999999999993E-3</v>
      </c>
      <c r="FC30">
        <v>7.5300000000000002E-3</v>
      </c>
      <c r="FD30">
        <v>7.1399999999999996E-3</v>
      </c>
      <c r="FE30">
        <v>8.3300000000000006E-3</v>
      </c>
      <c r="FF30">
        <v>4.7600000000000003E-3</v>
      </c>
      <c r="FG30">
        <v>9.1900000000000003E-3</v>
      </c>
      <c r="FH30">
        <v>1.0030000000000001E-2</v>
      </c>
      <c r="FI30">
        <v>9.2700000000000005E-3</v>
      </c>
      <c r="FK30">
        <v>8.7100000000000007E-3</v>
      </c>
      <c r="FL30">
        <v>6.0699999999999999E-3</v>
      </c>
      <c r="FN30">
        <v>8.6800000000000002E-3</v>
      </c>
      <c r="FO30">
        <v>7.4400000000000004E-3</v>
      </c>
      <c r="FP30">
        <v>6.8900000000000003E-3</v>
      </c>
      <c r="FQ30">
        <v>9.7900000000000001E-3</v>
      </c>
      <c r="FR30">
        <v>1.068E-2</v>
      </c>
      <c r="FS30">
        <v>1.073E-2</v>
      </c>
      <c r="FT30">
        <v>9.6500000000000006E-3</v>
      </c>
      <c r="FU30">
        <v>9.0699999999999999E-3</v>
      </c>
      <c r="FV30">
        <v>8.6300000000000005E-3</v>
      </c>
      <c r="FW30">
        <v>8.5599999999999999E-3</v>
      </c>
      <c r="FX30">
        <v>8.8800000000000007E-3</v>
      </c>
      <c r="FY30">
        <v>9.4699999999999993E-3</v>
      </c>
      <c r="FZ30">
        <v>8.7500000000000008E-3</v>
      </c>
      <c r="GA30">
        <v>9.3699999999999999E-3</v>
      </c>
      <c r="GB30">
        <v>8.7299999999999999E-3</v>
      </c>
      <c r="GC30">
        <v>9.4000000000000004E-3</v>
      </c>
      <c r="GE30">
        <v>9.3600000000000003E-3</v>
      </c>
      <c r="GF30">
        <v>7.9699999999999997E-3</v>
      </c>
      <c r="GG30">
        <v>8.0000000000000002E-3</v>
      </c>
      <c r="GH30">
        <v>8.1399999999999997E-3</v>
      </c>
      <c r="GI30">
        <v>8.8100000000000001E-3</v>
      </c>
      <c r="GK30">
        <v>9.1599999999999997E-3</v>
      </c>
      <c r="GL30">
        <v>9.5300000000000003E-3</v>
      </c>
      <c r="GM30">
        <v>8.2900000000000005E-3</v>
      </c>
      <c r="GO30">
        <v>8.4499999999999992E-3</v>
      </c>
      <c r="GP30">
        <v>8.4399999999999996E-3</v>
      </c>
      <c r="GQ30">
        <v>8.8599999999999998E-3</v>
      </c>
      <c r="GR30">
        <v>1.03E-2</v>
      </c>
      <c r="GS30">
        <v>7.8899999999999994E-3</v>
      </c>
      <c r="GT30">
        <v>8.4399999999999996E-3</v>
      </c>
      <c r="GU30">
        <v>6.1399999999999996E-3</v>
      </c>
      <c r="GV30">
        <v>9.5300000000000003E-3</v>
      </c>
      <c r="GW30">
        <v>9.9100000000000004E-3</v>
      </c>
      <c r="GX30">
        <v>8.8800000000000007E-3</v>
      </c>
      <c r="GY30">
        <v>1.0699999999999999E-2</v>
      </c>
      <c r="GZ30">
        <v>9.0399999999999994E-3</v>
      </c>
      <c r="HC30">
        <v>6.9699999999999996E-3</v>
      </c>
      <c r="HE30">
        <v>7.8300000000000002E-3</v>
      </c>
      <c r="HF30">
        <v>7.0600000000000003E-3</v>
      </c>
      <c r="HI30">
        <v>1.008E-2</v>
      </c>
      <c r="HK30">
        <v>9.4400000000000005E-3</v>
      </c>
      <c r="HL30">
        <v>8.8900000000000003E-3</v>
      </c>
      <c r="HM30">
        <v>8.77E-3</v>
      </c>
      <c r="HN30">
        <v>8.5400000000000007E-3</v>
      </c>
      <c r="HO30">
        <v>8.5500000000000003E-3</v>
      </c>
      <c r="HP30">
        <v>5.79E-3</v>
      </c>
      <c r="HQ30">
        <v>9.2499999999999995E-3</v>
      </c>
      <c r="HR30">
        <v>1.0880000000000001E-2</v>
      </c>
      <c r="HS30">
        <v>1.291E-2</v>
      </c>
      <c r="HT30">
        <v>8.0800000000000004E-3</v>
      </c>
      <c r="HU30">
        <v>6.1000000000000004E-3</v>
      </c>
      <c r="HV30">
        <v>8.4100000000000008E-3</v>
      </c>
      <c r="HW30">
        <v>6.3899999999999998E-3</v>
      </c>
      <c r="HX30">
        <v>1.043E-2</v>
      </c>
      <c r="HY30">
        <v>8.0999999999999996E-3</v>
      </c>
      <c r="IA30">
        <v>9.0399999999999994E-3</v>
      </c>
      <c r="IB30">
        <v>1.078E-2</v>
      </c>
      <c r="IC30">
        <v>8.5800000000000008E-3</v>
      </c>
      <c r="ID30">
        <v>7.1599999999999997E-3</v>
      </c>
      <c r="IE30">
        <v>6.5399999999999998E-3</v>
      </c>
      <c r="IF30">
        <v>6.5399999999999998E-3</v>
      </c>
      <c r="IG30">
        <v>7.5599999999999999E-3</v>
      </c>
      <c r="IH30">
        <v>8.3400000000000002E-3</v>
      </c>
      <c r="II30">
        <v>5.9100000000000003E-3</v>
      </c>
      <c r="IJ30">
        <v>6.9300000000000004E-3</v>
      </c>
      <c r="IK30">
        <v>7.5599999999999999E-3</v>
      </c>
      <c r="IL30">
        <v>8.3999999999999995E-3</v>
      </c>
      <c r="IM30">
        <v>9.2800000000000001E-3</v>
      </c>
      <c r="IN30">
        <v>1.0109999999999999E-2</v>
      </c>
      <c r="IO30">
        <v>1.107E-2</v>
      </c>
      <c r="IP30">
        <v>1.3610000000000001E-2</v>
      </c>
      <c r="IQ30">
        <v>1.473E-2</v>
      </c>
      <c r="IR30">
        <v>1.6500000000000001E-2</v>
      </c>
      <c r="IS30">
        <v>5.1599999999999997E-3</v>
      </c>
      <c r="IT30">
        <v>6.3E-3</v>
      </c>
      <c r="IU30">
        <v>7.4599999999999996E-3</v>
      </c>
      <c r="IV30">
        <v>5.4599999999999996E-3</v>
      </c>
      <c r="IW30">
        <v>6.4099999999999999E-3</v>
      </c>
      <c r="IX30">
        <v>4.2700000000000004E-3</v>
      </c>
      <c r="IY30">
        <v>4.9100000000000003E-3</v>
      </c>
      <c r="IZ30">
        <v>4.7699999999999999E-3</v>
      </c>
      <c r="JA30">
        <v>5.3E-3</v>
      </c>
      <c r="JC30">
        <v>6.0499999999999998E-3</v>
      </c>
      <c r="JD30">
        <v>6.4400000000000004E-3</v>
      </c>
      <c r="JF30">
        <v>6.3800000000000003E-3</v>
      </c>
      <c r="JG30">
        <v>7.1799999999999998E-3</v>
      </c>
      <c r="JH30">
        <v>1.329E-2</v>
      </c>
      <c r="JI30">
        <v>8.8800000000000007E-3</v>
      </c>
      <c r="JJ30">
        <v>7.5500000000000003E-3</v>
      </c>
      <c r="JK30">
        <v>1.176E-2</v>
      </c>
      <c r="JL30">
        <v>9.8899999999999995E-3</v>
      </c>
      <c r="JM30">
        <v>7.6099999999999996E-3</v>
      </c>
      <c r="JN30">
        <v>1.068E-2</v>
      </c>
      <c r="JP30">
        <v>8.5100000000000002E-3</v>
      </c>
      <c r="JQ30">
        <v>6.28E-3</v>
      </c>
      <c r="JR30">
        <v>6.9100000000000003E-3</v>
      </c>
      <c r="JS30">
        <v>6.2399999999999999E-3</v>
      </c>
      <c r="JT30">
        <v>7.1199999999999996E-3</v>
      </c>
      <c r="JU30">
        <v>7.4999999999999997E-3</v>
      </c>
      <c r="JV30">
        <v>6.7799999999999996E-3</v>
      </c>
      <c r="JW30">
        <v>7.7600000000000004E-3</v>
      </c>
      <c r="JX30">
        <v>7.0899999999999999E-3</v>
      </c>
      <c r="JY30">
        <v>8.1899999999999994E-3</v>
      </c>
      <c r="JZ30">
        <v>9.0399999999999994E-3</v>
      </c>
      <c r="KA30">
        <v>9.0200000000000002E-3</v>
      </c>
      <c r="KB30">
        <v>6.5300000000000002E-3</v>
      </c>
      <c r="KC30">
        <v>6.8300000000000001E-3</v>
      </c>
      <c r="KD30">
        <v>7.3899999999999999E-3</v>
      </c>
      <c r="KE30">
        <v>8.1300000000000001E-3</v>
      </c>
      <c r="KF30">
        <v>1.035E-2</v>
      </c>
      <c r="KG30">
        <v>1.255E-2</v>
      </c>
      <c r="KH30">
        <v>9.92E-3</v>
      </c>
      <c r="KI30">
        <v>9.6699999999999998E-3</v>
      </c>
      <c r="KJ30">
        <v>9.7000000000000003E-3</v>
      </c>
      <c r="KK30">
        <v>9.7599999999999996E-3</v>
      </c>
      <c r="KL30">
        <v>9.9100000000000004E-3</v>
      </c>
      <c r="KM30">
        <v>1.008E-2</v>
      </c>
      <c r="KN30">
        <v>5.8599999999999998E-3</v>
      </c>
      <c r="KO30">
        <v>6.28E-3</v>
      </c>
      <c r="KP30">
        <v>8.9300000000000004E-3</v>
      </c>
      <c r="KQ30">
        <v>9.2200000000000008E-3</v>
      </c>
      <c r="KR30">
        <v>1.004E-2</v>
      </c>
      <c r="KS30">
        <v>7.79E-3</v>
      </c>
      <c r="KT30">
        <v>8.3800000000000003E-3</v>
      </c>
      <c r="KU30">
        <v>5.7099999999999998E-3</v>
      </c>
      <c r="KV30">
        <v>5.3699999999999998E-3</v>
      </c>
      <c r="KW30">
        <v>5.8100000000000001E-3</v>
      </c>
      <c r="KX30">
        <v>1.3299999999999999E-2</v>
      </c>
      <c r="KY30">
        <v>5.9300000000000004E-3</v>
      </c>
      <c r="KZ30">
        <v>7.3400000000000002E-3</v>
      </c>
      <c r="LA30">
        <v>7.6899999999999998E-3</v>
      </c>
      <c r="LB30">
        <v>7.2399999999999999E-3</v>
      </c>
      <c r="LC30">
        <v>7.4700000000000001E-3</v>
      </c>
      <c r="LD30">
        <v>7.4700000000000001E-3</v>
      </c>
      <c r="LE30">
        <v>1.106E-2</v>
      </c>
      <c r="LF30">
        <v>1.077E-2</v>
      </c>
      <c r="LG30">
        <v>1.027E-2</v>
      </c>
      <c r="LJ30">
        <v>1.137E-2</v>
      </c>
      <c r="LK30">
        <v>1.1339999999999999E-2</v>
      </c>
      <c r="LL30">
        <v>8.6099999999999996E-3</v>
      </c>
      <c r="LM30">
        <v>6.1199999999999996E-3</v>
      </c>
      <c r="LN30">
        <v>9.3900000000000008E-3</v>
      </c>
      <c r="LO30">
        <v>9.6299999999999997E-3</v>
      </c>
      <c r="LP30">
        <v>7.9100000000000004E-3</v>
      </c>
      <c r="LR30">
        <v>1.103E-2</v>
      </c>
      <c r="LS30">
        <v>1.231E-2</v>
      </c>
      <c r="LT30">
        <v>7.7600000000000004E-3</v>
      </c>
      <c r="LV30">
        <v>1.431E-2</v>
      </c>
      <c r="LW30">
        <v>4.9899999999999996E-3</v>
      </c>
      <c r="LX30">
        <v>5.7600000000000004E-3</v>
      </c>
      <c r="LY30">
        <v>8.7899999999999992E-3</v>
      </c>
      <c r="LZ30">
        <v>8.8800000000000007E-3</v>
      </c>
      <c r="MA30">
        <v>8.7299999999999999E-3</v>
      </c>
      <c r="MB30">
        <v>4.4600000000000004E-3</v>
      </c>
      <c r="MC30">
        <v>7.8700000000000003E-3</v>
      </c>
      <c r="MD30">
        <v>1.1650000000000001E-2</v>
      </c>
      <c r="ME30">
        <v>1.409E-2</v>
      </c>
      <c r="MF30">
        <v>1.6070000000000001E-2</v>
      </c>
      <c r="MH30">
        <v>8.1200000000000005E-3</v>
      </c>
      <c r="MI30">
        <v>9.4400000000000005E-3</v>
      </c>
      <c r="MJ30">
        <v>9.2700000000000005E-3</v>
      </c>
      <c r="MK30">
        <v>9.4299999999999991E-3</v>
      </c>
      <c r="ML30">
        <v>1.103E-2</v>
      </c>
      <c r="MM30">
        <v>9.7800000000000005E-3</v>
      </c>
      <c r="MO30">
        <v>6.8799999999999998E-3</v>
      </c>
      <c r="MP30">
        <v>6.9800000000000001E-3</v>
      </c>
      <c r="MQ30">
        <v>5.6299999999999996E-3</v>
      </c>
      <c r="MR30">
        <v>7.0499999999999998E-3</v>
      </c>
      <c r="MS30">
        <v>7.8600000000000007E-3</v>
      </c>
      <c r="MT30">
        <v>8.6999999999999994E-3</v>
      </c>
      <c r="MU30">
        <v>5.5300000000000002E-3</v>
      </c>
      <c r="MV30">
        <v>6.43E-3</v>
      </c>
      <c r="MW30">
        <v>6.7999999999999996E-3</v>
      </c>
      <c r="MX30">
        <v>7.0400000000000003E-3</v>
      </c>
      <c r="MY30">
        <v>7.6499999999999997E-3</v>
      </c>
      <c r="MZ30">
        <v>8.4799999999999997E-3</v>
      </c>
      <c r="NA30">
        <v>7.7600000000000004E-3</v>
      </c>
      <c r="NB30">
        <v>7.8700000000000003E-3</v>
      </c>
      <c r="NC30">
        <v>5.0400000000000002E-3</v>
      </c>
      <c r="ND30">
        <v>1.312E-2</v>
      </c>
      <c r="NE30">
        <v>9.2599999999999991E-3</v>
      </c>
      <c r="NF30">
        <v>9.3699999999999999E-3</v>
      </c>
      <c r="NG30">
        <v>5.7600000000000004E-3</v>
      </c>
      <c r="NH30">
        <v>4.7000000000000002E-3</v>
      </c>
      <c r="NI30">
        <v>5.1599999999999997E-3</v>
      </c>
      <c r="NJ30">
        <v>5.7400000000000003E-3</v>
      </c>
      <c r="NK30">
        <v>5.1000000000000004E-3</v>
      </c>
      <c r="NL30">
        <v>5.4400000000000004E-3</v>
      </c>
      <c r="NM30">
        <v>5.7800000000000004E-3</v>
      </c>
      <c r="NN30">
        <v>6.0899999999999999E-3</v>
      </c>
      <c r="NO30">
        <v>6.3400000000000001E-3</v>
      </c>
      <c r="NP30">
        <v>5.1700000000000001E-3</v>
      </c>
      <c r="NQ30">
        <v>5.5399999999999998E-3</v>
      </c>
      <c r="NR30">
        <v>5.5100000000000001E-3</v>
      </c>
      <c r="NS30">
        <v>5.8100000000000001E-3</v>
      </c>
      <c r="NT30">
        <v>6.3800000000000003E-3</v>
      </c>
      <c r="NU30">
        <v>5.1900000000000002E-3</v>
      </c>
      <c r="NV30">
        <v>5.4999999999999997E-3</v>
      </c>
      <c r="NW30">
        <v>5.5399999999999998E-3</v>
      </c>
      <c r="NX30">
        <v>5.7400000000000003E-3</v>
      </c>
      <c r="NY30">
        <v>5.8799999999999998E-3</v>
      </c>
      <c r="NZ30">
        <v>6.1700000000000001E-3</v>
      </c>
      <c r="OA30">
        <v>6.4400000000000004E-3</v>
      </c>
      <c r="OB30">
        <v>5.2199999999999998E-3</v>
      </c>
      <c r="OC30">
        <v>5.5500000000000002E-3</v>
      </c>
      <c r="OD30">
        <v>5.7000000000000002E-3</v>
      </c>
      <c r="OE30">
        <v>5.7000000000000002E-3</v>
      </c>
      <c r="OF30">
        <v>8.3199999999999993E-3</v>
      </c>
      <c r="OG30">
        <v>5.9199999999999999E-3</v>
      </c>
      <c r="OH30">
        <v>6.2100000000000002E-3</v>
      </c>
      <c r="OI30">
        <v>6.5100000000000002E-3</v>
      </c>
      <c r="OJ30">
        <v>6.77E-3</v>
      </c>
      <c r="OK30">
        <v>6.94E-3</v>
      </c>
      <c r="OL30">
        <v>7.2199999999999999E-3</v>
      </c>
      <c r="OM30">
        <v>5.3800000000000002E-3</v>
      </c>
      <c r="ON30">
        <v>5.6499999999999996E-3</v>
      </c>
      <c r="OO30">
        <v>6.0000000000000001E-3</v>
      </c>
      <c r="OP30">
        <v>6.5799999999999999E-3</v>
      </c>
      <c r="OQ30">
        <v>6.8199999999999997E-3</v>
      </c>
      <c r="OR30">
        <v>7.0899999999999999E-3</v>
      </c>
      <c r="OS30">
        <v>7.9399999999999991E-3</v>
      </c>
      <c r="OT30">
        <v>5.8700000000000002E-3</v>
      </c>
      <c r="OU30">
        <v>5.7999999999999996E-3</v>
      </c>
      <c r="OW30">
        <v>3.8400000000000001E-3</v>
      </c>
      <c r="OX30">
        <v>3.7000000000000002E-3</v>
      </c>
      <c r="OY30">
        <v>4.1200000000000004E-3</v>
      </c>
      <c r="PA30">
        <v>1.064E-2</v>
      </c>
      <c r="PB30">
        <v>1.154E-2</v>
      </c>
      <c r="PD30">
        <v>7.6600000000000001E-3</v>
      </c>
      <c r="PE30">
        <v>7.0499999999999998E-3</v>
      </c>
      <c r="PF30">
        <v>6.6E-3</v>
      </c>
      <c r="PG30">
        <v>6.1999999999999998E-3</v>
      </c>
      <c r="PH30">
        <v>6.4099999999999999E-3</v>
      </c>
      <c r="PI30">
        <v>8.2100000000000003E-3</v>
      </c>
      <c r="PJ30">
        <v>7.62E-3</v>
      </c>
      <c r="PK30">
        <v>6.9100000000000003E-3</v>
      </c>
      <c r="PL30">
        <v>6.3099999999999996E-3</v>
      </c>
      <c r="PM30">
        <v>5.7999999999999996E-3</v>
      </c>
      <c r="PN30">
        <v>5.8399999999999997E-3</v>
      </c>
      <c r="PO30">
        <v>6.0099999999999997E-3</v>
      </c>
      <c r="PP30">
        <v>6.3099999999999996E-3</v>
      </c>
      <c r="PR30">
        <v>5.7200000000000003E-3</v>
      </c>
      <c r="PS30">
        <v>6.8599999999999998E-3</v>
      </c>
      <c r="PT30">
        <v>6.6299999999999996E-3</v>
      </c>
      <c r="PU30">
        <v>5.1000000000000004E-3</v>
      </c>
      <c r="PV30">
        <v>5.94E-3</v>
      </c>
      <c r="PW30">
        <v>6.4999999999999997E-3</v>
      </c>
      <c r="PZ30">
        <v>1.001E-2</v>
      </c>
      <c r="QA30">
        <v>4.4900000000000001E-3</v>
      </c>
      <c r="QB30">
        <v>4.7299999999999998E-3</v>
      </c>
      <c r="QC30">
        <v>6.0899999999999999E-3</v>
      </c>
      <c r="QD30">
        <v>5.2599999999999999E-3</v>
      </c>
      <c r="QE30">
        <v>5.0499999999999998E-3</v>
      </c>
      <c r="QF30">
        <v>5.0600000000000003E-3</v>
      </c>
      <c r="QG30">
        <v>6.5599999999999999E-3</v>
      </c>
      <c r="QH30">
        <v>5.0699999999999999E-3</v>
      </c>
      <c r="QI30">
        <v>5.3E-3</v>
      </c>
      <c r="QJ30">
        <v>5.3099999999999996E-3</v>
      </c>
      <c r="QK30">
        <v>5.0899999999999999E-3</v>
      </c>
      <c r="QL30">
        <v>4.9100000000000003E-3</v>
      </c>
      <c r="QM30">
        <v>5.7400000000000003E-3</v>
      </c>
      <c r="QN30">
        <v>7.6E-3</v>
      </c>
      <c r="QO30">
        <v>6.9800000000000001E-3</v>
      </c>
      <c r="QP30">
        <v>7.1000000000000004E-3</v>
      </c>
      <c r="QQ30">
        <v>7.3400000000000002E-3</v>
      </c>
      <c r="QR30">
        <v>9.1400000000000006E-3</v>
      </c>
      <c r="QS30">
        <v>9.1400000000000006E-3</v>
      </c>
      <c r="QT30">
        <v>7.0099999999999997E-3</v>
      </c>
      <c r="QU30">
        <v>7.1199999999999996E-3</v>
      </c>
      <c r="QV30">
        <v>7.2399999999999999E-3</v>
      </c>
      <c r="QX30">
        <v>6.6899999999999998E-3</v>
      </c>
      <c r="QY30">
        <v>6.2500000000000003E-3</v>
      </c>
      <c r="QZ30">
        <v>6.7099999999999998E-3</v>
      </c>
      <c r="RA30">
        <v>8.2000000000000007E-3</v>
      </c>
      <c r="RB30">
        <v>1.0160000000000001E-2</v>
      </c>
      <c r="RC30">
        <v>8.2299999999999995E-3</v>
      </c>
      <c r="RD30">
        <v>1.5440000000000001E-2</v>
      </c>
      <c r="RE30">
        <v>1.1939999999999999E-2</v>
      </c>
      <c r="RF30">
        <v>9.3399999999999993E-3</v>
      </c>
      <c r="RG30">
        <v>6.3899999999999998E-3</v>
      </c>
      <c r="RH30">
        <v>5.96E-3</v>
      </c>
      <c r="RI30">
        <v>9.5499999999999995E-3</v>
      </c>
      <c r="RJ30">
        <v>9.7800000000000005E-3</v>
      </c>
      <c r="RK30">
        <v>9.3799999999999994E-3</v>
      </c>
      <c r="RL30">
        <v>8.5500000000000003E-3</v>
      </c>
      <c r="RM30">
        <v>5.2199999999999998E-3</v>
      </c>
      <c r="RN30">
        <v>5.2500000000000003E-3</v>
      </c>
      <c r="RO30">
        <v>5.2500000000000003E-3</v>
      </c>
      <c r="RP30">
        <v>4.8700000000000002E-3</v>
      </c>
      <c r="RQ30">
        <v>5.3299999999999997E-3</v>
      </c>
      <c r="RR30">
        <v>5.0299999999999997E-3</v>
      </c>
      <c r="RS30">
        <v>5.1799999999999997E-3</v>
      </c>
      <c r="RT30">
        <v>4.3800000000000002E-3</v>
      </c>
      <c r="RV30">
        <v>5.8500000000000002E-3</v>
      </c>
      <c r="RW30">
        <v>6.5500000000000003E-3</v>
      </c>
      <c r="RY30">
        <v>4.2100000000000002E-3</v>
      </c>
      <c r="RZ30">
        <v>6.6899999999999998E-3</v>
      </c>
      <c r="SA30">
        <v>1.1350000000000001E-2</v>
      </c>
      <c r="SB30">
        <v>1.018E-2</v>
      </c>
      <c r="SC30">
        <v>7.6400000000000001E-3</v>
      </c>
      <c r="SD30">
        <v>7.8399999999999997E-3</v>
      </c>
      <c r="SE30">
        <v>7.11E-3</v>
      </c>
      <c r="SF30">
        <v>7.9399999999999991E-3</v>
      </c>
      <c r="SG30">
        <v>1.022E-2</v>
      </c>
      <c r="SH30">
        <v>1.273E-2</v>
      </c>
      <c r="SI30">
        <v>7.1900000000000002E-3</v>
      </c>
      <c r="SJ30">
        <v>5.7099999999999998E-3</v>
      </c>
      <c r="SK30">
        <v>5.13E-3</v>
      </c>
      <c r="SL30">
        <v>5.3299999999999997E-3</v>
      </c>
      <c r="SM30">
        <v>4.79E-3</v>
      </c>
      <c r="SN30">
        <v>4.7499999999999999E-3</v>
      </c>
      <c r="SO30">
        <v>4.6800000000000001E-3</v>
      </c>
      <c r="SP30">
        <v>6.3899999999999998E-3</v>
      </c>
      <c r="SQ30">
        <v>5.9500000000000004E-3</v>
      </c>
      <c r="SR30">
        <v>5.9199999999999999E-3</v>
      </c>
      <c r="SS30">
        <v>5.1000000000000004E-3</v>
      </c>
      <c r="ST30">
        <v>5.0200000000000002E-3</v>
      </c>
      <c r="SU30">
        <v>5.5700000000000003E-3</v>
      </c>
      <c r="SW30">
        <v>5.5399999999999998E-3</v>
      </c>
      <c r="SX30">
        <v>6.5599999999999999E-3</v>
      </c>
      <c r="SY30">
        <v>5.3299999999999997E-3</v>
      </c>
      <c r="SZ30">
        <v>5.9800000000000001E-3</v>
      </c>
      <c r="TA30">
        <v>5.8199999999999997E-3</v>
      </c>
      <c r="TB30">
        <v>5.9699999999999996E-3</v>
      </c>
      <c r="TD30">
        <v>6.1000000000000004E-3</v>
      </c>
      <c r="TG30">
        <v>6.3400000000000001E-3</v>
      </c>
      <c r="TH30">
        <v>8.26E-3</v>
      </c>
      <c r="TI30">
        <v>5.6600000000000001E-3</v>
      </c>
      <c r="TJ30">
        <v>6.3299999999999997E-3</v>
      </c>
      <c r="TK30">
        <v>5.1000000000000004E-3</v>
      </c>
      <c r="TL30">
        <v>4.7000000000000002E-3</v>
      </c>
      <c r="TM30">
        <v>4.3299999999999996E-3</v>
      </c>
      <c r="TN30">
        <v>5.62E-3</v>
      </c>
      <c r="TO30">
        <v>5.5700000000000003E-3</v>
      </c>
      <c r="TP30">
        <v>5.1500000000000001E-3</v>
      </c>
      <c r="TQ30">
        <v>5.3899999999999998E-3</v>
      </c>
      <c r="TR30">
        <v>6.7200000000000003E-3</v>
      </c>
      <c r="TS30">
        <v>7.3400000000000002E-3</v>
      </c>
      <c r="TT30">
        <v>7.1700000000000002E-3</v>
      </c>
      <c r="TU30">
        <v>6.5300000000000002E-3</v>
      </c>
      <c r="TV30">
        <v>5.9699999999999996E-3</v>
      </c>
      <c r="TW30">
        <v>5.2599999999999999E-3</v>
      </c>
      <c r="TX30">
        <v>5.2900000000000004E-3</v>
      </c>
      <c r="TY30">
        <v>4.7200000000000002E-3</v>
      </c>
      <c r="TZ30">
        <v>5.3200000000000001E-3</v>
      </c>
      <c r="UA30">
        <v>4.81E-3</v>
      </c>
      <c r="UB30">
        <v>5.0899999999999999E-3</v>
      </c>
      <c r="UC30">
        <v>5.0099999999999997E-3</v>
      </c>
      <c r="UD30">
        <v>5.0099999999999997E-3</v>
      </c>
      <c r="UE30">
        <v>5.0299999999999997E-3</v>
      </c>
      <c r="UF30">
        <v>4.9399999999999999E-3</v>
      </c>
      <c r="UG30">
        <v>5.0499999999999998E-3</v>
      </c>
      <c r="UH30">
        <v>5.7800000000000004E-3</v>
      </c>
      <c r="UI30">
        <v>5.5199999999999997E-3</v>
      </c>
      <c r="UK30">
        <v>5.3499999999999997E-3</v>
      </c>
      <c r="UL30">
        <v>5.6699999999999997E-3</v>
      </c>
      <c r="UM30">
        <v>6.3400000000000001E-3</v>
      </c>
      <c r="UN30">
        <v>5.0800000000000003E-3</v>
      </c>
      <c r="UO30">
        <v>5.4599999999999996E-3</v>
      </c>
      <c r="UP30">
        <v>7.4799999999999997E-3</v>
      </c>
      <c r="UQ30">
        <v>4.9500000000000004E-3</v>
      </c>
      <c r="UR30">
        <v>4.9500000000000004E-3</v>
      </c>
      <c r="US30">
        <v>5.45E-3</v>
      </c>
      <c r="UT30">
        <v>4.9800000000000001E-3</v>
      </c>
      <c r="UU30">
        <v>5.1900000000000002E-3</v>
      </c>
      <c r="UV30">
        <v>5.3899999999999998E-3</v>
      </c>
      <c r="UW30">
        <v>7.5199999999999998E-3</v>
      </c>
      <c r="UX30">
        <v>5.4400000000000004E-3</v>
      </c>
      <c r="UY30">
        <v>5.7299999999999999E-3</v>
      </c>
      <c r="VA30">
        <v>8.43E-3</v>
      </c>
      <c r="VB30">
        <v>6.11E-3</v>
      </c>
      <c r="VC30">
        <v>7.6699999999999997E-3</v>
      </c>
      <c r="VF30">
        <v>1.393E-2</v>
      </c>
      <c r="VG30">
        <v>1.078E-2</v>
      </c>
      <c r="VH30">
        <v>7.4000000000000003E-3</v>
      </c>
      <c r="VI30">
        <v>6.8300000000000001E-3</v>
      </c>
    </row>
    <row r="31" spans="1:581" x14ac:dyDescent="0.25">
      <c r="A31">
        <v>700000</v>
      </c>
      <c r="B31">
        <v>4.4000000000000003E-3</v>
      </c>
      <c r="D31">
        <v>4.0699999999999998E-3</v>
      </c>
      <c r="E31">
        <v>4.0000000000000001E-3</v>
      </c>
      <c r="F31">
        <v>3.9300000000000003E-3</v>
      </c>
      <c r="H31">
        <v>4.28E-3</v>
      </c>
      <c r="I31">
        <v>4.1599999999999996E-3</v>
      </c>
      <c r="J31">
        <v>4.0600000000000002E-3</v>
      </c>
      <c r="K31">
        <v>5.1000000000000004E-3</v>
      </c>
      <c r="L31">
        <v>4.2900000000000004E-3</v>
      </c>
      <c r="M31">
        <v>4.1900000000000001E-3</v>
      </c>
      <c r="N31">
        <v>4.1200000000000004E-3</v>
      </c>
      <c r="O31">
        <v>6.0600000000000003E-3</v>
      </c>
      <c r="P31">
        <v>5.8799999999999998E-3</v>
      </c>
      <c r="Q31">
        <v>5.8300000000000001E-3</v>
      </c>
      <c r="R31">
        <v>5.4900000000000001E-3</v>
      </c>
      <c r="S31">
        <v>4.9399999999999999E-3</v>
      </c>
      <c r="T31">
        <v>4.8500000000000001E-3</v>
      </c>
      <c r="U31">
        <v>6.0899999999999999E-3</v>
      </c>
      <c r="V31">
        <v>4.8900000000000002E-3</v>
      </c>
      <c r="W31">
        <v>5.7999999999999996E-3</v>
      </c>
      <c r="X31">
        <v>4.7600000000000003E-3</v>
      </c>
      <c r="Y31">
        <v>5.4099999999999999E-3</v>
      </c>
      <c r="Z31">
        <v>4.3299999999999996E-3</v>
      </c>
      <c r="AA31">
        <v>8.4899999999999993E-3</v>
      </c>
      <c r="AB31">
        <v>7.3400000000000002E-3</v>
      </c>
      <c r="AC31">
        <v>7.8700000000000003E-3</v>
      </c>
      <c r="AD31">
        <v>6.2300000000000003E-3</v>
      </c>
      <c r="AE31">
        <v>7.1900000000000002E-3</v>
      </c>
      <c r="AF31">
        <v>7.1900000000000002E-3</v>
      </c>
      <c r="AG31">
        <v>7.8399999999999997E-3</v>
      </c>
      <c r="AH31">
        <v>7.7099999999999998E-3</v>
      </c>
      <c r="AI31">
        <v>9.1900000000000003E-3</v>
      </c>
      <c r="AJ31">
        <v>6.4000000000000003E-3</v>
      </c>
      <c r="AK31">
        <v>6.9699999999999996E-3</v>
      </c>
      <c r="AL31">
        <v>8.4399999999999996E-3</v>
      </c>
      <c r="AM31">
        <v>7.77E-3</v>
      </c>
      <c r="AN31">
        <v>8.4399999999999996E-3</v>
      </c>
      <c r="AO31">
        <v>1.4330000000000001E-2</v>
      </c>
      <c r="AP31">
        <v>8.3899999999999999E-3</v>
      </c>
      <c r="AQ31">
        <v>1.0749999999999999E-2</v>
      </c>
      <c r="AR31">
        <v>8.9800000000000001E-3</v>
      </c>
      <c r="AS31">
        <v>9.4599999999999997E-3</v>
      </c>
      <c r="AT31">
        <v>7.4099999999999999E-3</v>
      </c>
      <c r="AU31">
        <v>8.1300000000000001E-3</v>
      </c>
      <c r="AV31">
        <v>1.034E-2</v>
      </c>
      <c r="AW31">
        <v>8.5400000000000007E-3</v>
      </c>
      <c r="AX31">
        <v>8.2699999999999996E-3</v>
      </c>
      <c r="AY31">
        <v>8.4600000000000005E-3</v>
      </c>
      <c r="AZ31">
        <v>7.5900000000000004E-3</v>
      </c>
      <c r="BA31">
        <v>9.5899999999999996E-3</v>
      </c>
      <c r="BB31">
        <v>7.7000000000000002E-3</v>
      </c>
      <c r="BC31">
        <v>8.5199999999999998E-3</v>
      </c>
      <c r="BE31">
        <v>1.076E-2</v>
      </c>
      <c r="BF31">
        <v>1.1849999999999999E-2</v>
      </c>
      <c r="BG31">
        <v>8.0400000000000003E-3</v>
      </c>
      <c r="BH31">
        <v>8.8199999999999997E-3</v>
      </c>
      <c r="BI31">
        <v>1.2019999999999999E-2</v>
      </c>
      <c r="BJ31">
        <v>8.4899999999999993E-3</v>
      </c>
      <c r="BK31">
        <v>8.7799999999999996E-3</v>
      </c>
      <c r="BL31">
        <v>8.8999999999999999E-3</v>
      </c>
      <c r="BM31">
        <v>8.4399999999999996E-3</v>
      </c>
      <c r="BN31">
        <v>6.0899999999999999E-3</v>
      </c>
      <c r="BO31">
        <v>9.7400000000000004E-3</v>
      </c>
      <c r="BP31">
        <v>7.3099999999999997E-3</v>
      </c>
      <c r="BR31">
        <v>7.1900000000000002E-3</v>
      </c>
      <c r="BS31">
        <v>1.3310000000000001E-2</v>
      </c>
      <c r="BT31">
        <v>9.8499999999999994E-3</v>
      </c>
      <c r="BU31">
        <v>1.0200000000000001E-2</v>
      </c>
      <c r="BV31">
        <v>1.035E-2</v>
      </c>
      <c r="BW31">
        <v>9.9600000000000001E-3</v>
      </c>
      <c r="BX31">
        <v>9.6500000000000006E-3</v>
      </c>
      <c r="BY31">
        <v>0.01</v>
      </c>
      <c r="BZ31">
        <v>9.0900000000000009E-3</v>
      </c>
      <c r="CA31">
        <v>9.2700000000000005E-3</v>
      </c>
      <c r="CB31">
        <v>7.1300000000000001E-3</v>
      </c>
      <c r="CC31">
        <v>7.8499999999999993E-3</v>
      </c>
      <c r="CD31">
        <v>6.6699999999999997E-3</v>
      </c>
      <c r="CE31">
        <v>5.5900000000000004E-3</v>
      </c>
      <c r="CF31">
        <v>5.47E-3</v>
      </c>
      <c r="CG31">
        <v>5.3600000000000002E-3</v>
      </c>
      <c r="CH31">
        <v>5.3699999999999998E-3</v>
      </c>
      <c r="CI31">
        <v>5.3899999999999998E-3</v>
      </c>
      <c r="CJ31">
        <v>5.5100000000000001E-3</v>
      </c>
      <c r="CK31">
        <v>6.4200000000000004E-3</v>
      </c>
      <c r="CL31">
        <v>5.8399999999999997E-3</v>
      </c>
      <c r="CM31">
        <v>6.4700000000000001E-3</v>
      </c>
      <c r="CN31">
        <v>7.1599999999999997E-3</v>
      </c>
      <c r="CP31">
        <v>7.3899999999999999E-3</v>
      </c>
      <c r="CQ31">
        <v>6.0600000000000003E-3</v>
      </c>
      <c r="CR31">
        <v>6.5599999999999999E-3</v>
      </c>
      <c r="CS31">
        <v>7.3800000000000003E-3</v>
      </c>
      <c r="CT31">
        <v>7.8100000000000001E-3</v>
      </c>
      <c r="CU31">
        <v>6.0800000000000003E-3</v>
      </c>
      <c r="CV31">
        <v>5.77E-3</v>
      </c>
      <c r="CW31">
        <v>6.4000000000000003E-3</v>
      </c>
      <c r="CX31">
        <v>6.2399999999999999E-3</v>
      </c>
      <c r="CY31">
        <v>6.5799999999999999E-3</v>
      </c>
      <c r="CZ31">
        <v>5.7099999999999998E-3</v>
      </c>
      <c r="DA31">
        <v>5.5100000000000001E-3</v>
      </c>
      <c r="DB31">
        <v>5.4000000000000003E-3</v>
      </c>
      <c r="DC31">
        <v>5.3099999999999996E-3</v>
      </c>
      <c r="DD31">
        <v>5.1999999999999998E-3</v>
      </c>
      <c r="DE31">
        <v>5.1200000000000004E-3</v>
      </c>
      <c r="DF31">
        <v>9.9399999999999992E-3</v>
      </c>
      <c r="DG31">
        <v>6.1199999999999996E-3</v>
      </c>
      <c r="DH31">
        <v>8.7399999999999995E-3</v>
      </c>
      <c r="DI31">
        <v>8.2199999999999999E-3</v>
      </c>
      <c r="DJ31">
        <v>8.1099999999999992E-3</v>
      </c>
      <c r="DK31">
        <v>7.9399999999999991E-3</v>
      </c>
      <c r="DL31">
        <v>7.8600000000000007E-3</v>
      </c>
      <c r="DM31">
        <v>7.1999999999999998E-3</v>
      </c>
      <c r="DN31">
        <v>7.7299999999999999E-3</v>
      </c>
      <c r="DO31">
        <v>7.0299999999999998E-3</v>
      </c>
      <c r="DR31">
        <v>8.1099999999999992E-3</v>
      </c>
      <c r="DS31">
        <v>9.2200000000000008E-3</v>
      </c>
      <c r="DT31">
        <v>8.4100000000000008E-3</v>
      </c>
      <c r="DU31">
        <v>7.62E-3</v>
      </c>
      <c r="DV31">
        <v>9.2599999999999991E-3</v>
      </c>
      <c r="DW31">
        <v>8.9599999999999992E-3</v>
      </c>
      <c r="DX31">
        <v>8.3700000000000007E-3</v>
      </c>
      <c r="DY31">
        <v>1.0670000000000001E-2</v>
      </c>
      <c r="DZ31">
        <v>7.8700000000000003E-3</v>
      </c>
      <c r="EA31">
        <v>6.43E-3</v>
      </c>
      <c r="EB31">
        <v>6.3E-3</v>
      </c>
      <c r="EC31">
        <v>5.7800000000000004E-3</v>
      </c>
      <c r="EH31">
        <v>2.4219999999999998E-2</v>
      </c>
      <c r="EI31">
        <v>6.6699999999999997E-3</v>
      </c>
      <c r="EJ31">
        <v>5.62E-3</v>
      </c>
      <c r="EK31">
        <v>6.3099999999999996E-3</v>
      </c>
      <c r="EL31">
        <v>6.96E-3</v>
      </c>
      <c r="EM31">
        <v>7.3699999999999998E-3</v>
      </c>
      <c r="EN31">
        <v>7.6299999999999996E-3</v>
      </c>
      <c r="EO31">
        <v>7.79E-3</v>
      </c>
      <c r="EP31">
        <v>8.0400000000000003E-3</v>
      </c>
      <c r="EQ31">
        <v>8.1399999999999997E-3</v>
      </c>
      <c r="ER31">
        <v>8.1200000000000005E-3</v>
      </c>
      <c r="ES31">
        <v>7.4700000000000001E-3</v>
      </c>
      <c r="ET31">
        <v>8.3199999999999993E-3</v>
      </c>
      <c r="EU31">
        <v>1.1809999999999999E-2</v>
      </c>
      <c r="EV31">
        <v>1.0880000000000001E-2</v>
      </c>
      <c r="EW31">
        <v>1.026E-2</v>
      </c>
      <c r="EX31">
        <v>1.0529999999999999E-2</v>
      </c>
      <c r="EY31">
        <v>6.9800000000000001E-3</v>
      </c>
      <c r="FA31">
        <v>7.8399999999999997E-3</v>
      </c>
      <c r="FB31">
        <v>8.3099999999999997E-3</v>
      </c>
      <c r="FC31">
        <v>7.3800000000000003E-3</v>
      </c>
      <c r="FD31">
        <v>7.0099999999999997E-3</v>
      </c>
      <c r="FE31">
        <v>8.2000000000000007E-3</v>
      </c>
      <c r="FF31">
        <v>4.6800000000000001E-3</v>
      </c>
      <c r="FG31">
        <v>9.1400000000000006E-3</v>
      </c>
      <c r="FH31">
        <v>9.92E-3</v>
      </c>
      <c r="FI31">
        <v>9.2200000000000008E-3</v>
      </c>
      <c r="FJ31">
        <v>9.1299999999999992E-3</v>
      </c>
      <c r="FK31">
        <v>8.6300000000000005E-3</v>
      </c>
      <c r="FL31">
        <v>5.9800000000000001E-3</v>
      </c>
      <c r="FN31">
        <v>8.5299999999999994E-3</v>
      </c>
      <c r="FO31">
        <v>7.28E-3</v>
      </c>
      <c r="FP31">
        <v>6.7499999999999999E-3</v>
      </c>
      <c r="FQ31">
        <v>9.5399999999999999E-3</v>
      </c>
      <c r="FR31">
        <v>1.0370000000000001E-2</v>
      </c>
      <c r="FS31">
        <v>1.039E-2</v>
      </c>
      <c r="FT31">
        <v>9.4000000000000004E-3</v>
      </c>
      <c r="FU31">
        <v>8.8999999999999999E-3</v>
      </c>
      <c r="FV31">
        <v>8.4799999999999997E-3</v>
      </c>
      <c r="FW31">
        <v>8.4100000000000008E-3</v>
      </c>
      <c r="FX31">
        <v>8.7200000000000003E-3</v>
      </c>
      <c r="FY31">
        <v>9.2899999999999996E-3</v>
      </c>
      <c r="FZ31">
        <v>8.6E-3</v>
      </c>
      <c r="GA31">
        <v>9.2099999999999994E-3</v>
      </c>
      <c r="GC31">
        <v>9.2399999999999999E-3</v>
      </c>
      <c r="GD31">
        <v>8.5299999999999994E-3</v>
      </c>
      <c r="GE31">
        <v>9.2099999999999994E-3</v>
      </c>
      <c r="GF31">
        <v>7.8700000000000003E-3</v>
      </c>
      <c r="GG31">
        <v>7.8899999999999994E-3</v>
      </c>
      <c r="GH31">
        <v>8.0400000000000003E-3</v>
      </c>
      <c r="GI31">
        <v>8.7299999999999999E-3</v>
      </c>
      <c r="GJ31">
        <v>8.8699999999999994E-3</v>
      </c>
      <c r="GK31">
        <v>9.0500000000000008E-3</v>
      </c>
      <c r="GL31">
        <v>9.4299999999999991E-3</v>
      </c>
      <c r="GM31">
        <v>8.2100000000000003E-3</v>
      </c>
      <c r="GO31">
        <v>8.3300000000000006E-3</v>
      </c>
      <c r="GP31">
        <v>8.2699999999999996E-3</v>
      </c>
      <c r="GQ31">
        <v>8.6400000000000001E-3</v>
      </c>
      <c r="GR31">
        <v>0.01</v>
      </c>
      <c r="GS31">
        <v>7.7499999999999999E-3</v>
      </c>
      <c r="GT31">
        <v>8.2799999999999992E-3</v>
      </c>
      <c r="GU31">
        <v>5.9800000000000001E-3</v>
      </c>
      <c r="GV31">
        <v>9.4299999999999991E-3</v>
      </c>
      <c r="GW31">
        <v>9.7599999999999996E-3</v>
      </c>
      <c r="GX31">
        <v>8.8000000000000005E-3</v>
      </c>
      <c r="GY31">
        <v>1.0410000000000001E-2</v>
      </c>
      <c r="GZ31">
        <v>8.8400000000000006E-3</v>
      </c>
      <c r="HC31">
        <v>6.8500000000000002E-3</v>
      </c>
      <c r="HE31">
        <v>7.5300000000000002E-3</v>
      </c>
      <c r="HF31">
        <v>6.94E-3</v>
      </c>
      <c r="HH31">
        <v>9.0299999999999998E-3</v>
      </c>
      <c r="HI31">
        <v>0.01</v>
      </c>
      <c r="HK31">
        <v>9.1900000000000003E-3</v>
      </c>
      <c r="HL31">
        <v>8.7399999999999995E-3</v>
      </c>
      <c r="HM31">
        <v>8.5699999999999995E-3</v>
      </c>
      <c r="HN31">
        <v>8.3400000000000002E-3</v>
      </c>
      <c r="HO31">
        <v>8.3300000000000006E-3</v>
      </c>
      <c r="HQ31">
        <v>8.9300000000000004E-3</v>
      </c>
      <c r="HR31">
        <v>1.057E-2</v>
      </c>
      <c r="HS31">
        <v>1.269E-2</v>
      </c>
      <c r="HT31">
        <v>7.8600000000000007E-3</v>
      </c>
      <c r="HU31">
        <v>6.0299999999999998E-3</v>
      </c>
      <c r="HV31">
        <v>8.2699999999999996E-3</v>
      </c>
      <c r="HW31">
        <v>6.3099999999999996E-3</v>
      </c>
      <c r="HX31">
        <v>1.0109999999999999E-2</v>
      </c>
      <c r="HY31">
        <v>7.8799999999999999E-3</v>
      </c>
      <c r="IA31">
        <v>8.8699999999999994E-3</v>
      </c>
      <c r="IB31">
        <v>1.06E-2</v>
      </c>
      <c r="IC31">
        <v>8.5000000000000006E-3</v>
      </c>
      <c r="ID31">
        <v>6.9800000000000001E-3</v>
      </c>
      <c r="IE31">
        <v>6.3899999999999998E-3</v>
      </c>
      <c r="IF31">
        <v>6.4099999999999999E-3</v>
      </c>
      <c r="IG31">
        <v>7.4200000000000004E-3</v>
      </c>
      <c r="IH31">
        <v>8.1799999999999998E-3</v>
      </c>
      <c r="II31">
        <v>5.7999999999999996E-3</v>
      </c>
      <c r="IJ31">
        <v>6.8599999999999998E-3</v>
      </c>
      <c r="IK31">
        <v>7.4900000000000001E-3</v>
      </c>
      <c r="IL31">
        <v>8.3000000000000001E-3</v>
      </c>
      <c r="IM31">
        <v>9.2099999999999994E-3</v>
      </c>
      <c r="IN31">
        <v>9.9799999999999993E-3</v>
      </c>
      <c r="IO31">
        <v>1.094E-2</v>
      </c>
      <c r="IP31">
        <v>1.3339999999999999E-2</v>
      </c>
      <c r="IQ31">
        <v>1.447E-2</v>
      </c>
      <c r="IR31">
        <v>1.6230000000000001E-2</v>
      </c>
      <c r="IS31">
        <v>5.1000000000000004E-3</v>
      </c>
      <c r="IT31">
        <v>6.1399999999999996E-3</v>
      </c>
      <c r="IU31">
        <v>7.2199999999999999E-3</v>
      </c>
      <c r="IV31">
        <v>5.3899999999999998E-3</v>
      </c>
      <c r="IW31">
        <v>6.3099999999999996E-3</v>
      </c>
      <c r="IX31">
        <v>4.1900000000000001E-3</v>
      </c>
      <c r="IY31">
        <v>4.8799999999999998E-3</v>
      </c>
      <c r="IZ31">
        <v>4.7099999999999998E-3</v>
      </c>
      <c r="JB31">
        <v>5.5100000000000001E-3</v>
      </c>
      <c r="JC31">
        <v>5.9699999999999996E-3</v>
      </c>
      <c r="JD31">
        <v>6.3600000000000002E-3</v>
      </c>
      <c r="JE31">
        <v>5.3499999999999997E-3</v>
      </c>
      <c r="JF31">
        <v>6.3200000000000001E-3</v>
      </c>
      <c r="JG31">
        <v>7.1999999999999998E-3</v>
      </c>
      <c r="JH31">
        <v>1.3050000000000001E-2</v>
      </c>
      <c r="JI31">
        <v>8.6899999999999998E-3</v>
      </c>
      <c r="JJ31">
        <v>7.3800000000000003E-3</v>
      </c>
      <c r="JK31">
        <v>1.142E-2</v>
      </c>
      <c r="JL31">
        <v>9.7900000000000001E-3</v>
      </c>
      <c r="JM31">
        <v>7.4400000000000004E-3</v>
      </c>
      <c r="JN31">
        <v>1.052E-2</v>
      </c>
      <c r="JP31">
        <v>8.1799999999999998E-3</v>
      </c>
      <c r="JQ31">
        <v>6.2199999999999998E-3</v>
      </c>
      <c r="JR31">
        <v>6.8599999999999998E-3</v>
      </c>
      <c r="JS31">
        <v>6.1700000000000001E-3</v>
      </c>
      <c r="JU31">
        <v>7.4700000000000001E-3</v>
      </c>
      <c r="JV31">
        <v>6.6499999999999997E-3</v>
      </c>
      <c r="JW31">
        <v>7.62E-3</v>
      </c>
      <c r="JX31">
        <v>6.96E-3</v>
      </c>
      <c r="JY31">
        <v>8.0599999999999995E-3</v>
      </c>
      <c r="JZ31">
        <v>8.8900000000000003E-3</v>
      </c>
      <c r="KA31">
        <v>8.8299999999999993E-3</v>
      </c>
      <c r="KB31">
        <v>6.4599999999999996E-3</v>
      </c>
      <c r="KC31">
        <v>6.7600000000000004E-3</v>
      </c>
      <c r="KD31">
        <v>7.3099999999999997E-3</v>
      </c>
      <c r="KE31">
        <v>8.09E-3</v>
      </c>
      <c r="KF31">
        <v>1.035E-2</v>
      </c>
      <c r="KG31">
        <v>1.248E-2</v>
      </c>
      <c r="KH31">
        <v>9.8899999999999995E-3</v>
      </c>
      <c r="KI31">
        <v>9.4800000000000006E-3</v>
      </c>
      <c r="KJ31">
        <v>9.5200000000000007E-3</v>
      </c>
      <c r="KK31">
        <v>9.58E-3</v>
      </c>
      <c r="KL31">
        <v>9.7400000000000004E-3</v>
      </c>
      <c r="KM31">
        <v>9.9900000000000006E-3</v>
      </c>
      <c r="KN31">
        <v>5.79E-3</v>
      </c>
      <c r="KO31">
        <v>6.1399999999999996E-3</v>
      </c>
      <c r="KP31">
        <v>8.8000000000000005E-3</v>
      </c>
      <c r="KQ31">
        <v>9.1500000000000001E-3</v>
      </c>
      <c r="KR31">
        <v>9.92E-3</v>
      </c>
      <c r="KS31">
        <v>7.6499999999999997E-3</v>
      </c>
      <c r="KT31">
        <v>8.1700000000000002E-3</v>
      </c>
      <c r="KU31">
        <v>5.7400000000000003E-3</v>
      </c>
      <c r="KV31">
        <v>5.2399999999999999E-3</v>
      </c>
      <c r="KW31">
        <v>5.7400000000000003E-3</v>
      </c>
      <c r="KX31">
        <v>1.315E-2</v>
      </c>
      <c r="KY31">
        <v>5.9699999999999996E-3</v>
      </c>
      <c r="LA31">
        <v>7.5500000000000003E-3</v>
      </c>
      <c r="LB31">
        <v>7.1199999999999996E-3</v>
      </c>
      <c r="LC31">
        <v>7.3200000000000001E-3</v>
      </c>
      <c r="LD31">
        <v>7.3200000000000001E-3</v>
      </c>
      <c r="LE31">
        <v>1.095E-2</v>
      </c>
      <c r="LF31">
        <v>1.06E-2</v>
      </c>
      <c r="LG31">
        <v>9.9900000000000006E-3</v>
      </c>
      <c r="LI31">
        <v>1.0840000000000001E-2</v>
      </c>
      <c r="LJ31">
        <v>1.1270000000000001E-2</v>
      </c>
      <c r="LK31">
        <v>1.1209999999999999E-2</v>
      </c>
      <c r="LL31">
        <v>8.4200000000000004E-3</v>
      </c>
      <c r="LM31">
        <v>6.0400000000000002E-3</v>
      </c>
      <c r="LN31">
        <v>9.1800000000000007E-3</v>
      </c>
      <c r="LO31">
        <v>9.3699999999999999E-3</v>
      </c>
      <c r="LP31">
        <v>7.7299999999999999E-3</v>
      </c>
      <c r="LS31">
        <v>1.227E-2</v>
      </c>
      <c r="LT31">
        <v>7.5799999999999999E-3</v>
      </c>
      <c r="LV31">
        <v>1.3849999999999999E-2</v>
      </c>
      <c r="LW31">
        <v>4.9500000000000004E-3</v>
      </c>
      <c r="LX31">
        <v>5.7400000000000003E-3</v>
      </c>
      <c r="LY31">
        <v>8.6400000000000001E-3</v>
      </c>
      <c r="LZ31">
        <v>8.7299999999999999E-3</v>
      </c>
      <c r="MA31">
        <v>8.5900000000000004E-3</v>
      </c>
      <c r="MB31">
        <v>4.4099999999999999E-3</v>
      </c>
      <c r="MD31">
        <v>1.149E-2</v>
      </c>
      <c r="ME31">
        <v>1.4290000000000001E-2</v>
      </c>
      <c r="MF31">
        <v>1.6369999999999999E-2</v>
      </c>
      <c r="MH31">
        <v>7.8799999999999999E-3</v>
      </c>
      <c r="MI31">
        <v>9.1999999999999998E-3</v>
      </c>
      <c r="MJ31">
        <v>8.9999999999999993E-3</v>
      </c>
      <c r="MK31">
        <v>9.0900000000000009E-3</v>
      </c>
      <c r="ML31">
        <v>1.069E-2</v>
      </c>
      <c r="MM31">
        <v>9.4999999999999998E-3</v>
      </c>
      <c r="MN31">
        <v>6.1799999999999997E-3</v>
      </c>
      <c r="MO31">
        <v>6.7799999999999996E-3</v>
      </c>
      <c r="MP31">
        <v>6.94E-3</v>
      </c>
      <c r="MQ31">
        <v>5.5399999999999998E-3</v>
      </c>
      <c r="MR31">
        <v>6.96E-3</v>
      </c>
      <c r="MS31">
        <v>7.7200000000000003E-3</v>
      </c>
      <c r="MU31">
        <v>5.4599999999999996E-3</v>
      </c>
      <c r="MV31">
        <v>6.3299999999999997E-3</v>
      </c>
      <c r="MW31">
        <v>6.7299999999999999E-3</v>
      </c>
      <c r="MX31">
        <v>6.94E-3</v>
      </c>
      <c r="MY31">
        <v>7.5399999999999998E-3</v>
      </c>
      <c r="MZ31">
        <v>8.3599999999999994E-3</v>
      </c>
      <c r="NA31">
        <v>7.7099999999999998E-3</v>
      </c>
      <c r="NB31">
        <v>7.7400000000000004E-3</v>
      </c>
      <c r="NC31">
        <v>4.9500000000000004E-3</v>
      </c>
      <c r="ND31">
        <v>1.3390000000000001E-2</v>
      </c>
      <c r="NE31">
        <v>9.0500000000000008E-3</v>
      </c>
      <c r="NF31">
        <v>9.2300000000000004E-3</v>
      </c>
      <c r="NG31">
        <v>5.6899999999999997E-3</v>
      </c>
      <c r="NH31">
        <v>4.6600000000000001E-3</v>
      </c>
      <c r="NI31">
        <v>5.1000000000000004E-3</v>
      </c>
      <c r="NJ31">
        <v>5.6600000000000001E-3</v>
      </c>
      <c r="NL31">
        <v>5.3800000000000002E-3</v>
      </c>
      <c r="NM31">
        <v>5.7000000000000002E-3</v>
      </c>
      <c r="NN31">
        <v>6.0200000000000002E-3</v>
      </c>
      <c r="NO31">
        <v>6.2500000000000003E-3</v>
      </c>
      <c r="NP31">
        <v>5.1200000000000004E-3</v>
      </c>
      <c r="NQ31">
        <v>5.4599999999999996E-3</v>
      </c>
      <c r="NR31">
        <v>5.45E-3</v>
      </c>
      <c r="NS31">
        <v>5.7299999999999999E-3</v>
      </c>
      <c r="NT31">
        <v>6.2899999999999996E-3</v>
      </c>
      <c r="NU31">
        <v>5.13E-3</v>
      </c>
      <c r="NV31">
        <v>5.4200000000000003E-3</v>
      </c>
      <c r="NW31">
        <v>5.4799999999999996E-3</v>
      </c>
      <c r="NX31">
        <v>5.6699999999999997E-3</v>
      </c>
      <c r="NY31">
        <v>5.79E-3</v>
      </c>
      <c r="NZ31">
        <v>6.0899999999999999E-3</v>
      </c>
      <c r="OA31">
        <v>6.3400000000000001E-3</v>
      </c>
      <c r="OC31">
        <v>5.4799999999999996E-3</v>
      </c>
      <c r="OD31">
        <v>5.6299999999999996E-3</v>
      </c>
      <c r="OE31">
        <v>5.6299999999999996E-3</v>
      </c>
      <c r="OF31">
        <v>8.1799999999999998E-3</v>
      </c>
      <c r="OG31">
        <v>5.8500000000000002E-3</v>
      </c>
      <c r="OH31">
        <v>6.13E-3</v>
      </c>
      <c r="OI31">
        <v>6.4400000000000004E-3</v>
      </c>
      <c r="OJ31">
        <v>6.6699999999999997E-3</v>
      </c>
      <c r="OK31">
        <v>6.8599999999999998E-3</v>
      </c>
      <c r="OL31">
        <v>7.1199999999999996E-3</v>
      </c>
      <c r="OM31">
        <v>5.3200000000000001E-3</v>
      </c>
      <c r="ON31">
        <v>5.5900000000000004E-3</v>
      </c>
      <c r="OO31">
        <v>5.9100000000000003E-3</v>
      </c>
      <c r="OP31">
        <v>6.4700000000000001E-3</v>
      </c>
      <c r="OQ31">
        <v>6.7400000000000003E-3</v>
      </c>
      <c r="OR31">
        <v>6.9800000000000001E-3</v>
      </c>
      <c r="OS31">
        <v>7.8200000000000006E-3</v>
      </c>
      <c r="OT31">
        <v>5.8799999999999998E-3</v>
      </c>
      <c r="OU31">
        <v>5.7400000000000003E-3</v>
      </c>
      <c r="OV31">
        <v>5.8500000000000002E-3</v>
      </c>
      <c r="OW31">
        <v>3.7799999999999999E-3</v>
      </c>
      <c r="OX31">
        <v>3.64E-3</v>
      </c>
      <c r="OY31">
        <v>4.13E-3</v>
      </c>
      <c r="OZ31">
        <v>5.0600000000000003E-3</v>
      </c>
      <c r="PA31">
        <v>1.051E-2</v>
      </c>
      <c r="PB31">
        <v>1.1379999999999999E-2</v>
      </c>
      <c r="PC31">
        <v>8.8699999999999994E-3</v>
      </c>
      <c r="PD31">
        <v>7.5799999999999999E-3</v>
      </c>
      <c r="PF31">
        <v>6.5500000000000003E-3</v>
      </c>
      <c r="PG31">
        <v>6.1000000000000004E-3</v>
      </c>
      <c r="PH31">
        <v>6.3299999999999997E-3</v>
      </c>
      <c r="PI31">
        <v>8.1300000000000001E-3</v>
      </c>
      <c r="PJ31">
        <v>7.5399999999999998E-3</v>
      </c>
      <c r="PK31">
        <v>6.8599999999999998E-3</v>
      </c>
      <c r="PL31">
        <v>6.28E-3</v>
      </c>
      <c r="PM31">
        <v>5.7499999999999999E-3</v>
      </c>
      <c r="PP31">
        <v>6.1900000000000002E-3</v>
      </c>
      <c r="PQ31">
        <v>6.2300000000000003E-3</v>
      </c>
      <c r="PR31">
        <v>5.6299999999999996E-3</v>
      </c>
      <c r="PS31">
        <v>6.7200000000000003E-3</v>
      </c>
      <c r="PT31">
        <v>6.4999999999999997E-3</v>
      </c>
      <c r="PU31">
        <v>5.0400000000000002E-3</v>
      </c>
      <c r="PV31">
        <v>5.7800000000000004E-3</v>
      </c>
      <c r="PW31">
        <v>6.2700000000000004E-3</v>
      </c>
      <c r="PZ31">
        <v>9.6200000000000001E-3</v>
      </c>
      <c r="QA31">
        <v>4.4200000000000003E-3</v>
      </c>
      <c r="QB31">
        <v>4.6699999999999997E-3</v>
      </c>
      <c r="QC31">
        <v>6.0600000000000003E-3</v>
      </c>
      <c r="QD31">
        <v>5.2300000000000003E-3</v>
      </c>
      <c r="QE31">
        <v>4.9899999999999996E-3</v>
      </c>
      <c r="QF31">
        <v>4.9800000000000001E-3</v>
      </c>
      <c r="QG31">
        <v>6.5599999999999999E-3</v>
      </c>
      <c r="QI31">
        <v>5.2700000000000004E-3</v>
      </c>
      <c r="QJ31">
        <v>5.2500000000000003E-3</v>
      </c>
      <c r="QK31">
        <v>5.0499999999999998E-3</v>
      </c>
      <c r="QL31">
        <v>4.8599999999999997E-3</v>
      </c>
      <c r="QM31">
        <v>5.6899999999999997E-3</v>
      </c>
      <c r="QN31">
        <v>7.6099999999999996E-3</v>
      </c>
      <c r="QO31">
        <v>6.8900000000000003E-3</v>
      </c>
      <c r="QP31">
        <v>7.0400000000000003E-3</v>
      </c>
      <c r="QQ31">
        <v>7.3400000000000002E-3</v>
      </c>
      <c r="QR31">
        <v>9.0900000000000009E-3</v>
      </c>
      <c r="QS31">
        <v>9.0500000000000008E-3</v>
      </c>
      <c r="QT31">
        <v>6.9199999999999999E-3</v>
      </c>
      <c r="QU31">
        <v>7.0299999999999998E-3</v>
      </c>
      <c r="QV31">
        <v>7.1500000000000001E-3</v>
      </c>
      <c r="QW31">
        <v>6.77E-3</v>
      </c>
      <c r="QX31">
        <v>6.5900000000000004E-3</v>
      </c>
      <c r="QY31">
        <v>6.1700000000000001E-3</v>
      </c>
      <c r="QZ31">
        <v>6.62E-3</v>
      </c>
      <c r="RA31">
        <v>8.0400000000000003E-3</v>
      </c>
      <c r="RB31">
        <v>9.9299999999999996E-3</v>
      </c>
      <c r="RC31">
        <v>8.0999999999999996E-3</v>
      </c>
      <c r="RD31">
        <v>1.4999999999999999E-2</v>
      </c>
      <c r="RE31">
        <v>1.1650000000000001E-2</v>
      </c>
      <c r="RF31">
        <v>9.2200000000000008E-3</v>
      </c>
      <c r="RG31">
        <v>6.3099999999999996E-3</v>
      </c>
      <c r="RH31">
        <v>5.8999999999999999E-3</v>
      </c>
      <c r="RI31">
        <v>9.5399999999999999E-3</v>
      </c>
      <c r="RJ31">
        <v>9.5200000000000007E-3</v>
      </c>
      <c r="RK31">
        <v>9.2399999999999999E-3</v>
      </c>
      <c r="RL31">
        <v>8.3599999999999994E-3</v>
      </c>
      <c r="RM31">
        <v>5.1700000000000001E-3</v>
      </c>
      <c r="RN31">
        <v>5.1999999999999998E-3</v>
      </c>
      <c r="RO31">
        <v>5.1999999999999998E-3</v>
      </c>
      <c r="RP31">
        <v>4.8199999999999996E-3</v>
      </c>
      <c r="RQ31">
        <v>5.2599999999999999E-3</v>
      </c>
      <c r="RR31">
        <v>4.9800000000000001E-3</v>
      </c>
      <c r="RS31">
        <v>5.1200000000000004E-3</v>
      </c>
      <c r="RT31">
        <v>4.3200000000000001E-3</v>
      </c>
      <c r="RU31">
        <v>5.1200000000000004E-3</v>
      </c>
      <c r="RV31">
        <v>5.7999999999999996E-3</v>
      </c>
      <c r="RW31">
        <v>6.4799999999999996E-3</v>
      </c>
      <c r="RX31">
        <v>5.8199999999999997E-3</v>
      </c>
      <c r="RY31">
        <v>4.1399999999999996E-3</v>
      </c>
      <c r="RZ31">
        <v>6.5599999999999999E-3</v>
      </c>
      <c r="SA31">
        <v>1.0970000000000001E-2</v>
      </c>
      <c r="SB31">
        <v>9.8600000000000007E-3</v>
      </c>
      <c r="SC31">
        <v>7.5500000000000003E-3</v>
      </c>
      <c r="SD31">
        <v>7.7499999999999999E-3</v>
      </c>
      <c r="SF31">
        <v>7.9299999999999995E-3</v>
      </c>
      <c r="SG31">
        <v>1.01E-2</v>
      </c>
      <c r="SH31">
        <v>1.264E-2</v>
      </c>
      <c r="SI31">
        <v>7.11E-3</v>
      </c>
      <c r="SJ31">
        <v>5.64E-3</v>
      </c>
      <c r="SK31">
        <v>5.0800000000000003E-3</v>
      </c>
      <c r="SM31">
        <v>4.7200000000000002E-3</v>
      </c>
      <c r="SN31">
        <v>4.6899999999999997E-3</v>
      </c>
      <c r="SP31">
        <v>6.3499999999999997E-3</v>
      </c>
      <c r="SQ31">
        <v>5.8700000000000002E-3</v>
      </c>
      <c r="SR31">
        <v>5.8900000000000003E-3</v>
      </c>
      <c r="SS31">
        <v>5.0200000000000002E-3</v>
      </c>
      <c r="ST31">
        <v>4.9399999999999999E-3</v>
      </c>
      <c r="SU31">
        <v>5.4999999999999997E-3</v>
      </c>
      <c r="SV31">
        <v>5.1799999999999997E-3</v>
      </c>
      <c r="SW31">
        <v>5.4799999999999996E-3</v>
      </c>
      <c r="SX31">
        <v>6.4700000000000001E-3</v>
      </c>
      <c r="SY31">
        <v>5.2500000000000003E-3</v>
      </c>
      <c r="SZ31">
        <v>5.9800000000000001E-3</v>
      </c>
      <c r="TA31">
        <v>5.7800000000000004E-3</v>
      </c>
      <c r="TB31">
        <v>5.9199999999999999E-3</v>
      </c>
      <c r="TC31">
        <v>5.1900000000000002E-3</v>
      </c>
      <c r="TD31">
        <v>5.96E-3</v>
      </c>
      <c r="TE31">
        <v>7.5399999999999998E-3</v>
      </c>
      <c r="TF31">
        <v>6.7600000000000004E-3</v>
      </c>
      <c r="TG31">
        <v>6.3400000000000001E-3</v>
      </c>
      <c r="TH31">
        <v>8.1899999999999994E-3</v>
      </c>
      <c r="TI31">
        <v>5.5799999999999999E-3</v>
      </c>
      <c r="TJ31">
        <v>6.4099999999999999E-3</v>
      </c>
      <c r="TK31">
        <v>5.0400000000000002E-3</v>
      </c>
      <c r="TO31">
        <v>5.4999999999999997E-3</v>
      </c>
      <c r="TP31">
        <v>5.0800000000000003E-3</v>
      </c>
      <c r="TQ31">
        <v>5.3800000000000002E-3</v>
      </c>
      <c r="TR31">
        <v>6.6800000000000002E-3</v>
      </c>
      <c r="TS31">
        <v>7.2300000000000003E-3</v>
      </c>
      <c r="TT31">
        <v>7.0800000000000004E-3</v>
      </c>
      <c r="TV31">
        <v>5.8700000000000002E-3</v>
      </c>
      <c r="TW31">
        <v>5.1999999999999998E-3</v>
      </c>
      <c r="TX31">
        <v>5.2700000000000004E-3</v>
      </c>
      <c r="TY31">
        <v>4.7099999999999998E-3</v>
      </c>
      <c r="TZ31">
        <v>5.3E-3</v>
      </c>
      <c r="UA31">
        <v>4.8300000000000001E-3</v>
      </c>
      <c r="UB31">
        <v>5.0299999999999997E-3</v>
      </c>
      <c r="UC31">
        <v>4.9699999999999996E-3</v>
      </c>
      <c r="UD31">
        <v>4.9699999999999996E-3</v>
      </c>
      <c r="UE31">
        <v>5.0000000000000001E-3</v>
      </c>
      <c r="UF31">
        <v>4.8599999999999997E-3</v>
      </c>
      <c r="UH31">
        <v>5.7499999999999999E-3</v>
      </c>
      <c r="UI31">
        <v>5.4400000000000004E-3</v>
      </c>
      <c r="UJ31">
        <v>5.3200000000000001E-3</v>
      </c>
      <c r="UK31">
        <v>5.3200000000000001E-3</v>
      </c>
      <c r="UL31">
        <v>5.64E-3</v>
      </c>
      <c r="UM31">
        <v>6.3099999999999996E-3</v>
      </c>
      <c r="UN31">
        <v>5.0499999999999998E-3</v>
      </c>
      <c r="UO31">
        <v>5.4200000000000003E-3</v>
      </c>
      <c r="UP31">
        <v>7.3899999999999999E-3</v>
      </c>
      <c r="UQ31">
        <v>4.9199999999999999E-3</v>
      </c>
      <c r="UR31">
        <v>4.8900000000000002E-3</v>
      </c>
      <c r="US31">
        <v>5.4200000000000003E-3</v>
      </c>
      <c r="UT31">
        <v>4.9399999999999999E-3</v>
      </c>
      <c r="UU31">
        <v>5.1599999999999997E-3</v>
      </c>
      <c r="UV31">
        <v>5.3499999999999997E-3</v>
      </c>
      <c r="UX31">
        <v>5.3600000000000002E-3</v>
      </c>
      <c r="UY31">
        <v>5.6499999999999996E-3</v>
      </c>
      <c r="VA31">
        <v>8.3300000000000006E-3</v>
      </c>
      <c r="VB31">
        <v>6.0200000000000002E-3</v>
      </c>
      <c r="VE31">
        <v>8.7399999999999995E-3</v>
      </c>
      <c r="VF31">
        <v>1.328E-2</v>
      </c>
      <c r="VG31">
        <v>1.0540000000000001E-2</v>
      </c>
      <c r="VH31">
        <v>7.1700000000000002E-3</v>
      </c>
      <c r="VI31">
        <v>6.7400000000000003E-3</v>
      </c>
    </row>
    <row r="32" spans="1:581" x14ac:dyDescent="0.25">
      <c r="A32">
        <v>725000</v>
      </c>
      <c r="B32">
        <v>4.3499999999999997E-3</v>
      </c>
      <c r="C32">
        <v>4.2900000000000004E-3</v>
      </c>
      <c r="D32">
        <v>4.0299999999999997E-3</v>
      </c>
      <c r="E32">
        <v>4.0400000000000002E-3</v>
      </c>
      <c r="F32">
        <v>3.98E-3</v>
      </c>
      <c r="G32">
        <v>5.77E-3</v>
      </c>
      <c r="H32">
        <v>4.2500000000000003E-3</v>
      </c>
      <c r="I32">
        <v>4.1399999999999996E-3</v>
      </c>
      <c r="J32">
        <v>4.0299999999999997E-3</v>
      </c>
      <c r="K32">
        <v>5.11E-3</v>
      </c>
      <c r="L32">
        <v>4.3600000000000002E-3</v>
      </c>
      <c r="M32">
        <v>4.15E-3</v>
      </c>
      <c r="N32">
        <v>4.0800000000000003E-3</v>
      </c>
      <c r="O32">
        <v>5.9899999999999997E-3</v>
      </c>
      <c r="P32">
        <v>5.8300000000000001E-3</v>
      </c>
      <c r="Q32">
        <v>5.79E-3</v>
      </c>
      <c r="R32">
        <v>5.4599999999999996E-3</v>
      </c>
      <c r="T32">
        <v>4.79E-3</v>
      </c>
      <c r="U32">
        <v>6.11E-3</v>
      </c>
      <c r="V32">
        <v>4.8300000000000001E-3</v>
      </c>
      <c r="W32">
        <v>5.8399999999999997E-3</v>
      </c>
      <c r="X32">
        <v>4.7000000000000002E-3</v>
      </c>
      <c r="Y32">
        <v>5.4900000000000001E-3</v>
      </c>
      <c r="Z32">
        <v>4.3099999999999996E-3</v>
      </c>
      <c r="AA32">
        <v>8.2699999999999996E-3</v>
      </c>
      <c r="AB32">
        <v>7.3000000000000001E-3</v>
      </c>
      <c r="AC32">
        <v>7.79E-3</v>
      </c>
      <c r="AD32">
        <v>6.1599999999999997E-3</v>
      </c>
      <c r="AE32">
        <v>7.1000000000000004E-3</v>
      </c>
      <c r="AF32">
        <v>7.1199999999999996E-3</v>
      </c>
      <c r="AG32">
        <v>7.6400000000000001E-3</v>
      </c>
      <c r="AH32">
        <v>7.4999999999999997E-3</v>
      </c>
      <c r="AJ32">
        <v>6.2599999999999999E-3</v>
      </c>
      <c r="AK32">
        <v>6.8399999999999997E-3</v>
      </c>
      <c r="AL32">
        <v>8.3700000000000007E-3</v>
      </c>
      <c r="AM32">
        <v>7.5700000000000003E-3</v>
      </c>
      <c r="AN32">
        <v>8.2100000000000003E-3</v>
      </c>
      <c r="AO32">
        <v>1.404E-2</v>
      </c>
      <c r="AP32">
        <v>8.2000000000000007E-3</v>
      </c>
      <c r="AQ32">
        <v>1.0410000000000001E-2</v>
      </c>
      <c r="AR32">
        <v>8.8199999999999997E-3</v>
      </c>
      <c r="AS32">
        <v>9.2300000000000004E-3</v>
      </c>
      <c r="AT32">
        <v>7.2100000000000003E-3</v>
      </c>
      <c r="AU32">
        <v>7.9500000000000005E-3</v>
      </c>
      <c r="AV32">
        <v>9.9299999999999996E-3</v>
      </c>
      <c r="AW32">
        <v>8.3300000000000006E-3</v>
      </c>
      <c r="AX32">
        <v>8.0700000000000008E-3</v>
      </c>
      <c r="AY32">
        <v>8.2000000000000007E-3</v>
      </c>
      <c r="AZ32">
        <v>7.3499999999999998E-3</v>
      </c>
      <c r="BB32">
        <v>7.6099999999999996E-3</v>
      </c>
      <c r="BC32">
        <v>8.4100000000000008E-3</v>
      </c>
      <c r="BD32">
        <v>8.8900000000000003E-3</v>
      </c>
      <c r="BE32">
        <v>1.0630000000000001E-2</v>
      </c>
      <c r="BF32">
        <v>1.171E-2</v>
      </c>
      <c r="BG32">
        <v>7.9000000000000008E-3</v>
      </c>
      <c r="BH32">
        <v>8.6E-3</v>
      </c>
      <c r="BI32">
        <v>1.1849999999999999E-2</v>
      </c>
      <c r="BJ32">
        <v>8.3400000000000002E-3</v>
      </c>
      <c r="BK32">
        <v>8.6899999999999998E-3</v>
      </c>
      <c r="BL32">
        <v>8.77E-3</v>
      </c>
      <c r="BM32">
        <v>8.3199999999999993E-3</v>
      </c>
      <c r="BN32">
        <v>6.0699999999999999E-3</v>
      </c>
      <c r="BO32">
        <v>9.6500000000000006E-3</v>
      </c>
      <c r="BP32">
        <v>7.2399999999999999E-3</v>
      </c>
      <c r="BQ32">
        <v>6.3800000000000003E-3</v>
      </c>
      <c r="BR32">
        <v>7.11E-3</v>
      </c>
      <c r="BS32">
        <v>1.4030000000000001E-2</v>
      </c>
      <c r="BT32">
        <v>9.7400000000000004E-3</v>
      </c>
      <c r="BU32">
        <v>1.01E-2</v>
      </c>
      <c r="BV32">
        <v>1.0240000000000001E-2</v>
      </c>
      <c r="BW32">
        <v>9.8600000000000007E-3</v>
      </c>
      <c r="BX32">
        <v>9.5600000000000008E-3</v>
      </c>
      <c r="BY32">
        <v>9.92E-3</v>
      </c>
      <c r="BZ32">
        <v>8.9899999999999997E-3</v>
      </c>
      <c r="CA32">
        <v>9.1500000000000001E-3</v>
      </c>
      <c r="CB32">
        <v>7.0699999999999999E-3</v>
      </c>
      <c r="CC32">
        <v>7.7799999999999996E-3</v>
      </c>
      <c r="CD32">
        <v>6.5700000000000003E-3</v>
      </c>
      <c r="CE32">
        <v>5.5199999999999997E-3</v>
      </c>
      <c r="CF32">
        <v>5.3899999999999998E-3</v>
      </c>
      <c r="CG32">
        <v>5.2900000000000004E-3</v>
      </c>
      <c r="CH32">
        <v>5.28E-3</v>
      </c>
      <c r="CI32">
        <v>5.3099999999999996E-3</v>
      </c>
      <c r="CJ32">
        <v>5.4200000000000003E-3</v>
      </c>
      <c r="CK32">
        <v>6.3E-3</v>
      </c>
      <c r="CL32">
        <v>5.7600000000000004E-3</v>
      </c>
      <c r="CM32">
        <v>6.4099999999999999E-3</v>
      </c>
      <c r="CN32">
        <v>7.0800000000000004E-3</v>
      </c>
      <c r="CO32">
        <v>6.6499999999999997E-3</v>
      </c>
      <c r="CP32">
        <v>7.3099999999999997E-3</v>
      </c>
      <c r="CQ32">
        <v>5.9800000000000001E-3</v>
      </c>
      <c r="CR32">
        <v>6.5100000000000002E-3</v>
      </c>
      <c r="CS32">
        <v>7.3000000000000001E-3</v>
      </c>
      <c r="CT32">
        <v>7.7400000000000004E-3</v>
      </c>
      <c r="CU32">
        <v>6.0299999999999998E-3</v>
      </c>
      <c r="CV32">
        <v>5.7200000000000003E-3</v>
      </c>
      <c r="CW32">
        <v>6.3400000000000001E-3</v>
      </c>
      <c r="CX32">
        <v>6.1700000000000001E-3</v>
      </c>
      <c r="CY32">
        <v>6.4400000000000004E-3</v>
      </c>
      <c r="DA32">
        <v>5.47E-3</v>
      </c>
      <c r="DB32">
        <v>5.3600000000000002E-3</v>
      </c>
      <c r="DC32">
        <v>5.2599999999999999E-3</v>
      </c>
      <c r="DD32">
        <v>5.1599999999999997E-3</v>
      </c>
      <c r="DE32">
        <v>5.0699999999999999E-3</v>
      </c>
      <c r="DF32">
        <v>9.7800000000000005E-3</v>
      </c>
      <c r="DG32">
        <v>6.0099999999999997E-3</v>
      </c>
      <c r="DH32">
        <v>8.4799999999999997E-3</v>
      </c>
      <c r="DI32">
        <v>8.0599999999999995E-3</v>
      </c>
      <c r="DJ32">
        <v>7.9500000000000005E-3</v>
      </c>
      <c r="DK32">
        <v>7.79E-3</v>
      </c>
      <c r="DL32">
        <v>7.7299999999999999E-3</v>
      </c>
      <c r="DM32">
        <v>7.0099999999999997E-3</v>
      </c>
      <c r="DN32">
        <v>7.6099999999999996E-3</v>
      </c>
      <c r="DO32">
        <v>6.8399999999999997E-3</v>
      </c>
      <c r="DR32">
        <v>7.9100000000000004E-3</v>
      </c>
      <c r="DS32">
        <v>8.8500000000000002E-3</v>
      </c>
      <c r="DT32">
        <v>8.2100000000000003E-3</v>
      </c>
      <c r="DU32">
        <v>7.4900000000000001E-3</v>
      </c>
      <c r="DV32">
        <v>9.3900000000000008E-3</v>
      </c>
      <c r="DW32">
        <v>8.6899999999999998E-3</v>
      </c>
      <c r="DX32">
        <v>8.1600000000000006E-3</v>
      </c>
      <c r="DY32">
        <v>1.057E-2</v>
      </c>
      <c r="DZ32">
        <v>7.7400000000000004E-3</v>
      </c>
      <c r="EA32">
        <v>6.3299999999999997E-3</v>
      </c>
      <c r="EB32">
        <v>6.2100000000000002E-3</v>
      </c>
      <c r="EC32">
        <v>5.7000000000000002E-3</v>
      </c>
      <c r="EH32">
        <v>2.4109999999999999E-2</v>
      </c>
      <c r="EI32">
        <v>6.6400000000000001E-3</v>
      </c>
      <c r="EJ32">
        <v>5.5599999999999998E-3</v>
      </c>
      <c r="EK32">
        <v>6.2399999999999999E-3</v>
      </c>
      <c r="EL32">
        <v>6.8799999999999998E-3</v>
      </c>
      <c r="EM32">
        <v>7.2899999999999996E-3</v>
      </c>
      <c r="EN32">
        <v>7.5500000000000003E-3</v>
      </c>
      <c r="EO32">
        <v>7.7000000000000002E-3</v>
      </c>
      <c r="EP32">
        <v>7.9600000000000001E-3</v>
      </c>
      <c r="EQ32">
        <v>8.0499999999999999E-3</v>
      </c>
      <c r="ER32">
        <v>7.92E-3</v>
      </c>
      <c r="ES32">
        <v>7.3099999999999997E-3</v>
      </c>
      <c r="ET32">
        <v>8.0599999999999995E-3</v>
      </c>
      <c r="EU32">
        <v>1.1639999999999999E-2</v>
      </c>
      <c r="EV32">
        <v>1.0749999999999999E-2</v>
      </c>
      <c r="EW32">
        <v>1.014E-2</v>
      </c>
      <c r="EX32">
        <v>1.039E-2</v>
      </c>
      <c r="EY32">
        <v>6.9499999999999996E-3</v>
      </c>
      <c r="EZ32">
        <v>7.26E-3</v>
      </c>
      <c r="FA32">
        <v>7.6800000000000002E-3</v>
      </c>
      <c r="FB32">
        <v>8.1499999999999993E-3</v>
      </c>
      <c r="FC32">
        <v>7.28E-3</v>
      </c>
      <c r="FD32">
        <v>6.9100000000000003E-3</v>
      </c>
      <c r="FE32">
        <v>8.0400000000000003E-3</v>
      </c>
      <c r="FF32">
        <v>4.5999999999999999E-3</v>
      </c>
      <c r="FG32">
        <v>9.1000000000000004E-3</v>
      </c>
      <c r="FH32">
        <v>9.8200000000000006E-3</v>
      </c>
      <c r="FJ32">
        <v>9.0699999999999999E-3</v>
      </c>
      <c r="FK32">
        <v>8.5299999999999994E-3</v>
      </c>
      <c r="FL32">
        <v>5.9100000000000003E-3</v>
      </c>
      <c r="FN32">
        <v>8.3400000000000002E-3</v>
      </c>
      <c r="FO32">
        <v>7.1399999999999996E-3</v>
      </c>
      <c r="FP32">
        <v>6.6E-3</v>
      </c>
      <c r="FQ32">
        <v>9.2899999999999996E-3</v>
      </c>
      <c r="FR32">
        <v>1.005E-2</v>
      </c>
      <c r="FS32">
        <v>1.008E-2</v>
      </c>
      <c r="FT32">
        <v>9.1699999999999993E-3</v>
      </c>
      <c r="FU32">
        <v>8.7299999999999999E-3</v>
      </c>
      <c r="FV32">
        <v>8.3800000000000003E-3</v>
      </c>
      <c r="FW32">
        <v>8.26E-3</v>
      </c>
      <c r="FX32">
        <v>8.6300000000000005E-3</v>
      </c>
      <c r="FY32">
        <v>9.1500000000000001E-3</v>
      </c>
      <c r="FZ32">
        <v>8.4700000000000001E-3</v>
      </c>
      <c r="GA32">
        <v>9.0799999999999995E-3</v>
      </c>
      <c r="GB32">
        <v>8.5100000000000002E-3</v>
      </c>
      <c r="GC32">
        <v>9.1000000000000004E-3</v>
      </c>
      <c r="GD32">
        <v>8.4100000000000008E-3</v>
      </c>
      <c r="GE32">
        <v>9.0799999999999995E-3</v>
      </c>
      <c r="GF32">
        <v>7.7999999999999996E-3</v>
      </c>
      <c r="GG32">
        <v>7.7999999999999996E-3</v>
      </c>
      <c r="GJ32">
        <v>8.7899999999999992E-3</v>
      </c>
      <c r="GK32">
        <v>8.9599999999999992E-3</v>
      </c>
      <c r="GL32">
        <v>9.3299999999999998E-3</v>
      </c>
      <c r="GM32">
        <v>8.1399999999999997E-3</v>
      </c>
      <c r="GO32">
        <v>8.2199999999999999E-3</v>
      </c>
      <c r="GP32">
        <v>8.0700000000000008E-3</v>
      </c>
      <c r="GQ32">
        <v>8.4499999999999992E-3</v>
      </c>
      <c r="GR32">
        <v>9.7300000000000008E-3</v>
      </c>
      <c r="GT32">
        <v>8.1300000000000001E-3</v>
      </c>
      <c r="GU32">
        <v>5.8199999999999997E-3</v>
      </c>
      <c r="GV32">
        <v>9.3399999999999993E-3</v>
      </c>
      <c r="GW32">
        <v>9.6299999999999997E-3</v>
      </c>
      <c r="GX32">
        <v>8.7399999999999995E-3</v>
      </c>
      <c r="GY32">
        <v>1.014E-2</v>
      </c>
      <c r="GZ32">
        <v>8.6599999999999993E-3</v>
      </c>
      <c r="HC32">
        <v>6.7499999999999999E-3</v>
      </c>
      <c r="HE32">
        <v>7.4000000000000003E-3</v>
      </c>
      <c r="HF32">
        <v>6.7999999999999996E-3</v>
      </c>
      <c r="HG32">
        <v>8.8500000000000002E-3</v>
      </c>
      <c r="HH32">
        <v>9.1199999999999996E-3</v>
      </c>
      <c r="HI32">
        <v>9.92E-3</v>
      </c>
      <c r="HJ32">
        <v>4.9100000000000003E-3</v>
      </c>
      <c r="HK32">
        <v>8.9599999999999992E-3</v>
      </c>
      <c r="HL32">
        <v>8.6499999999999997E-3</v>
      </c>
      <c r="HM32">
        <v>8.3800000000000003E-3</v>
      </c>
      <c r="HN32">
        <v>8.1700000000000002E-3</v>
      </c>
      <c r="HO32">
        <v>8.1399999999999997E-3</v>
      </c>
      <c r="HP32">
        <v>5.6699999999999997E-3</v>
      </c>
      <c r="HQ32">
        <v>8.6400000000000001E-3</v>
      </c>
      <c r="HR32">
        <v>1.0319999999999999E-2</v>
      </c>
      <c r="HS32">
        <v>1.248E-2</v>
      </c>
      <c r="HT32">
        <v>7.6699999999999997E-3</v>
      </c>
      <c r="HU32">
        <v>5.96E-3</v>
      </c>
      <c r="HV32">
        <v>8.1600000000000006E-3</v>
      </c>
      <c r="HW32">
        <v>6.2399999999999999E-3</v>
      </c>
      <c r="HX32">
        <v>9.8200000000000006E-3</v>
      </c>
      <c r="HY32">
        <v>7.6800000000000002E-3</v>
      </c>
      <c r="HZ32">
        <v>4.7600000000000003E-3</v>
      </c>
      <c r="IA32">
        <v>8.7200000000000003E-3</v>
      </c>
      <c r="IB32">
        <v>1.044E-2</v>
      </c>
      <c r="IC32">
        <v>8.43E-3</v>
      </c>
      <c r="ID32">
        <v>6.8199999999999997E-3</v>
      </c>
      <c r="IE32">
        <v>6.2500000000000003E-3</v>
      </c>
      <c r="IF32">
        <v>6.2899999999999996E-3</v>
      </c>
      <c r="IG32">
        <v>7.3000000000000001E-3</v>
      </c>
      <c r="IH32">
        <v>8.0499999999999999E-3</v>
      </c>
      <c r="II32">
        <v>5.7000000000000002E-3</v>
      </c>
      <c r="IJ32">
        <v>6.7600000000000004E-3</v>
      </c>
      <c r="IL32">
        <v>8.2100000000000003E-3</v>
      </c>
      <c r="IM32">
        <v>9.1199999999999996E-3</v>
      </c>
      <c r="IN32">
        <v>9.8600000000000007E-3</v>
      </c>
      <c r="IO32">
        <v>1.082E-2</v>
      </c>
      <c r="IP32">
        <v>1.3089999999999999E-2</v>
      </c>
      <c r="IQ32">
        <v>1.4250000000000001E-2</v>
      </c>
      <c r="IR32">
        <v>1.5910000000000001E-2</v>
      </c>
      <c r="IS32">
        <v>5.0299999999999997E-3</v>
      </c>
      <c r="IT32">
        <v>6.0099999999999997E-3</v>
      </c>
      <c r="IU32">
        <v>7.0000000000000001E-3</v>
      </c>
      <c r="IV32">
        <v>5.3299999999999997E-3</v>
      </c>
      <c r="IW32">
        <v>6.2199999999999998E-3</v>
      </c>
      <c r="IX32">
        <v>4.1200000000000004E-3</v>
      </c>
      <c r="IY32">
        <v>4.8300000000000001E-3</v>
      </c>
      <c r="IZ32">
        <v>4.6600000000000001E-3</v>
      </c>
      <c r="JA32">
        <v>5.1900000000000002E-3</v>
      </c>
      <c r="JB32">
        <v>5.4400000000000004E-3</v>
      </c>
      <c r="JC32">
        <v>5.8900000000000003E-3</v>
      </c>
      <c r="JE32">
        <v>5.28E-3</v>
      </c>
      <c r="JF32">
        <v>6.2700000000000004E-3</v>
      </c>
      <c r="JG32">
        <v>7.2700000000000004E-3</v>
      </c>
      <c r="JH32">
        <v>1.282E-2</v>
      </c>
      <c r="JI32">
        <v>8.5100000000000002E-3</v>
      </c>
      <c r="JJ32">
        <v>7.2399999999999999E-3</v>
      </c>
      <c r="JK32">
        <v>1.1089999999999999E-2</v>
      </c>
      <c r="JL32">
        <v>9.8300000000000002E-3</v>
      </c>
      <c r="JM32">
        <v>7.2899999999999996E-3</v>
      </c>
      <c r="JN32">
        <v>1.023E-2</v>
      </c>
      <c r="JP32">
        <v>7.92E-3</v>
      </c>
      <c r="JQ32">
        <v>6.1700000000000001E-3</v>
      </c>
      <c r="JR32">
        <v>6.7799999999999996E-3</v>
      </c>
      <c r="JS32">
        <v>6.1199999999999996E-3</v>
      </c>
      <c r="JT32">
        <v>6.9899999999999997E-3</v>
      </c>
      <c r="JU32">
        <v>7.4599999999999996E-3</v>
      </c>
      <c r="JV32">
        <v>6.5399999999999998E-3</v>
      </c>
      <c r="JW32">
        <v>7.4900000000000001E-3</v>
      </c>
      <c r="JX32">
        <v>6.8399999999999997E-3</v>
      </c>
      <c r="JY32">
        <v>7.9500000000000005E-3</v>
      </c>
      <c r="JZ32">
        <v>8.77E-3</v>
      </c>
      <c r="KA32">
        <v>8.6499999999999997E-3</v>
      </c>
      <c r="KB32">
        <v>6.4000000000000003E-3</v>
      </c>
      <c r="KC32">
        <v>6.6899999999999998E-3</v>
      </c>
      <c r="KD32">
        <v>7.2199999999999999E-3</v>
      </c>
      <c r="KE32">
        <v>8.0700000000000008E-3</v>
      </c>
      <c r="KF32">
        <v>1.0330000000000001E-2</v>
      </c>
      <c r="KG32">
        <v>1.2409999999999999E-2</v>
      </c>
      <c r="KH32">
        <v>9.9399999999999992E-3</v>
      </c>
      <c r="KI32">
        <v>9.3100000000000006E-3</v>
      </c>
      <c r="KJ32">
        <v>9.3600000000000003E-3</v>
      </c>
      <c r="KK32">
        <v>9.4000000000000004E-3</v>
      </c>
      <c r="KL32">
        <v>9.6200000000000001E-3</v>
      </c>
      <c r="KM32">
        <v>9.8499999999999994E-3</v>
      </c>
      <c r="KN32">
        <v>5.7400000000000003E-3</v>
      </c>
      <c r="KO32">
        <v>6.0400000000000002E-3</v>
      </c>
      <c r="KP32">
        <v>8.6899999999999998E-3</v>
      </c>
      <c r="KQ32">
        <v>9.0100000000000006E-3</v>
      </c>
      <c r="KR32">
        <v>9.7800000000000005E-3</v>
      </c>
      <c r="KS32">
        <v>7.5300000000000002E-3</v>
      </c>
      <c r="KT32">
        <v>7.9900000000000006E-3</v>
      </c>
      <c r="KU32">
        <v>5.7600000000000004E-3</v>
      </c>
      <c r="KV32">
        <v>5.11E-3</v>
      </c>
      <c r="KW32">
        <v>5.6699999999999997E-3</v>
      </c>
      <c r="KX32">
        <v>1.303E-2</v>
      </c>
      <c r="KY32">
        <v>6.0099999999999997E-3</v>
      </c>
      <c r="KZ32">
        <v>7.3800000000000003E-3</v>
      </c>
      <c r="LA32">
        <v>7.4099999999999999E-3</v>
      </c>
      <c r="LB32">
        <v>7.0200000000000002E-3</v>
      </c>
      <c r="LC32">
        <v>7.1900000000000002E-3</v>
      </c>
      <c r="LD32">
        <v>7.1900000000000002E-3</v>
      </c>
      <c r="LE32">
        <v>1.086E-2</v>
      </c>
      <c r="LF32">
        <v>1.043E-2</v>
      </c>
      <c r="LG32">
        <v>9.7300000000000008E-3</v>
      </c>
      <c r="LI32">
        <v>1.078E-2</v>
      </c>
      <c r="LJ32">
        <v>1.112E-2</v>
      </c>
      <c r="LK32">
        <v>1.1089999999999999E-2</v>
      </c>
      <c r="LL32">
        <v>8.2400000000000008E-3</v>
      </c>
      <c r="LM32">
        <v>5.9800000000000001E-3</v>
      </c>
      <c r="LN32">
        <v>8.9899999999999997E-3</v>
      </c>
      <c r="LO32">
        <v>9.11E-3</v>
      </c>
      <c r="LP32">
        <v>7.5599999999999999E-3</v>
      </c>
      <c r="LR32">
        <v>1.081E-2</v>
      </c>
      <c r="LS32">
        <v>1.208E-2</v>
      </c>
      <c r="LT32">
        <v>7.4200000000000004E-3</v>
      </c>
      <c r="LV32">
        <v>1.341E-2</v>
      </c>
      <c r="LW32">
        <v>4.9100000000000003E-3</v>
      </c>
      <c r="LX32">
        <v>5.7099999999999998E-3</v>
      </c>
      <c r="LY32">
        <v>8.5100000000000002E-3</v>
      </c>
      <c r="LZ32">
        <v>8.5900000000000004E-3</v>
      </c>
      <c r="MA32">
        <v>8.4700000000000001E-3</v>
      </c>
      <c r="MB32">
        <v>4.3600000000000002E-3</v>
      </c>
      <c r="MD32">
        <v>1.1339999999999999E-2</v>
      </c>
      <c r="ME32">
        <v>1.438E-2</v>
      </c>
      <c r="MF32">
        <v>1.651E-2</v>
      </c>
      <c r="MG32">
        <v>1.7430000000000001E-2</v>
      </c>
      <c r="MH32">
        <v>7.7000000000000002E-3</v>
      </c>
      <c r="MI32">
        <v>8.9499999999999996E-3</v>
      </c>
      <c r="MJ32">
        <v>8.7799999999999996E-3</v>
      </c>
      <c r="MK32">
        <v>8.7899999999999992E-3</v>
      </c>
      <c r="ML32">
        <v>1.0370000000000001E-2</v>
      </c>
      <c r="MM32">
        <v>9.2399999999999999E-3</v>
      </c>
      <c r="MN32">
        <v>6.11E-3</v>
      </c>
      <c r="MO32">
        <v>6.7000000000000002E-3</v>
      </c>
      <c r="MP32">
        <v>6.9199999999999999E-3</v>
      </c>
      <c r="MQ32">
        <v>5.4599999999999996E-3</v>
      </c>
      <c r="MR32">
        <v>6.8999999999999999E-3</v>
      </c>
      <c r="MS32">
        <v>7.6099999999999996E-3</v>
      </c>
      <c r="MT32">
        <v>8.5100000000000002E-3</v>
      </c>
      <c r="MU32">
        <v>5.4000000000000003E-3</v>
      </c>
      <c r="MV32">
        <v>6.2399999999999999E-3</v>
      </c>
      <c r="MW32">
        <v>6.6400000000000001E-3</v>
      </c>
      <c r="MX32">
        <v>6.8399999999999997E-3</v>
      </c>
      <c r="MY32">
        <v>7.43E-3</v>
      </c>
      <c r="MZ32">
        <v>8.26E-3</v>
      </c>
      <c r="NA32">
        <v>7.5700000000000003E-3</v>
      </c>
      <c r="NB32">
        <v>7.6E-3</v>
      </c>
      <c r="NC32">
        <v>4.9500000000000004E-3</v>
      </c>
      <c r="ND32">
        <v>1.341E-2</v>
      </c>
      <c r="NE32">
        <v>8.8599999999999998E-3</v>
      </c>
      <c r="NF32">
        <v>9.1400000000000006E-3</v>
      </c>
      <c r="NG32">
        <v>5.64E-3</v>
      </c>
      <c r="NH32">
        <v>4.62E-3</v>
      </c>
      <c r="NI32">
        <v>5.0499999999999998E-3</v>
      </c>
      <c r="NJ32">
        <v>5.5999999999999999E-3</v>
      </c>
      <c r="NK32">
        <v>4.9899999999999996E-3</v>
      </c>
      <c r="NL32">
        <v>5.3099999999999996E-3</v>
      </c>
      <c r="NN32">
        <v>5.96E-3</v>
      </c>
      <c r="NP32">
        <v>5.0699999999999999E-3</v>
      </c>
      <c r="NQ32">
        <v>5.3899999999999998E-3</v>
      </c>
      <c r="NR32">
        <v>5.4000000000000003E-3</v>
      </c>
      <c r="NS32">
        <v>5.6499999999999996E-3</v>
      </c>
      <c r="NT32">
        <v>6.1999999999999998E-3</v>
      </c>
      <c r="NU32">
        <v>5.0600000000000003E-3</v>
      </c>
      <c r="NV32">
        <v>5.3600000000000002E-3</v>
      </c>
      <c r="NW32">
        <v>5.4299999999999999E-3</v>
      </c>
      <c r="NX32">
        <v>5.62E-3</v>
      </c>
      <c r="NY32">
        <v>5.7200000000000003E-3</v>
      </c>
      <c r="NZ32">
        <v>6.0299999999999998E-3</v>
      </c>
      <c r="OA32">
        <v>6.2500000000000003E-3</v>
      </c>
      <c r="OB32">
        <v>5.1000000000000004E-3</v>
      </c>
      <c r="OC32">
        <v>5.4200000000000003E-3</v>
      </c>
      <c r="OD32">
        <v>5.5500000000000002E-3</v>
      </c>
      <c r="OE32">
        <v>5.5500000000000002E-3</v>
      </c>
      <c r="OF32">
        <v>8.0300000000000007E-3</v>
      </c>
      <c r="OH32">
        <v>6.0699999999999999E-3</v>
      </c>
      <c r="OI32">
        <v>6.3699999999999998E-3</v>
      </c>
      <c r="OJ32">
        <v>6.5799999999999999E-3</v>
      </c>
      <c r="OK32">
        <v>6.79E-3</v>
      </c>
      <c r="OL32">
        <v>7.0099999999999997E-3</v>
      </c>
      <c r="OM32">
        <v>5.2700000000000004E-3</v>
      </c>
      <c r="ON32">
        <v>5.5199999999999997E-3</v>
      </c>
      <c r="OO32">
        <v>5.8399999999999997E-3</v>
      </c>
      <c r="OP32">
        <v>6.3800000000000003E-3</v>
      </c>
      <c r="OQ32">
        <v>6.6600000000000001E-3</v>
      </c>
      <c r="OR32">
        <v>6.8799999999999998E-3</v>
      </c>
      <c r="OS32">
        <v>7.7099999999999998E-3</v>
      </c>
      <c r="OT32">
        <v>5.9100000000000003E-3</v>
      </c>
      <c r="OU32">
        <v>5.6800000000000002E-3</v>
      </c>
      <c r="OV32">
        <v>5.94E-3</v>
      </c>
      <c r="OW32">
        <v>3.7100000000000002E-3</v>
      </c>
      <c r="OX32">
        <v>3.5699999999999998E-3</v>
      </c>
      <c r="OY32">
        <v>4.1399999999999996E-3</v>
      </c>
      <c r="OZ32">
        <v>5.0299999999999997E-3</v>
      </c>
      <c r="PA32">
        <v>1.04E-2</v>
      </c>
      <c r="PB32">
        <v>1.1270000000000001E-2</v>
      </c>
      <c r="PC32">
        <v>8.7899999999999992E-3</v>
      </c>
      <c r="PD32">
        <v>7.5199999999999998E-3</v>
      </c>
      <c r="PE32">
        <v>6.9499999999999996E-3</v>
      </c>
      <c r="PF32">
        <v>6.5100000000000002E-3</v>
      </c>
      <c r="PG32">
        <v>6.0099999999999997E-3</v>
      </c>
      <c r="PH32">
        <v>6.2700000000000004E-3</v>
      </c>
      <c r="PI32">
        <v>8.0599999999999995E-3</v>
      </c>
      <c r="PJ32">
        <v>7.4799999999999997E-3</v>
      </c>
      <c r="PK32">
        <v>6.8100000000000001E-3</v>
      </c>
      <c r="PL32">
        <v>6.2599999999999999E-3</v>
      </c>
      <c r="PM32">
        <v>5.7200000000000003E-3</v>
      </c>
      <c r="PN32">
        <v>5.6499999999999996E-3</v>
      </c>
      <c r="PO32">
        <v>5.8100000000000001E-3</v>
      </c>
      <c r="PP32">
        <v>6.0899999999999999E-3</v>
      </c>
      <c r="PQ32">
        <v>6.1199999999999996E-3</v>
      </c>
      <c r="PR32">
        <v>5.5599999999999998E-3</v>
      </c>
      <c r="PS32">
        <v>6.5900000000000004E-3</v>
      </c>
      <c r="PT32">
        <v>6.4099999999999999E-3</v>
      </c>
      <c r="PU32">
        <v>4.9899999999999996E-3</v>
      </c>
      <c r="PV32">
        <v>5.62E-3</v>
      </c>
      <c r="PW32">
        <v>6.0800000000000003E-3</v>
      </c>
      <c r="PX32">
        <v>6.8599999999999998E-3</v>
      </c>
      <c r="PZ32">
        <v>9.2399999999999999E-3</v>
      </c>
      <c r="QA32">
        <v>4.3600000000000002E-3</v>
      </c>
      <c r="QB32">
        <v>4.62E-3</v>
      </c>
      <c r="QC32">
        <v>6.0299999999999998E-3</v>
      </c>
      <c r="QD32">
        <v>5.2100000000000002E-3</v>
      </c>
      <c r="QE32">
        <v>4.9399999999999999E-3</v>
      </c>
      <c r="QF32">
        <v>4.9199999999999999E-3</v>
      </c>
      <c r="QG32">
        <v>6.5700000000000003E-3</v>
      </c>
      <c r="QH32">
        <v>4.9199999999999999E-3</v>
      </c>
      <c r="QI32">
        <v>5.2599999999999999E-3</v>
      </c>
      <c r="QJ32">
        <v>5.2199999999999998E-3</v>
      </c>
      <c r="QK32">
        <v>5.0299999999999997E-3</v>
      </c>
      <c r="QL32">
        <v>4.8199999999999996E-3</v>
      </c>
      <c r="QM32">
        <v>5.6499999999999996E-3</v>
      </c>
      <c r="QN32">
        <v>7.6600000000000001E-3</v>
      </c>
      <c r="QO32">
        <v>6.8100000000000001E-3</v>
      </c>
      <c r="QP32">
        <v>7.0000000000000001E-3</v>
      </c>
      <c r="QQ32">
        <v>7.3600000000000002E-3</v>
      </c>
      <c r="QR32">
        <v>9.0399999999999994E-3</v>
      </c>
      <c r="QS32">
        <v>8.9800000000000001E-3</v>
      </c>
      <c r="QT32">
        <v>6.8500000000000002E-3</v>
      </c>
      <c r="QU32">
        <v>6.9499999999999996E-3</v>
      </c>
      <c r="QW32">
        <v>6.6899999999999998E-3</v>
      </c>
      <c r="QX32">
        <v>6.5100000000000002E-3</v>
      </c>
      <c r="QY32">
        <v>6.1000000000000004E-3</v>
      </c>
      <c r="QZ32">
        <v>6.5500000000000003E-3</v>
      </c>
      <c r="RA32">
        <v>7.9000000000000008E-3</v>
      </c>
      <c r="RB32">
        <v>9.7199999999999995E-3</v>
      </c>
      <c r="RC32">
        <v>7.9900000000000006E-3</v>
      </c>
      <c r="RD32">
        <v>1.4619999999999999E-2</v>
      </c>
      <c r="RE32">
        <v>1.14E-2</v>
      </c>
      <c r="RF32">
        <v>9.0900000000000009E-3</v>
      </c>
      <c r="RG32">
        <v>6.2199999999999998E-3</v>
      </c>
      <c r="RH32">
        <v>5.8599999999999998E-3</v>
      </c>
      <c r="RI32">
        <v>9.3699999999999999E-3</v>
      </c>
      <c r="RJ32">
        <v>9.2899999999999996E-3</v>
      </c>
      <c r="RK32">
        <v>9.0100000000000006E-3</v>
      </c>
      <c r="RL32">
        <v>8.2000000000000007E-3</v>
      </c>
      <c r="RM32">
        <v>5.1200000000000004E-3</v>
      </c>
      <c r="RN32">
        <v>5.1500000000000001E-3</v>
      </c>
      <c r="RO32">
        <v>5.1500000000000001E-3</v>
      </c>
      <c r="RP32">
        <v>4.7600000000000003E-3</v>
      </c>
      <c r="RQ32">
        <v>5.1999999999999998E-3</v>
      </c>
      <c r="RR32">
        <v>4.9300000000000004E-3</v>
      </c>
      <c r="RS32">
        <v>5.0699999999999999E-3</v>
      </c>
      <c r="RT32">
        <v>4.2599999999999999E-3</v>
      </c>
      <c r="RU32">
        <v>5.0800000000000003E-3</v>
      </c>
      <c r="RV32">
        <v>5.7499999999999999E-3</v>
      </c>
      <c r="RW32">
        <v>6.4099999999999999E-3</v>
      </c>
      <c r="RX32">
        <v>5.7600000000000004E-3</v>
      </c>
      <c r="RY32">
        <v>4.0800000000000003E-3</v>
      </c>
      <c r="RZ32">
        <v>6.4599999999999996E-3</v>
      </c>
      <c r="SA32">
        <v>1.0840000000000001E-2</v>
      </c>
      <c r="SB32">
        <v>9.58E-3</v>
      </c>
      <c r="SD32">
        <v>7.6800000000000002E-3</v>
      </c>
      <c r="SE32">
        <v>6.9800000000000001E-3</v>
      </c>
      <c r="SF32">
        <v>7.9399999999999991E-3</v>
      </c>
      <c r="SG32">
        <v>1.001E-2</v>
      </c>
      <c r="SH32">
        <v>1.256E-2</v>
      </c>
      <c r="SI32">
        <v>7.0299999999999998E-3</v>
      </c>
      <c r="SJ32">
        <v>5.5799999999999999E-3</v>
      </c>
      <c r="SK32">
        <v>5.0200000000000002E-3</v>
      </c>
      <c r="SL32">
        <v>5.2599999999999999E-3</v>
      </c>
      <c r="SM32">
        <v>4.6499999999999996E-3</v>
      </c>
      <c r="SN32">
        <v>4.6499999999999996E-3</v>
      </c>
      <c r="SO32">
        <v>4.5700000000000003E-3</v>
      </c>
      <c r="SP32">
        <v>6.3200000000000001E-3</v>
      </c>
      <c r="SQ32">
        <v>5.8100000000000001E-3</v>
      </c>
      <c r="SR32">
        <v>5.8700000000000002E-3</v>
      </c>
      <c r="SS32">
        <v>4.9500000000000004E-3</v>
      </c>
      <c r="ST32">
        <v>4.8799999999999998E-3</v>
      </c>
      <c r="SU32">
        <v>5.4400000000000004E-3</v>
      </c>
      <c r="SV32">
        <v>5.11E-3</v>
      </c>
      <c r="SW32">
        <v>5.4099999999999999E-3</v>
      </c>
      <c r="SX32">
        <v>6.3899999999999998E-3</v>
      </c>
      <c r="SY32">
        <v>5.1799999999999997E-3</v>
      </c>
      <c r="SZ32">
        <v>5.9500000000000004E-3</v>
      </c>
      <c r="TA32">
        <v>5.7499999999999999E-3</v>
      </c>
      <c r="TB32">
        <v>5.8700000000000002E-3</v>
      </c>
      <c r="TC32">
        <v>5.1700000000000001E-3</v>
      </c>
      <c r="TD32">
        <v>5.8199999999999997E-3</v>
      </c>
      <c r="TE32">
        <v>7.4999999999999997E-3</v>
      </c>
      <c r="TF32">
        <v>6.6800000000000002E-3</v>
      </c>
      <c r="TG32">
        <v>6.3299999999999997E-3</v>
      </c>
      <c r="TH32">
        <v>8.1200000000000005E-3</v>
      </c>
      <c r="TI32">
        <v>5.4900000000000001E-3</v>
      </c>
      <c r="TJ32">
        <v>6.4700000000000001E-3</v>
      </c>
      <c r="TK32">
        <v>4.9800000000000001E-3</v>
      </c>
      <c r="TL32">
        <v>4.5799999999999999E-3</v>
      </c>
      <c r="TM32">
        <v>4.2199999999999998E-3</v>
      </c>
      <c r="TN32">
        <v>5.5300000000000002E-3</v>
      </c>
      <c r="TO32">
        <v>5.4200000000000003E-3</v>
      </c>
      <c r="TP32">
        <v>5.0099999999999997E-3</v>
      </c>
      <c r="TQ32">
        <v>5.3699999999999998E-3</v>
      </c>
      <c r="TR32">
        <v>6.6100000000000004E-3</v>
      </c>
      <c r="TS32">
        <v>7.1500000000000001E-3</v>
      </c>
      <c r="TU32">
        <v>6.3899999999999998E-3</v>
      </c>
      <c r="TV32">
        <v>5.77E-3</v>
      </c>
      <c r="TW32">
        <v>5.1599999999999997E-3</v>
      </c>
      <c r="TX32">
        <v>5.2300000000000003E-3</v>
      </c>
      <c r="TY32">
        <v>4.7099999999999998E-3</v>
      </c>
      <c r="TZ32">
        <v>5.28E-3</v>
      </c>
      <c r="UA32">
        <v>4.8500000000000001E-3</v>
      </c>
      <c r="UB32">
        <v>4.9800000000000001E-3</v>
      </c>
      <c r="UC32">
        <v>4.9399999999999999E-3</v>
      </c>
      <c r="UD32">
        <v>4.9399999999999999E-3</v>
      </c>
      <c r="UE32">
        <v>4.96E-3</v>
      </c>
      <c r="UF32">
        <v>4.7800000000000004E-3</v>
      </c>
      <c r="UG32">
        <v>4.8999999999999998E-3</v>
      </c>
      <c r="UH32">
        <v>5.7299999999999999E-3</v>
      </c>
      <c r="UI32">
        <v>5.3699999999999998E-3</v>
      </c>
      <c r="UJ32">
        <v>5.2599999999999999E-3</v>
      </c>
      <c r="UK32">
        <v>5.3E-3</v>
      </c>
      <c r="UL32">
        <v>5.6100000000000004E-3</v>
      </c>
      <c r="UM32">
        <v>6.28E-3</v>
      </c>
      <c r="UN32">
        <v>5.0299999999999997E-3</v>
      </c>
      <c r="UO32">
        <v>5.3800000000000002E-3</v>
      </c>
      <c r="UP32">
        <v>7.3299999999999997E-3</v>
      </c>
      <c r="UQ32">
        <v>4.8799999999999998E-3</v>
      </c>
      <c r="UR32">
        <v>4.8399999999999997E-3</v>
      </c>
      <c r="US32">
        <v>5.3899999999999998E-3</v>
      </c>
      <c r="UT32">
        <v>4.8999999999999998E-3</v>
      </c>
      <c r="UU32">
        <v>5.11E-3</v>
      </c>
      <c r="UV32">
        <v>5.3200000000000001E-3</v>
      </c>
      <c r="UW32">
        <v>7.3400000000000002E-3</v>
      </c>
      <c r="UX32">
        <v>5.2700000000000004E-3</v>
      </c>
      <c r="UY32">
        <v>5.5799999999999999E-3</v>
      </c>
      <c r="VA32">
        <v>8.2400000000000008E-3</v>
      </c>
      <c r="VB32">
        <v>5.94E-3</v>
      </c>
      <c r="VC32">
        <v>7.4599999999999996E-3</v>
      </c>
      <c r="VD32">
        <v>1.2930000000000001E-2</v>
      </c>
      <c r="VE32">
        <v>8.4200000000000004E-3</v>
      </c>
      <c r="VF32">
        <v>1.2619999999999999E-2</v>
      </c>
      <c r="VG32">
        <v>1.0319999999999999E-2</v>
      </c>
      <c r="VH32">
        <v>6.9499999999999996E-3</v>
      </c>
      <c r="VI32">
        <v>6.6499999999999997E-3</v>
      </c>
    </row>
    <row r="33" spans="1:581" x14ac:dyDescent="0.25">
      <c r="A33">
        <v>750000</v>
      </c>
      <c r="B33">
        <v>4.3200000000000001E-3</v>
      </c>
      <c r="C33">
        <v>4.2599999999999999E-3</v>
      </c>
      <c r="D33">
        <v>4.0000000000000001E-3</v>
      </c>
      <c r="E33">
        <v>4.1200000000000004E-3</v>
      </c>
      <c r="F33">
        <v>4.0899999999999999E-3</v>
      </c>
      <c r="H33">
        <v>4.2199999999999998E-3</v>
      </c>
      <c r="I33">
        <v>4.1099999999999999E-3</v>
      </c>
      <c r="J33">
        <v>4.0099999999999997E-3</v>
      </c>
      <c r="K33">
        <v>5.1200000000000004E-3</v>
      </c>
      <c r="L33">
        <v>4.4799999999999996E-3</v>
      </c>
      <c r="M33">
        <v>4.1200000000000004E-3</v>
      </c>
      <c r="N33">
        <v>4.0499999999999998E-3</v>
      </c>
      <c r="O33">
        <v>5.9300000000000004E-3</v>
      </c>
      <c r="Q33">
        <v>5.7200000000000003E-3</v>
      </c>
      <c r="R33">
        <v>5.4400000000000004E-3</v>
      </c>
      <c r="S33">
        <v>4.8199999999999996E-3</v>
      </c>
      <c r="T33">
        <v>4.7400000000000003E-3</v>
      </c>
      <c r="U33">
        <v>6.1199999999999996E-3</v>
      </c>
      <c r="V33">
        <v>4.7800000000000004E-3</v>
      </c>
      <c r="W33">
        <v>5.8999999999999999E-3</v>
      </c>
      <c r="X33">
        <v>4.6499999999999996E-3</v>
      </c>
      <c r="Y33">
        <v>5.5599999999999998E-3</v>
      </c>
      <c r="Z33">
        <v>4.28E-3</v>
      </c>
      <c r="AA33">
        <v>8.0599999999999995E-3</v>
      </c>
      <c r="AB33">
        <v>7.26E-3</v>
      </c>
      <c r="AD33">
        <v>6.0899999999999999E-3</v>
      </c>
      <c r="AF33">
        <v>7.0499999999999998E-3</v>
      </c>
      <c r="AG33">
        <v>7.4400000000000004E-3</v>
      </c>
      <c r="AH33">
        <v>7.3000000000000001E-3</v>
      </c>
      <c r="AI33">
        <v>8.6E-3</v>
      </c>
      <c r="AJ33">
        <v>6.13E-3</v>
      </c>
      <c r="AK33">
        <v>6.7299999999999999E-3</v>
      </c>
      <c r="AL33">
        <v>8.3000000000000001E-3</v>
      </c>
      <c r="AM33">
        <v>7.3800000000000003E-3</v>
      </c>
      <c r="AN33">
        <v>8.0000000000000002E-3</v>
      </c>
      <c r="AO33">
        <v>1.384E-2</v>
      </c>
      <c r="AP33">
        <v>8.0300000000000007E-3</v>
      </c>
      <c r="AQ33">
        <v>1.009E-2</v>
      </c>
      <c r="AR33">
        <v>8.6199999999999992E-3</v>
      </c>
      <c r="AS33">
        <v>9.0200000000000002E-3</v>
      </c>
      <c r="AT33">
        <v>7.0299999999999998E-3</v>
      </c>
      <c r="AU33">
        <v>7.77E-3</v>
      </c>
      <c r="AV33">
        <v>9.5300000000000003E-3</v>
      </c>
      <c r="AW33">
        <v>8.1300000000000001E-3</v>
      </c>
      <c r="AX33">
        <v>7.8899999999999994E-3</v>
      </c>
      <c r="AZ33">
        <v>7.1500000000000001E-3</v>
      </c>
      <c r="BA33">
        <v>8.9700000000000005E-3</v>
      </c>
      <c r="BB33">
        <v>7.5500000000000003E-3</v>
      </c>
      <c r="BC33">
        <v>8.2699999999999996E-3</v>
      </c>
      <c r="BD33">
        <v>8.7500000000000008E-3</v>
      </c>
      <c r="BE33">
        <v>1.055E-2</v>
      </c>
      <c r="BF33">
        <v>1.158E-2</v>
      </c>
      <c r="BG33">
        <v>7.77E-3</v>
      </c>
      <c r="BH33">
        <v>8.3899999999999999E-3</v>
      </c>
      <c r="BI33">
        <v>1.1690000000000001E-2</v>
      </c>
      <c r="BJ33">
        <v>8.1899999999999994E-3</v>
      </c>
      <c r="BK33">
        <v>8.6199999999999992E-3</v>
      </c>
      <c r="BL33">
        <v>8.6499999999999997E-3</v>
      </c>
      <c r="BM33">
        <v>8.2000000000000007E-3</v>
      </c>
      <c r="BN33">
        <v>6.0699999999999999E-3</v>
      </c>
      <c r="BP33">
        <v>7.1999999999999998E-3</v>
      </c>
      <c r="BQ33">
        <v>6.3499999999999997E-3</v>
      </c>
      <c r="BR33">
        <v>6.9899999999999997E-3</v>
      </c>
      <c r="BS33">
        <v>1.341E-2</v>
      </c>
      <c r="BT33">
        <v>9.6600000000000002E-3</v>
      </c>
      <c r="BU33">
        <v>1.001E-2</v>
      </c>
      <c r="BV33">
        <v>1.013E-2</v>
      </c>
      <c r="BW33">
        <v>9.7699999999999992E-3</v>
      </c>
      <c r="BY33">
        <v>9.8600000000000007E-3</v>
      </c>
      <c r="BZ33">
        <v>8.8800000000000007E-3</v>
      </c>
      <c r="CA33">
        <v>9.0500000000000008E-3</v>
      </c>
      <c r="CB33">
        <v>7.0200000000000002E-3</v>
      </c>
      <c r="CC33">
        <v>7.7099999999999998E-3</v>
      </c>
      <c r="CD33">
        <v>6.4799999999999996E-3</v>
      </c>
      <c r="CE33">
        <v>5.45E-3</v>
      </c>
      <c r="CF33">
        <v>5.3200000000000001E-3</v>
      </c>
      <c r="CG33">
        <v>5.2300000000000003E-3</v>
      </c>
      <c r="CH33">
        <v>5.1999999999999998E-3</v>
      </c>
      <c r="CI33">
        <v>5.2399999999999999E-3</v>
      </c>
      <c r="CJ33">
        <v>5.3200000000000001E-3</v>
      </c>
      <c r="CK33">
        <v>6.1799999999999997E-3</v>
      </c>
      <c r="CL33">
        <v>5.6899999999999997E-3</v>
      </c>
      <c r="CM33">
        <v>6.3600000000000002E-3</v>
      </c>
      <c r="CO33">
        <v>6.6100000000000004E-3</v>
      </c>
      <c r="CP33">
        <v>7.2199999999999999E-3</v>
      </c>
      <c r="CQ33">
        <v>5.8999999999999999E-3</v>
      </c>
      <c r="CR33">
        <v>6.4599999999999996E-3</v>
      </c>
      <c r="CS33">
        <v>7.2399999999999999E-3</v>
      </c>
      <c r="CT33">
        <v>7.6699999999999997E-3</v>
      </c>
      <c r="CU33">
        <v>6.0000000000000001E-3</v>
      </c>
      <c r="CV33">
        <v>5.6800000000000002E-3</v>
      </c>
      <c r="CW33">
        <v>6.2899999999999996E-3</v>
      </c>
      <c r="CX33">
        <v>6.1199999999999996E-3</v>
      </c>
      <c r="CY33">
        <v>6.3099999999999996E-3</v>
      </c>
      <c r="CZ33">
        <v>5.5199999999999997E-3</v>
      </c>
      <c r="DA33">
        <v>5.4299999999999999E-3</v>
      </c>
      <c r="DC33">
        <v>5.2300000000000003E-3</v>
      </c>
      <c r="DE33">
        <v>5.0400000000000002E-3</v>
      </c>
      <c r="DF33">
        <v>9.5399999999999999E-3</v>
      </c>
      <c r="DG33">
        <v>5.8999999999999999E-3</v>
      </c>
      <c r="DH33">
        <v>8.2400000000000008E-3</v>
      </c>
      <c r="DI33">
        <v>7.9000000000000008E-3</v>
      </c>
      <c r="DJ33">
        <v>7.8100000000000001E-3</v>
      </c>
      <c r="DK33">
        <v>7.6600000000000001E-3</v>
      </c>
      <c r="DL33">
        <v>7.6299999999999996E-3</v>
      </c>
      <c r="DM33">
        <v>6.7999999999999996E-3</v>
      </c>
      <c r="DN33">
        <v>7.4400000000000004E-3</v>
      </c>
      <c r="DO33">
        <v>6.7200000000000003E-3</v>
      </c>
      <c r="DP33">
        <v>8.9200000000000008E-3</v>
      </c>
      <c r="DQ33">
        <v>8.7200000000000003E-3</v>
      </c>
      <c r="DR33">
        <v>7.6800000000000002E-3</v>
      </c>
      <c r="DS33">
        <v>8.5400000000000007E-3</v>
      </c>
      <c r="DT33">
        <v>8.0000000000000002E-3</v>
      </c>
      <c r="DU33">
        <v>7.3600000000000002E-3</v>
      </c>
      <c r="DV33">
        <v>9.4299999999999991E-3</v>
      </c>
      <c r="DW33">
        <v>8.4200000000000004E-3</v>
      </c>
      <c r="DX33">
        <v>7.9799999999999992E-3</v>
      </c>
      <c r="DY33">
        <v>1.0460000000000001E-2</v>
      </c>
      <c r="DZ33">
        <v>7.6099999999999996E-3</v>
      </c>
      <c r="EA33">
        <v>6.2300000000000003E-3</v>
      </c>
      <c r="EB33">
        <v>6.1399999999999996E-3</v>
      </c>
      <c r="EC33">
        <v>5.6299999999999996E-3</v>
      </c>
      <c r="EF33">
        <v>2.205E-2</v>
      </c>
      <c r="EH33">
        <v>2.401E-2</v>
      </c>
      <c r="EI33">
        <v>6.62E-3</v>
      </c>
      <c r="EK33">
        <v>6.1799999999999997E-3</v>
      </c>
      <c r="EL33">
        <v>6.7999999999999996E-3</v>
      </c>
      <c r="EM33">
        <v>7.2300000000000003E-3</v>
      </c>
      <c r="EN33">
        <v>7.45E-3</v>
      </c>
      <c r="EO33">
        <v>7.5900000000000004E-3</v>
      </c>
      <c r="EP33">
        <v>7.8899999999999994E-3</v>
      </c>
      <c r="EQ33">
        <v>7.9699999999999997E-3</v>
      </c>
      <c r="ER33">
        <v>7.7099999999999998E-3</v>
      </c>
      <c r="ES33">
        <v>7.1500000000000001E-3</v>
      </c>
      <c r="ET33">
        <v>7.8100000000000001E-3</v>
      </c>
      <c r="EU33">
        <v>1.1480000000000001E-2</v>
      </c>
      <c r="EV33">
        <v>1.064E-2</v>
      </c>
      <c r="EW33">
        <v>1.001E-2</v>
      </c>
      <c r="EX33">
        <v>1.026E-2</v>
      </c>
      <c r="EY33">
        <v>6.9199999999999999E-3</v>
      </c>
      <c r="EZ33">
        <v>7.2300000000000003E-3</v>
      </c>
      <c r="FA33">
        <v>7.5399999999999998E-3</v>
      </c>
      <c r="FB33">
        <v>8.0000000000000002E-3</v>
      </c>
      <c r="FC33">
        <v>7.1599999999999997E-3</v>
      </c>
      <c r="FD33">
        <v>6.8100000000000001E-3</v>
      </c>
      <c r="FE33">
        <v>7.9000000000000008E-3</v>
      </c>
      <c r="FF33">
        <v>4.6100000000000004E-3</v>
      </c>
      <c r="FG33">
        <v>9.0600000000000003E-3</v>
      </c>
      <c r="FH33">
        <v>9.7300000000000008E-3</v>
      </c>
      <c r="FI33">
        <v>9.11E-3</v>
      </c>
      <c r="FJ33">
        <v>9.0299999999999998E-3</v>
      </c>
      <c r="FK33">
        <v>8.4499999999999992E-3</v>
      </c>
      <c r="FL33">
        <v>5.8199999999999997E-3</v>
      </c>
      <c r="FN33">
        <v>8.1600000000000006E-3</v>
      </c>
      <c r="FO33">
        <v>7.0200000000000002E-3</v>
      </c>
      <c r="FP33">
        <v>6.4700000000000001E-3</v>
      </c>
      <c r="FQ33">
        <v>9.0500000000000008E-3</v>
      </c>
      <c r="FR33">
        <v>9.7400000000000004E-3</v>
      </c>
      <c r="FS33">
        <v>9.8099999999999993E-3</v>
      </c>
      <c r="FU33">
        <v>8.5699999999999995E-3</v>
      </c>
      <c r="FV33">
        <v>8.3000000000000001E-3</v>
      </c>
      <c r="FW33">
        <v>8.0999999999999996E-3</v>
      </c>
      <c r="FX33">
        <v>8.4600000000000005E-3</v>
      </c>
      <c r="FY33">
        <v>9.0799999999999995E-3</v>
      </c>
      <c r="FZ33">
        <v>8.3499999999999998E-3</v>
      </c>
      <c r="GA33">
        <v>8.9700000000000005E-3</v>
      </c>
      <c r="GB33">
        <v>8.4100000000000008E-3</v>
      </c>
      <c r="GC33">
        <v>8.9700000000000005E-3</v>
      </c>
      <c r="GD33">
        <v>8.3000000000000001E-3</v>
      </c>
      <c r="GE33">
        <v>8.9599999999999992E-3</v>
      </c>
      <c r="GF33">
        <v>7.7200000000000003E-3</v>
      </c>
      <c r="GG33">
        <v>7.7299999999999999E-3</v>
      </c>
      <c r="GH33">
        <v>7.8600000000000007E-3</v>
      </c>
      <c r="GI33">
        <v>8.5500000000000003E-3</v>
      </c>
      <c r="GK33">
        <v>8.8699999999999994E-3</v>
      </c>
      <c r="GL33">
        <v>9.2300000000000004E-3</v>
      </c>
      <c r="GM33">
        <v>8.0800000000000004E-3</v>
      </c>
      <c r="GO33">
        <v>8.1300000000000001E-3</v>
      </c>
      <c r="GP33">
        <v>7.92E-3</v>
      </c>
      <c r="GQ33">
        <v>8.2799999999999992E-3</v>
      </c>
      <c r="GR33">
        <v>9.4800000000000006E-3</v>
      </c>
      <c r="GS33">
        <v>7.4700000000000001E-3</v>
      </c>
      <c r="GT33">
        <v>8.0099999999999998E-3</v>
      </c>
      <c r="GU33">
        <v>5.7499999999999999E-3</v>
      </c>
      <c r="GV33">
        <v>9.2599999999999991E-3</v>
      </c>
      <c r="GW33">
        <v>9.4900000000000002E-3</v>
      </c>
      <c r="GX33">
        <v>8.6499999999999997E-3</v>
      </c>
      <c r="GY33">
        <v>9.9000000000000008E-3</v>
      </c>
      <c r="GZ33">
        <v>8.4899999999999993E-3</v>
      </c>
      <c r="HC33">
        <v>6.6600000000000001E-3</v>
      </c>
      <c r="HE33">
        <v>7.2100000000000003E-3</v>
      </c>
      <c r="HF33">
        <v>6.6400000000000001E-3</v>
      </c>
      <c r="HG33">
        <v>8.9599999999999992E-3</v>
      </c>
      <c r="HH33">
        <v>9.1400000000000006E-3</v>
      </c>
      <c r="HI33">
        <v>9.8600000000000007E-3</v>
      </c>
      <c r="HJ33">
        <v>4.8700000000000002E-3</v>
      </c>
      <c r="HK33">
        <v>8.7299999999999999E-3</v>
      </c>
      <c r="HL33">
        <v>8.5100000000000002E-3</v>
      </c>
      <c r="HM33">
        <v>8.2000000000000007E-3</v>
      </c>
      <c r="HN33">
        <v>8.0099999999999998E-3</v>
      </c>
      <c r="HO33">
        <v>7.9500000000000005E-3</v>
      </c>
      <c r="HP33">
        <v>5.6100000000000004E-3</v>
      </c>
      <c r="HQ33">
        <v>8.3899999999999999E-3</v>
      </c>
      <c r="HR33">
        <v>1.0109999999999999E-2</v>
      </c>
      <c r="HS33">
        <v>1.23E-2</v>
      </c>
      <c r="HT33">
        <v>7.4999999999999997E-3</v>
      </c>
      <c r="HU33">
        <v>5.9100000000000003E-3</v>
      </c>
      <c r="HV33">
        <v>8.0499999999999999E-3</v>
      </c>
      <c r="HX33">
        <v>9.58E-3</v>
      </c>
      <c r="HY33">
        <v>7.4799999999999997E-3</v>
      </c>
      <c r="HZ33">
        <v>4.7200000000000002E-3</v>
      </c>
      <c r="IA33">
        <v>8.5699999999999995E-3</v>
      </c>
      <c r="IB33">
        <v>1.03E-2</v>
      </c>
      <c r="IC33">
        <v>8.3599999999999994E-3</v>
      </c>
      <c r="ID33">
        <v>6.7000000000000002E-3</v>
      </c>
      <c r="IE33">
        <v>6.1199999999999996E-3</v>
      </c>
      <c r="IF33">
        <v>6.1900000000000002E-3</v>
      </c>
      <c r="IG33">
        <v>7.1999999999999998E-3</v>
      </c>
      <c r="IH33">
        <v>7.9600000000000001E-3</v>
      </c>
      <c r="II33">
        <v>5.62E-3</v>
      </c>
      <c r="IJ33">
        <v>6.6699999999999997E-3</v>
      </c>
      <c r="IK33">
        <v>7.3400000000000002E-3</v>
      </c>
      <c r="IL33">
        <v>8.1399999999999997E-3</v>
      </c>
      <c r="IM33">
        <v>8.9999999999999993E-3</v>
      </c>
      <c r="IN33">
        <v>9.75E-3</v>
      </c>
      <c r="IO33">
        <v>1.072E-2</v>
      </c>
      <c r="IP33">
        <v>1.2869999999999999E-2</v>
      </c>
      <c r="IQ33">
        <v>1.4069999999999999E-2</v>
      </c>
      <c r="IR33">
        <v>1.5630000000000002E-2</v>
      </c>
      <c r="IT33">
        <v>5.8700000000000002E-3</v>
      </c>
      <c r="IU33">
        <v>6.79E-3</v>
      </c>
      <c r="IV33">
        <v>5.2500000000000003E-3</v>
      </c>
      <c r="IW33">
        <v>6.1500000000000001E-3</v>
      </c>
      <c r="IX33">
        <v>4.0600000000000002E-3</v>
      </c>
      <c r="IY33">
        <v>4.79E-3</v>
      </c>
      <c r="IZ33">
        <v>4.5999999999999999E-3</v>
      </c>
      <c r="JA33">
        <v>5.1399999999999996E-3</v>
      </c>
      <c r="JB33">
        <v>5.3800000000000002E-3</v>
      </c>
      <c r="JC33">
        <v>5.8199999999999997E-3</v>
      </c>
      <c r="JE33">
        <v>5.2100000000000002E-3</v>
      </c>
      <c r="JF33">
        <v>6.2300000000000003E-3</v>
      </c>
      <c r="JG33">
        <v>7.3899999999999999E-3</v>
      </c>
      <c r="JH33">
        <v>1.26E-2</v>
      </c>
      <c r="JI33">
        <v>8.3499999999999998E-3</v>
      </c>
      <c r="JJ33">
        <v>7.1000000000000004E-3</v>
      </c>
      <c r="JK33">
        <v>1.078E-2</v>
      </c>
      <c r="JL33">
        <v>9.75E-3</v>
      </c>
      <c r="JM33">
        <v>7.1500000000000001E-3</v>
      </c>
      <c r="JN33">
        <v>9.9600000000000001E-3</v>
      </c>
      <c r="JP33">
        <v>7.6699999999999997E-3</v>
      </c>
      <c r="JQ33">
        <v>6.1199999999999996E-3</v>
      </c>
      <c r="JR33">
        <v>6.7099999999999998E-3</v>
      </c>
      <c r="JS33">
        <v>6.0499999999999998E-3</v>
      </c>
      <c r="JT33">
        <v>6.9300000000000004E-3</v>
      </c>
      <c r="JU33">
        <v>7.4400000000000004E-3</v>
      </c>
      <c r="JV33">
        <v>6.4400000000000004E-3</v>
      </c>
      <c r="JW33">
        <v>7.3800000000000003E-3</v>
      </c>
      <c r="JX33">
        <v>6.7400000000000003E-3</v>
      </c>
      <c r="JY33">
        <v>7.8499999999999993E-3</v>
      </c>
      <c r="JZ33">
        <v>8.6800000000000002E-3</v>
      </c>
      <c r="KA33">
        <v>8.4899999999999993E-3</v>
      </c>
      <c r="KB33">
        <v>6.3299999999999997E-3</v>
      </c>
      <c r="KC33">
        <v>6.6E-3</v>
      </c>
      <c r="KD33">
        <v>7.1500000000000001E-3</v>
      </c>
      <c r="KE33">
        <v>8.0400000000000003E-3</v>
      </c>
      <c r="KF33">
        <v>1.035E-2</v>
      </c>
      <c r="KG33">
        <v>1.2370000000000001E-2</v>
      </c>
      <c r="KH33">
        <v>9.9799999999999993E-3</v>
      </c>
      <c r="KI33">
        <v>9.1500000000000001E-3</v>
      </c>
      <c r="KJ33">
        <v>9.1999999999999998E-3</v>
      </c>
      <c r="KK33">
        <v>9.2399999999999999E-3</v>
      </c>
      <c r="KL33">
        <v>9.5499999999999995E-3</v>
      </c>
      <c r="KM33">
        <v>9.7099999999999999E-3</v>
      </c>
      <c r="KN33">
        <v>5.6899999999999997E-3</v>
      </c>
      <c r="KO33">
        <v>5.9300000000000004E-3</v>
      </c>
      <c r="KP33">
        <v>8.5900000000000004E-3</v>
      </c>
      <c r="KQ33">
        <v>8.8900000000000003E-3</v>
      </c>
      <c r="KR33">
        <v>9.6399999999999993E-3</v>
      </c>
      <c r="KS33">
        <v>7.3699999999999998E-3</v>
      </c>
      <c r="KT33">
        <v>7.8399999999999997E-3</v>
      </c>
      <c r="KU33">
        <v>5.7999999999999996E-3</v>
      </c>
      <c r="KV33">
        <v>5.0000000000000001E-3</v>
      </c>
      <c r="KW33">
        <v>5.5999999999999999E-3</v>
      </c>
      <c r="KX33">
        <v>1.2919999999999999E-2</v>
      </c>
      <c r="KY33">
        <v>6.0400000000000002E-3</v>
      </c>
      <c r="KZ33">
        <v>7.4099999999999999E-3</v>
      </c>
      <c r="LA33">
        <v>7.3099999999999997E-3</v>
      </c>
      <c r="LB33">
        <v>6.9499999999999996E-3</v>
      </c>
      <c r="LC33">
        <v>7.0600000000000003E-3</v>
      </c>
      <c r="LD33">
        <v>7.0600000000000003E-3</v>
      </c>
      <c r="LE33">
        <v>1.0789999999999999E-2</v>
      </c>
      <c r="LF33">
        <v>1.026E-2</v>
      </c>
      <c r="LG33">
        <v>9.4900000000000002E-3</v>
      </c>
      <c r="LI33">
        <v>1.069E-2</v>
      </c>
      <c r="LJ33">
        <v>1.098E-2</v>
      </c>
      <c r="LK33">
        <v>1.098E-2</v>
      </c>
      <c r="LL33">
        <v>8.0800000000000004E-3</v>
      </c>
      <c r="LM33">
        <v>5.8799999999999998E-3</v>
      </c>
      <c r="LN33">
        <v>8.7600000000000004E-3</v>
      </c>
      <c r="LO33">
        <v>8.8800000000000007E-3</v>
      </c>
      <c r="LP33">
        <v>7.4200000000000004E-3</v>
      </c>
      <c r="LR33">
        <v>1.0789999999999999E-2</v>
      </c>
      <c r="LS33">
        <v>1.192E-2</v>
      </c>
      <c r="LT33">
        <v>7.2700000000000004E-3</v>
      </c>
      <c r="LU33">
        <v>1.103E-2</v>
      </c>
      <c r="LV33">
        <v>1.2999999999999999E-2</v>
      </c>
      <c r="LW33">
        <v>4.8900000000000002E-3</v>
      </c>
      <c r="LX33">
        <v>5.6800000000000002E-3</v>
      </c>
      <c r="LZ33">
        <v>8.4600000000000005E-3</v>
      </c>
      <c r="MA33">
        <v>8.3599999999999994E-3</v>
      </c>
      <c r="MB33">
        <v>4.3200000000000001E-3</v>
      </c>
      <c r="MD33">
        <v>1.1209999999999999E-2</v>
      </c>
      <c r="ME33">
        <v>1.436E-2</v>
      </c>
      <c r="MF33">
        <v>1.6549999999999999E-2</v>
      </c>
      <c r="MG33">
        <v>1.703E-2</v>
      </c>
      <c r="MH33">
        <v>7.5399999999999998E-3</v>
      </c>
      <c r="MI33">
        <v>8.7100000000000007E-3</v>
      </c>
      <c r="MJ33">
        <v>8.6099999999999996E-3</v>
      </c>
      <c r="MK33">
        <v>8.5000000000000006E-3</v>
      </c>
      <c r="ML33">
        <v>1.01E-2</v>
      </c>
      <c r="MM33">
        <v>8.9999999999999993E-3</v>
      </c>
      <c r="MN33">
        <v>6.0499999999999998E-3</v>
      </c>
      <c r="MO33">
        <v>6.6299999999999996E-3</v>
      </c>
      <c r="MP33">
        <v>6.8999999999999999E-3</v>
      </c>
      <c r="MQ33">
        <v>5.3800000000000002E-3</v>
      </c>
      <c r="MR33">
        <v>6.8300000000000001E-3</v>
      </c>
      <c r="MS33">
        <v>7.4900000000000001E-3</v>
      </c>
      <c r="MT33">
        <v>8.4100000000000008E-3</v>
      </c>
      <c r="MU33">
        <v>5.3400000000000001E-3</v>
      </c>
      <c r="MV33">
        <v>6.1599999999999997E-3</v>
      </c>
      <c r="MW33">
        <v>6.5500000000000003E-3</v>
      </c>
      <c r="MX33">
        <v>6.7400000000000003E-3</v>
      </c>
      <c r="MY33">
        <v>7.3299999999999997E-3</v>
      </c>
      <c r="MZ33">
        <v>8.1499999999999993E-3</v>
      </c>
      <c r="NA33">
        <v>7.4599999999999996E-3</v>
      </c>
      <c r="NB33">
        <v>7.4700000000000001E-3</v>
      </c>
      <c r="ND33">
        <v>1.3350000000000001E-2</v>
      </c>
      <c r="NE33">
        <v>8.7100000000000007E-3</v>
      </c>
      <c r="NF33">
        <v>9.0500000000000008E-3</v>
      </c>
      <c r="NH33">
        <v>4.5799999999999999E-3</v>
      </c>
      <c r="NI33">
        <v>5.0099999999999997E-3</v>
      </c>
      <c r="NJ33">
        <v>5.5399999999999998E-3</v>
      </c>
      <c r="NK33">
        <v>4.9399999999999999E-3</v>
      </c>
      <c r="NL33">
        <v>5.2500000000000003E-3</v>
      </c>
      <c r="NM33">
        <v>5.5599999999999998E-3</v>
      </c>
      <c r="NN33">
        <v>5.8799999999999998E-3</v>
      </c>
      <c r="NO33">
        <v>6.1000000000000004E-3</v>
      </c>
      <c r="NP33">
        <v>5.0200000000000002E-3</v>
      </c>
      <c r="NQ33">
        <v>5.3299999999999997E-3</v>
      </c>
      <c r="NR33">
        <v>5.3400000000000001E-3</v>
      </c>
      <c r="NS33">
        <v>5.5900000000000004E-3</v>
      </c>
      <c r="NT33">
        <v>6.1199999999999996E-3</v>
      </c>
      <c r="NU33">
        <v>5.0099999999999997E-3</v>
      </c>
      <c r="NV33">
        <v>5.3200000000000001E-3</v>
      </c>
      <c r="NW33">
        <v>5.3699999999999998E-3</v>
      </c>
      <c r="NX33">
        <v>5.5599999999999998E-3</v>
      </c>
      <c r="NY33">
        <v>5.6499999999999996E-3</v>
      </c>
      <c r="NZ33">
        <v>5.9699999999999996E-3</v>
      </c>
      <c r="OA33">
        <v>6.1799999999999997E-3</v>
      </c>
      <c r="OB33">
        <v>5.0499999999999998E-3</v>
      </c>
      <c r="OC33">
        <v>5.3600000000000002E-3</v>
      </c>
      <c r="OD33">
        <v>5.4999999999999997E-3</v>
      </c>
      <c r="OE33">
        <v>5.4999999999999997E-3</v>
      </c>
      <c r="OF33">
        <v>7.8899999999999994E-3</v>
      </c>
      <c r="OG33">
        <v>5.7099999999999998E-3</v>
      </c>
      <c r="OH33">
        <v>6.0000000000000001E-3</v>
      </c>
      <c r="OI33">
        <v>6.2700000000000004E-3</v>
      </c>
      <c r="OJ33">
        <v>6.5100000000000002E-3</v>
      </c>
      <c r="OK33">
        <v>6.7000000000000002E-3</v>
      </c>
      <c r="OL33">
        <v>6.9100000000000003E-3</v>
      </c>
      <c r="OM33">
        <v>5.2100000000000002E-3</v>
      </c>
      <c r="ON33">
        <v>5.4799999999999996E-3</v>
      </c>
      <c r="OO33">
        <v>5.7800000000000004E-3</v>
      </c>
      <c r="OP33">
        <v>6.3099999999999996E-3</v>
      </c>
      <c r="OQ33">
        <v>6.5599999999999999E-3</v>
      </c>
      <c r="OR33">
        <v>6.7999999999999996E-3</v>
      </c>
      <c r="OS33">
        <v>7.6099999999999996E-3</v>
      </c>
      <c r="OU33">
        <v>5.62E-3</v>
      </c>
      <c r="OV33">
        <v>6.0000000000000001E-3</v>
      </c>
      <c r="OW33">
        <v>3.65E-3</v>
      </c>
      <c r="OX33">
        <v>3.5200000000000001E-3</v>
      </c>
      <c r="OY33">
        <v>4.15E-3</v>
      </c>
      <c r="OZ33">
        <v>4.9899999999999996E-3</v>
      </c>
      <c r="PA33">
        <v>1.03E-2</v>
      </c>
      <c r="PB33">
        <v>1.124E-2</v>
      </c>
      <c r="PC33">
        <v>8.6899999999999998E-3</v>
      </c>
      <c r="PD33">
        <v>7.4599999999999996E-3</v>
      </c>
      <c r="PE33">
        <v>6.9199999999999999E-3</v>
      </c>
      <c r="PF33">
        <v>6.4799999999999996E-3</v>
      </c>
      <c r="PG33">
        <v>5.9300000000000004E-3</v>
      </c>
      <c r="PH33">
        <v>6.2100000000000002E-3</v>
      </c>
      <c r="PI33">
        <v>7.9900000000000006E-3</v>
      </c>
      <c r="PJ33">
        <v>7.3899999999999999E-3</v>
      </c>
      <c r="PK33">
        <v>6.7499999999999999E-3</v>
      </c>
      <c r="PL33">
        <v>6.2399999999999999E-3</v>
      </c>
      <c r="PM33">
        <v>5.6899999999999997E-3</v>
      </c>
      <c r="PN33">
        <v>5.5700000000000003E-3</v>
      </c>
      <c r="PO33">
        <v>5.7200000000000003E-3</v>
      </c>
      <c r="PQ33">
        <v>6.0299999999999998E-3</v>
      </c>
      <c r="PR33">
        <v>5.47E-3</v>
      </c>
      <c r="PS33">
        <v>6.4700000000000001E-3</v>
      </c>
      <c r="PT33">
        <v>6.2899999999999996E-3</v>
      </c>
      <c r="PU33">
        <v>4.9300000000000004E-3</v>
      </c>
      <c r="PV33">
        <v>5.4799999999999996E-3</v>
      </c>
      <c r="PW33">
        <v>5.8900000000000003E-3</v>
      </c>
      <c r="PX33">
        <v>6.6699999999999997E-3</v>
      </c>
      <c r="PY33">
        <v>7.6499999999999997E-3</v>
      </c>
      <c r="PZ33">
        <v>8.8900000000000003E-3</v>
      </c>
      <c r="QA33">
        <v>4.3E-3</v>
      </c>
      <c r="QB33">
        <v>4.5599999999999998E-3</v>
      </c>
      <c r="QC33">
        <v>6.0099999999999997E-3</v>
      </c>
      <c r="QE33">
        <v>4.8799999999999998E-3</v>
      </c>
      <c r="QF33">
        <v>4.8500000000000001E-3</v>
      </c>
      <c r="QG33">
        <v>6.5799999999999999E-3</v>
      </c>
      <c r="QH33">
        <v>4.8500000000000001E-3</v>
      </c>
      <c r="QI33">
        <v>5.2399999999999999E-3</v>
      </c>
      <c r="QJ33">
        <v>5.1799999999999997E-3</v>
      </c>
      <c r="QK33">
        <v>5.0000000000000001E-3</v>
      </c>
      <c r="QL33">
        <v>4.7999999999999996E-3</v>
      </c>
      <c r="QM33">
        <v>5.6100000000000004E-3</v>
      </c>
      <c r="QN33">
        <v>7.7400000000000004E-3</v>
      </c>
      <c r="QO33">
        <v>6.7299999999999999E-3</v>
      </c>
      <c r="QP33">
        <v>6.9800000000000001E-3</v>
      </c>
      <c r="QQ33">
        <v>7.4099999999999999E-3</v>
      </c>
      <c r="QR33">
        <v>8.9599999999999992E-3</v>
      </c>
      <c r="QS33">
        <v>8.9300000000000004E-3</v>
      </c>
      <c r="QU33">
        <v>6.8799999999999998E-3</v>
      </c>
      <c r="QV33">
        <v>6.9699999999999996E-3</v>
      </c>
      <c r="QW33">
        <v>6.6400000000000001E-3</v>
      </c>
      <c r="QX33">
        <v>6.4400000000000004E-3</v>
      </c>
      <c r="QY33">
        <v>6.0299999999999998E-3</v>
      </c>
      <c r="QZ33">
        <v>6.4900000000000001E-3</v>
      </c>
      <c r="RA33">
        <v>7.8100000000000001E-3</v>
      </c>
      <c r="RB33">
        <v>9.5099999999999994E-3</v>
      </c>
      <c r="RC33">
        <v>7.8499999999999993E-3</v>
      </c>
      <c r="RD33">
        <v>1.431E-2</v>
      </c>
      <c r="RE33">
        <v>1.112E-2</v>
      </c>
      <c r="RF33">
        <v>8.94E-3</v>
      </c>
      <c r="RG33">
        <v>6.1399999999999996E-3</v>
      </c>
      <c r="RH33">
        <v>5.8199999999999997E-3</v>
      </c>
      <c r="RI33">
        <v>9.2099999999999994E-3</v>
      </c>
      <c r="RJ33">
        <v>9.0900000000000009E-3</v>
      </c>
      <c r="RK33">
        <v>8.8100000000000001E-3</v>
      </c>
      <c r="RL33">
        <v>8.0599999999999995E-3</v>
      </c>
      <c r="RM33">
        <v>5.0600000000000003E-3</v>
      </c>
      <c r="RN33">
        <v>5.1000000000000004E-3</v>
      </c>
      <c r="RO33">
        <v>5.1000000000000004E-3</v>
      </c>
      <c r="RP33">
        <v>4.7099999999999998E-3</v>
      </c>
      <c r="RQ33">
        <v>5.1500000000000001E-3</v>
      </c>
      <c r="RR33">
        <v>4.8700000000000002E-3</v>
      </c>
      <c r="RS33">
        <v>5.0200000000000002E-3</v>
      </c>
      <c r="RT33">
        <v>4.2199999999999998E-3</v>
      </c>
      <c r="RU33">
        <v>5.0499999999999998E-3</v>
      </c>
      <c r="RV33">
        <v>5.6800000000000002E-3</v>
      </c>
      <c r="RW33">
        <v>6.3499999999999997E-3</v>
      </c>
      <c r="RX33">
        <v>5.7200000000000003E-3</v>
      </c>
      <c r="RY33">
        <v>4.0200000000000001E-3</v>
      </c>
      <c r="RZ33">
        <v>6.3200000000000001E-3</v>
      </c>
      <c r="SA33">
        <v>1.044E-2</v>
      </c>
      <c r="SB33">
        <v>9.2999999999999992E-3</v>
      </c>
      <c r="SC33">
        <v>7.3800000000000003E-3</v>
      </c>
      <c r="SD33">
        <v>7.6099999999999996E-3</v>
      </c>
      <c r="SE33">
        <v>6.8999999999999999E-3</v>
      </c>
      <c r="SF33">
        <v>7.9699999999999997E-3</v>
      </c>
      <c r="SG33">
        <v>9.9299999999999996E-3</v>
      </c>
      <c r="SH33">
        <v>1.248E-2</v>
      </c>
      <c r="SI33">
        <v>6.9499999999999996E-3</v>
      </c>
      <c r="SJ33">
        <v>5.5300000000000002E-3</v>
      </c>
      <c r="SK33">
        <v>4.96E-3</v>
      </c>
      <c r="SL33">
        <v>5.2100000000000002E-3</v>
      </c>
      <c r="SM33">
        <v>4.5799999999999999E-3</v>
      </c>
      <c r="SN33">
        <v>4.6100000000000004E-3</v>
      </c>
      <c r="SO33">
        <v>4.5199999999999997E-3</v>
      </c>
      <c r="SP33">
        <v>6.3E-3</v>
      </c>
      <c r="SQ33">
        <v>5.7499999999999999E-3</v>
      </c>
      <c r="SS33">
        <v>4.8799999999999998E-3</v>
      </c>
      <c r="ST33">
        <v>4.8300000000000001E-3</v>
      </c>
      <c r="SU33">
        <v>5.3600000000000002E-3</v>
      </c>
      <c r="SV33">
        <v>5.0499999999999998E-3</v>
      </c>
      <c r="SW33">
        <v>5.3400000000000001E-3</v>
      </c>
      <c r="SY33">
        <v>5.1200000000000004E-3</v>
      </c>
      <c r="SZ33">
        <v>5.9300000000000004E-3</v>
      </c>
      <c r="TA33">
        <v>5.7299999999999999E-3</v>
      </c>
      <c r="TB33">
        <v>6.1900000000000002E-3</v>
      </c>
      <c r="TC33">
        <v>5.1500000000000001E-3</v>
      </c>
      <c r="TD33">
        <v>5.7000000000000002E-3</v>
      </c>
      <c r="TE33">
        <v>7.4700000000000001E-3</v>
      </c>
      <c r="TG33">
        <v>6.3400000000000001E-3</v>
      </c>
      <c r="TH33">
        <v>8.0599999999999995E-3</v>
      </c>
      <c r="TI33">
        <v>5.4000000000000003E-3</v>
      </c>
      <c r="TJ33">
        <v>6.5199999999999998E-3</v>
      </c>
      <c r="TK33">
        <v>4.9300000000000004E-3</v>
      </c>
      <c r="TL33">
        <v>4.5399999999999998E-3</v>
      </c>
      <c r="TM33">
        <v>4.1700000000000001E-3</v>
      </c>
      <c r="TN33">
        <v>5.4999999999999997E-3</v>
      </c>
      <c r="TO33">
        <v>5.3499999999999997E-3</v>
      </c>
      <c r="TP33">
        <v>4.9399999999999999E-3</v>
      </c>
      <c r="TQ33">
        <v>5.3600000000000002E-3</v>
      </c>
      <c r="TR33">
        <v>6.5599999999999999E-3</v>
      </c>
      <c r="TS33">
        <v>7.0800000000000004E-3</v>
      </c>
      <c r="TT33">
        <v>6.94E-3</v>
      </c>
      <c r="TV33">
        <v>5.6699999999999997E-3</v>
      </c>
      <c r="TX33">
        <v>5.1999999999999998E-3</v>
      </c>
      <c r="TY33">
        <v>4.7200000000000002E-3</v>
      </c>
      <c r="TZ33">
        <v>5.2700000000000004E-3</v>
      </c>
      <c r="UA33">
        <v>4.8700000000000002E-3</v>
      </c>
      <c r="UC33">
        <v>4.9100000000000003E-3</v>
      </c>
      <c r="UD33">
        <v>4.9100000000000003E-3</v>
      </c>
      <c r="UE33">
        <v>4.9500000000000004E-3</v>
      </c>
      <c r="UF33">
        <v>4.7099999999999998E-3</v>
      </c>
      <c r="UG33">
        <v>4.8199999999999996E-3</v>
      </c>
      <c r="UH33">
        <v>5.6899999999999997E-3</v>
      </c>
      <c r="UI33">
        <v>5.3E-3</v>
      </c>
      <c r="UK33">
        <v>5.2700000000000004E-3</v>
      </c>
      <c r="UL33">
        <v>5.5799999999999999E-3</v>
      </c>
      <c r="UM33">
        <v>6.2500000000000003E-3</v>
      </c>
      <c r="UN33">
        <v>5.0000000000000001E-3</v>
      </c>
      <c r="UO33">
        <v>5.3400000000000001E-3</v>
      </c>
      <c r="UP33">
        <v>7.2700000000000004E-3</v>
      </c>
      <c r="UQ33">
        <v>4.8599999999999997E-3</v>
      </c>
      <c r="UR33">
        <v>4.7800000000000004E-3</v>
      </c>
      <c r="UT33">
        <v>4.8700000000000002E-3</v>
      </c>
      <c r="UU33">
        <v>5.0899999999999999E-3</v>
      </c>
      <c r="UV33">
        <v>5.3E-3</v>
      </c>
      <c r="UW33">
        <v>7.26E-3</v>
      </c>
      <c r="UX33">
        <v>5.1900000000000002E-3</v>
      </c>
      <c r="UY33">
        <v>5.5300000000000002E-3</v>
      </c>
      <c r="VA33">
        <v>8.1700000000000002E-3</v>
      </c>
      <c r="VB33">
        <v>5.8900000000000003E-3</v>
      </c>
      <c r="VC33">
        <v>7.3400000000000002E-3</v>
      </c>
      <c r="VD33">
        <v>1.2489999999999999E-2</v>
      </c>
      <c r="VE33">
        <v>8.1300000000000001E-3</v>
      </c>
      <c r="VF33">
        <v>1.205E-2</v>
      </c>
      <c r="VG33">
        <v>1.013E-2</v>
      </c>
      <c r="VH33">
        <v>6.77E-3</v>
      </c>
      <c r="VI33">
        <v>6.5700000000000003E-3</v>
      </c>
    </row>
    <row r="34" spans="1:581" x14ac:dyDescent="0.25">
      <c r="A34">
        <v>775000</v>
      </c>
      <c r="B34">
        <v>4.28E-3</v>
      </c>
      <c r="C34">
        <v>4.2300000000000003E-3</v>
      </c>
      <c r="D34">
        <v>3.9699999999999996E-3</v>
      </c>
      <c r="E34">
        <v>4.2199999999999998E-3</v>
      </c>
      <c r="F34">
        <v>4.2100000000000002E-3</v>
      </c>
      <c r="G34">
        <v>5.9500000000000004E-3</v>
      </c>
      <c r="H34">
        <v>4.2900000000000004E-3</v>
      </c>
      <c r="I34">
        <v>4.0899999999999999E-3</v>
      </c>
      <c r="J34">
        <v>3.9899999999999996E-3</v>
      </c>
      <c r="K34">
        <v>5.13E-3</v>
      </c>
      <c r="L34">
        <v>4.5700000000000003E-3</v>
      </c>
      <c r="M34">
        <v>4.0899999999999999E-3</v>
      </c>
      <c r="N34">
        <v>4.0200000000000001E-3</v>
      </c>
      <c r="O34">
        <v>5.8700000000000002E-3</v>
      </c>
      <c r="P34">
        <v>5.7200000000000003E-3</v>
      </c>
      <c r="Q34">
        <v>5.6699999999999997E-3</v>
      </c>
      <c r="R34">
        <v>5.4000000000000003E-3</v>
      </c>
      <c r="S34">
        <v>4.7600000000000003E-3</v>
      </c>
      <c r="T34">
        <v>4.6899999999999997E-3</v>
      </c>
      <c r="U34">
        <v>6.13E-3</v>
      </c>
      <c r="V34">
        <v>4.7299999999999998E-3</v>
      </c>
      <c r="W34">
        <v>5.9300000000000004E-3</v>
      </c>
      <c r="X34">
        <v>4.6100000000000004E-3</v>
      </c>
      <c r="Y34">
        <v>5.6100000000000004E-3</v>
      </c>
      <c r="Z34">
        <v>4.2500000000000003E-3</v>
      </c>
      <c r="AA34">
        <v>7.8499999999999993E-3</v>
      </c>
      <c r="AB34">
        <v>7.2199999999999999E-3</v>
      </c>
      <c r="AC34">
        <v>7.6600000000000001E-3</v>
      </c>
      <c r="AD34">
        <v>6.0299999999999998E-3</v>
      </c>
      <c r="AE34">
        <v>6.9699999999999996E-3</v>
      </c>
      <c r="AF34">
        <v>7.0000000000000001E-3</v>
      </c>
      <c r="AG34">
        <v>7.2500000000000004E-3</v>
      </c>
      <c r="AH34">
        <v>7.1199999999999996E-3</v>
      </c>
      <c r="AI34">
        <v>8.3400000000000002E-3</v>
      </c>
      <c r="AJ34">
        <v>6.0099999999999997E-3</v>
      </c>
      <c r="AK34">
        <v>6.6299999999999996E-3</v>
      </c>
      <c r="AL34">
        <v>8.2400000000000008E-3</v>
      </c>
      <c r="AM34">
        <v>7.1999999999999998E-3</v>
      </c>
      <c r="AN34">
        <v>7.7999999999999996E-3</v>
      </c>
      <c r="AO34">
        <v>1.3679999999999999E-2</v>
      </c>
      <c r="AP34">
        <v>7.8899999999999994E-3</v>
      </c>
      <c r="AQ34">
        <v>9.8200000000000006E-3</v>
      </c>
      <c r="AR34">
        <v>8.4700000000000001E-3</v>
      </c>
      <c r="AS34">
        <v>8.8199999999999997E-3</v>
      </c>
      <c r="AT34">
        <v>6.8700000000000002E-3</v>
      </c>
      <c r="AU34">
        <v>7.62E-3</v>
      </c>
      <c r="AV34">
        <v>9.1400000000000006E-3</v>
      </c>
      <c r="AW34">
        <v>7.9299999999999995E-3</v>
      </c>
      <c r="AX34">
        <v>7.7200000000000003E-3</v>
      </c>
      <c r="AY34">
        <v>7.7000000000000002E-3</v>
      </c>
      <c r="AZ34">
        <v>6.96E-3</v>
      </c>
      <c r="BA34">
        <v>8.6599999999999993E-3</v>
      </c>
      <c r="BB34">
        <v>7.4999999999999997E-3</v>
      </c>
      <c r="BC34">
        <v>8.1499999999999993E-3</v>
      </c>
      <c r="BD34">
        <v>8.6199999999999992E-3</v>
      </c>
      <c r="BE34">
        <v>1.0359999999999999E-2</v>
      </c>
      <c r="BF34">
        <v>1.1480000000000001E-2</v>
      </c>
      <c r="BG34">
        <v>7.6800000000000002E-3</v>
      </c>
      <c r="BH34">
        <v>8.2000000000000007E-3</v>
      </c>
      <c r="BI34">
        <v>1.1560000000000001E-2</v>
      </c>
      <c r="BJ34">
        <v>8.0599999999999995E-3</v>
      </c>
      <c r="BK34">
        <v>8.5000000000000006E-3</v>
      </c>
      <c r="BL34">
        <v>8.5500000000000003E-3</v>
      </c>
      <c r="BM34">
        <v>8.0999999999999996E-3</v>
      </c>
      <c r="BN34">
        <v>6.0499999999999998E-3</v>
      </c>
      <c r="BO34">
        <v>9.4000000000000004E-3</v>
      </c>
      <c r="BP34">
        <v>7.1700000000000002E-3</v>
      </c>
      <c r="BQ34">
        <v>6.3200000000000001E-3</v>
      </c>
      <c r="BR34">
        <v>6.8399999999999997E-3</v>
      </c>
      <c r="BS34">
        <v>1.332E-2</v>
      </c>
      <c r="BT34">
        <v>9.4500000000000001E-3</v>
      </c>
      <c r="BU34">
        <v>9.92E-3</v>
      </c>
      <c r="BV34">
        <v>1.004E-2</v>
      </c>
      <c r="BW34">
        <v>9.6900000000000007E-3</v>
      </c>
      <c r="BX34">
        <v>9.41E-3</v>
      </c>
      <c r="BY34">
        <v>9.7699999999999992E-3</v>
      </c>
      <c r="BZ34">
        <v>8.7799999999999996E-3</v>
      </c>
      <c r="CA34">
        <v>8.9499999999999996E-3</v>
      </c>
      <c r="CB34">
        <v>6.9800000000000001E-3</v>
      </c>
      <c r="CC34">
        <v>7.6600000000000001E-3</v>
      </c>
      <c r="CD34">
        <v>6.4099999999999999E-3</v>
      </c>
      <c r="CE34">
        <v>5.4000000000000003E-3</v>
      </c>
      <c r="CF34">
        <v>5.2599999999999999E-3</v>
      </c>
      <c r="CG34">
        <v>5.1700000000000001E-3</v>
      </c>
      <c r="CH34">
        <v>5.13E-3</v>
      </c>
      <c r="CI34">
        <v>5.1700000000000001E-3</v>
      </c>
      <c r="CJ34">
        <v>5.2300000000000003E-3</v>
      </c>
      <c r="CK34">
        <v>6.0699999999999999E-3</v>
      </c>
      <c r="CL34">
        <v>5.6299999999999996E-3</v>
      </c>
      <c r="CM34">
        <v>6.3099999999999996E-3</v>
      </c>
      <c r="CN34">
        <v>6.9499999999999996E-3</v>
      </c>
      <c r="CO34">
        <v>6.5399999999999998E-3</v>
      </c>
      <c r="CP34">
        <v>7.1500000000000001E-3</v>
      </c>
      <c r="CR34">
        <v>6.4200000000000004E-3</v>
      </c>
      <c r="CS34">
        <v>7.1900000000000002E-3</v>
      </c>
      <c r="CT34">
        <v>7.6099999999999996E-3</v>
      </c>
      <c r="CU34">
        <v>5.9500000000000004E-3</v>
      </c>
      <c r="CV34">
        <v>5.64E-3</v>
      </c>
      <c r="CW34">
        <v>6.2300000000000003E-3</v>
      </c>
      <c r="CX34">
        <v>6.0600000000000003E-3</v>
      </c>
      <c r="CY34">
        <v>6.1900000000000002E-3</v>
      </c>
      <c r="CZ34">
        <v>5.4400000000000004E-3</v>
      </c>
      <c r="DA34">
        <v>5.3800000000000002E-3</v>
      </c>
      <c r="DB34">
        <v>5.28E-3</v>
      </c>
      <c r="DC34">
        <v>5.1999999999999998E-3</v>
      </c>
      <c r="DD34">
        <v>5.0899999999999999E-3</v>
      </c>
      <c r="DE34">
        <v>5.0000000000000001E-3</v>
      </c>
      <c r="DF34">
        <v>9.2999999999999992E-3</v>
      </c>
      <c r="DG34">
        <v>5.7999999999999996E-3</v>
      </c>
      <c r="DH34">
        <v>8.0199999999999994E-3</v>
      </c>
      <c r="DI34">
        <v>7.7400000000000004E-3</v>
      </c>
      <c r="DJ34">
        <v>7.6699999999999997E-3</v>
      </c>
      <c r="DK34">
        <v>7.5399999999999998E-3</v>
      </c>
      <c r="DM34">
        <v>6.5500000000000003E-3</v>
      </c>
      <c r="DN34">
        <v>7.2500000000000004E-3</v>
      </c>
      <c r="DO34">
        <v>6.6E-3</v>
      </c>
      <c r="DP34">
        <v>8.9700000000000005E-3</v>
      </c>
      <c r="DQ34">
        <v>8.8000000000000005E-3</v>
      </c>
      <c r="DR34">
        <v>7.4700000000000001E-3</v>
      </c>
      <c r="DS34">
        <v>8.2799999999999992E-3</v>
      </c>
      <c r="DT34">
        <v>7.7799999999999996E-3</v>
      </c>
      <c r="DU34">
        <v>7.2500000000000004E-3</v>
      </c>
      <c r="DV34">
        <v>9.4299999999999991E-3</v>
      </c>
      <c r="DW34">
        <v>8.1700000000000002E-3</v>
      </c>
      <c r="DX34">
        <v>7.8100000000000001E-3</v>
      </c>
      <c r="DY34">
        <v>1.0370000000000001E-2</v>
      </c>
      <c r="EA34">
        <v>6.1599999999999997E-3</v>
      </c>
      <c r="EB34">
        <v>6.0800000000000003E-3</v>
      </c>
      <c r="EC34">
        <v>5.5500000000000002E-3</v>
      </c>
      <c r="EF34">
        <v>2.2519999999999998E-2</v>
      </c>
      <c r="EH34">
        <v>2.392E-2</v>
      </c>
      <c r="EI34">
        <v>6.6100000000000004E-3</v>
      </c>
      <c r="EJ34">
        <v>5.45E-3</v>
      </c>
      <c r="EK34">
        <v>6.13E-3</v>
      </c>
      <c r="EL34">
        <v>6.7299999999999999E-3</v>
      </c>
      <c r="EN34">
        <v>7.3600000000000002E-3</v>
      </c>
      <c r="EO34">
        <v>7.4999999999999997E-3</v>
      </c>
      <c r="EP34">
        <v>7.8200000000000006E-3</v>
      </c>
      <c r="EQ34">
        <v>7.9100000000000004E-3</v>
      </c>
      <c r="ER34">
        <v>7.4999999999999997E-3</v>
      </c>
      <c r="ES34">
        <v>7.0200000000000002E-3</v>
      </c>
      <c r="ET34">
        <v>7.5700000000000003E-3</v>
      </c>
      <c r="EU34">
        <v>1.1350000000000001E-2</v>
      </c>
      <c r="EV34">
        <v>1.0540000000000001E-2</v>
      </c>
      <c r="EW34">
        <v>9.8799999999999999E-3</v>
      </c>
      <c r="EX34">
        <v>1.014E-2</v>
      </c>
      <c r="EY34">
        <v>6.8900000000000003E-3</v>
      </c>
      <c r="FA34">
        <v>7.4099999999999999E-3</v>
      </c>
      <c r="FB34">
        <v>7.8600000000000007E-3</v>
      </c>
      <c r="FC34">
        <v>7.0099999999999997E-3</v>
      </c>
      <c r="FD34">
        <v>6.6899999999999998E-3</v>
      </c>
      <c r="FE34">
        <v>7.7799999999999996E-3</v>
      </c>
      <c r="FF34">
        <v>4.5999999999999999E-3</v>
      </c>
      <c r="FG34">
        <v>8.9999999999999993E-3</v>
      </c>
      <c r="FH34">
        <v>9.6600000000000002E-3</v>
      </c>
      <c r="FI34">
        <v>9.0500000000000008E-3</v>
      </c>
      <c r="FJ34">
        <v>8.9999999999999993E-3</v>
      </c>
      <c r="FK34">
        <v>8.3700000000000007E-3</v>
      </c>
      <c r="FL34">
        <v>5.7400000000000003E-3</v>
      </c>
      <c r="FN34">
        <v>7.9900000000000006E-3</v>
      </c>
      <c r="FO34">
        <v>6.9300000000000004E-3</v>
      </c>
      <c r="FP34">
        <v>6.3499999999999997E-3</v>
      </c>
      <c r="FQ34">
        <v>8.8400000000000006E-3</v>
      </c>
      <c r="FR34">
        <v>9.4500000000000001E-3</v>
      </c>
      <c r="FS34">
        <v>9.5499999999999995E-3</v>
      </c>
      <c r="FT34">
        <v>8.8000000000000005E-3</v>
      </c>
      <c r="FU34">
        <v>8.4399999999999996E-3</v>
      </c>
      <c r="FV34">
        <v>8.1600000000000006E-3</v>
      </c>
      <c r="FW34">
        <v>7.9699999999999997E-3</v>
      </c>
      <c r="FX34">
        <v>8.3199999999999993E-3</v>
      </c>
      <c r="FY34">
        <v>8.9599999999999992E-3</v>
      </c>
      <c r="FZ34">
        <v>8.2500000000000004E-3</v>
      </c>
      <c r="GA34">
        <v>8.8599999999999998E-3</v>
      </c>
      <c r="GB34">
        <v>8.3199999999999993E-3</v>
      </c>
      <c r="GC34">
        <v>8.8599999999999998E-3</v>
      </c>
      <c r="GD34">
        <v>8.2100000000000003E-3</v>
      </c>
      <c r="GE34">
        <v>8.8500000000000002E-3</v>
      </c>
      <c r="GF34">
        <v>7.6499999999999997E-3</v>
      </c>
      <c r="GG34">
        <v>7.6299999999999996E-3</v>
      </c>
      <c r="GH34">
        <v>7.77E-3</v>
      </c>
      <c r="GI34">
        <v>8.4600000000000005E-3</v>
      </c>
      <c r="GJ34">
        <v>8.6300000000000005E-3</v>
      </c>
      <c r="GK34">
        <v>8.8000000000000005E-3</v>
      </c>
      <c r="GL34">
        <v>9.1299999999999992E-3</v>
      </c>
      <c r="GM34">
        <v>8.0000000000000002E-3</v>
      </c>
      <c r="GO34">
        <v>8.0499999999999999E-3</v>
      </c>
      <c r="GP34">
        <v>7.79E-3</v>
      </c>
      <c r="GQ34">
        <v>8.1499999999999993E-3</v>
      </c>
      <c r="GR34">
        <v>9.2499999999999995E-3</v>
      </c>
      <c r="GS34">
        <v>7.3299999999999997E-3</v>
      </c>
      <c r="GT34">
        <v>7.9100000000000004E-3</v>
      </c>
      <c r="GU34">
        <v>5.6699999999999997E-3</v>
      </c>
      <c r="GV34">
        <v>9.1900000000000003E-3</v>
      </c>
      <c r="GW34">
        <v>9.3699999999999999E-3</v>
      </c>
      <c r="GX34">
        <v>8.5500000000000003E-3</v>
      </c>
      <c r="GY34">
        <v>9.6799999999999994E-3</v>
      </c>
      <c r="GZ34">
        <v>8.3400000000000002E-3</v>
      </c>
      <c r="HC34">
        <v>6.5700000000000003E-3</v>
      </c>
      <c r="HE34">
        <v>7.0200000000000002E-3</v>
      </c>
      <c r="HF34">
        <v>6.5300000000000002E-3</v>
      </c>
      <c r="HG34">
        <v>8.9999999999999993E-3</v>
      </c>
      <c r="HH34">
        <v>9.1400000000000006E-3</v>
      </c>
      <c r="HI34">
        <v>9.7599999999999996E-3</v>
      </c>
      <c r="HJ34">
        <v>4.8399999999999997E-3</v>
      </c>
      <c r="HK34">
        <v>8.5199999999999998E-3</v>
      </c>
      <c r="HL34">
        <v>8.3400000000000002E-3</v>
      </c>
      <c r="HM34">
        <v>8.0400000000000003E-3</v>
      </c>
      <c r="HN34">
        <v>7.8899999999999994E-3</v>
      </c>
      <c r="HO34">
        <v>7.77E-3</v>
      </c>
      <c r="HP34">
        <v>5.5599999999999998E-3</v>
      </c>
      <c r="HQ34">
        <v>8.1600000000000006E-3</v>
      </c>
      <c r="HR34">
        <v>9.8899999999999995E-3</v>
      </c>
      <c r="HS34">
        <v>1.213E-2</v>
      </c>
      <c r="HT34">
        <v>7.3600000000000002E-3</v>
      </c>
      <c r="HU34">
        <v>5.8599999999999998E-3</v>
      </c>
      <c r="HV34">
        <v>7.9500000000000005E-3</v>
      </c>
      <c r="HW34">
        <v>6.11E-3</v>
      </c>
      <c r="HX34">
        <v>9.4299999999999991E-3</v>
      </c>
      <c r="HY34">
        <v>7.3099999999999997E-3</v>
      </c>
      <c r="HZ34">
        <v>4.6600000000000001E-3</v>
      </c>
      <c r="IA34">
        <v>8.4399999999999996E-3</v>
      </c>
      <c r="IB34">
        <v>1.017E-2</v>
      </c>
      <c r="IC34">
        <v>8.2799999999999992E-3</v>
      </c>
      <c r="ID34">
        <v>6.5900000000000004E-3</v>
      </c>
      <c r="IE34">
        <v>6.0099999999999997E-3</v>
      </c>
      <c r="IF34">
        <v>6.1000000000000004E-3</v>
      </c>
      <c r="IG34">
        <v>7.1199999999999996E-3</v>
      </c>
      <c r="IH34">
        <v>7.8700000000000003E-3</v>
      </c>
      <c r="II34">
        <v>5.5500000000000002E-3</v>
      </c>
      <c r="IJ34">
        <v>6.5900000000000004E-3</v>
      </c>
      <c r="IK34">
        <v>7.2500000000000004E-3</v>
      </c>
      <c r="IL34">
        <v>8.0800000000000004E-3</v>
      </c>
      <c r="IM34">
        <v>8.8900000000000003E-3</v>
      </c>
      <c r="IN34">
        <v>9.6600000000000002E-3</v>
      </c>
      <c r="IO34">
        <v>1.0630000000000001E-2</v>
      </c>
      <c r="IP34">
        <v>1.2670000000000001E-2</v>
      </c>
      <c r="IQ34">
        <v>1.3939999999999999E-2</v>
      </c>
      <c r="IR34">
        <v>1.5389999999999999E-2</v>
      </c>
      <c r="IS34">
        <v>4.9100000000000003E-3</v>
      </c>
      <c r="IT34">
        <v>5.7200000000000003E-3</v>
      </c>
      <c r="IU34">
        <v>6.6E-3</v>
      </c>
      <c r="IV34">
        <v>5.1700000000000001E-3</v>
      </c>
      <c r="IW34">
        <v>6.0699999999999999E-3</v>
      </c>
      <c r="IX34">
        <v>4.0099999999999997E-3</v>
      </c>
      <c r="IY34">
        <v>4.7600000000000003E-3</v>
      </c>
      <c r="IZ34">
        <v>4.5599999999999998E-3</v>
      </c>
      <c r="JA34">
        <v>5.1000000000000004E-3</v>
      </c>
      <c r="JC34">
        <v>5.7600000000000004E-3</v>
      </c>
      <c r="JD34">
        <v>6.1500000000000001E-3</v>
      </c>
      <c r="JE34">
        <v>5.1599999999999997E-3</v>
      </c>
      <c r="JF34">
        <v>6.1900000000000002E-3</v>
      </c>
      <c r="JH34">
        <v>1.239E-2</v>
      </c>
      <c r="JI34">
        <v>8.2100000000000003E-3</v>
      </c>
      <c r="JJ34">
        <v>6.9800000000000001E-3</v>
      </c>
      <c r="JK34">
        <v>1.048E-2</v>
      </c>
      <c r="JL34">
        <v>9.6600000000000002E-3</v>
      </c>
      <c r="JM34">
        <v>7.0099999999999997E-3</v>
      </c>
      <c r="JN34">
        <v>9.7199999999999995E-3</v>
      </c>
      <c r="JO34">
        <v>2.026E-2</v>
      </c>
      <c r="JP34">
        <v>7.4400000000000004E-3</v>
      </c>
      <c r="JQ34">
        <v>6.0600000000000003E-3</v>
      </c>
      <c r="JR34">
        <v>6.6400000000000001E-3</v>
      </c>
      <c r="JS34">
        <v>5.9899999999999997E-3</v>
      </c>
      <c r="JT34">
        <v>6.8900000000000003E-3</v>
      </c>
      <c r="JU34">
        <v>7.43E-3</v>
      </c>
      <c r="JV34">
        <v>6.3499999999999997E-3</v>
      </c>
      <c r="JW34">
        <v>7.28E-3</v>
      </c>
      <c r="JX34">
        <v>6.6400000000000001E-3</v>
      </c>
      <c r="JY34">
        <v>7.7600000000000004E-3</v>
      </c>
      <c r="JZ34">
        <v>8.5199999999999998E-3</v>
      </c>
      <c r="KA34">
        <v>8.3499999999999998E-3</v>
      </c>
      <c r="KB34">
        <v>6.2599999999999999E-3</v>
      </c>
      <c r="KC34">
        <v>6.5399999999999998E-3</v>
      </c>
      <c r="KD34">
        <v>7.0899999999999999E-3</v>
      </c>
      <c r="KE34">
        <v>8.0400000000000003E-3</v>
      </c>
      <c r="KF34">
        <v>1.047E-2</v>
      </c>
      <c r="KG34">
        <v>1.23E-2</v>
      </c>
      <c r="KH34">
        <v>1.005E-2</v>
      </c>
      <c r="KI34">
        <v>9.0100000000000006E-3</v>
      </c>
      <c r="KJ34">
        <v>9.0699999999999999E-3</v>
      </c>
      <c r="KK34">
        <v>9.1000000000000004E-3</v>
      </c>
      <c r="KL34">
        <v>9.3900000000000008E-3</v>
      </c>
      <c r="KM34">
        <v>9.5399999999999999E-3</v>
      </c>
      <c r="KN34">
        <v>5.6299999999999996E-3</v>
      </c>
      <c r="KO34">
        <v>5.8399999999999997E-3</v>
      </c>
      <c r="KP34">
        <v>8.4799999999999997E-3</v>
      </c>
      <c r="KQ34">
        <v>8.77E-3</v>
      </c>
      <c r="KR34">
        <v>9.5700000000000004E-3</v>
      </c>
      <c r="KS34">
        <v>7.2300000000000003E-3</v>
      </c>
      <c r="KT34">
        <v>7.7200000000000003E-3</v>
      </c>
      <c r="KU34">
        <v>5.8199999999999997E-3</v>
      </c>
      <c r="KV34">
        <v>4.9100000000000003E-3</v>
      </c>
      <c r="KX34">
        <v>1.2840000000000001E-2</v>
      </c>
      <c r="KY34">
        <v>6.0800000000000003E-3</v>
      </c>
      <c r="KZ34">
        <v>7.4400000000000004E-3</v>
      </c>
      <c r="LA34">
        <v>7.2300000000000003E-3</v>
      </c>
      <c r="LB34">
        <v>6.8700000000000002E-3</v>
      </c>
      <c r="LC34">
        <v>6.96E-3</v>
      </c>
      <c r="LD34">
        <v>6.96E-3</v>
      </c>
      <c r="LE34">
        <v>1.065E-2</v>
      </c>
      <c r="LF34">
        <v>1.0109999999999999E-2</v>
      </c>
      <c r="LG34">
        <v>9.2700000000000005E-3</v>
      </c>
      <c r="LI34">
        <v>1.055E-2</v>
      </c>
      <c r="LJ34">
        <v>1.086E-2</v>
      </c>
      <c r="LK34">
        <v>1.0880000000000001E-2</v>
      </c>
      <c r="LL34">
        <v>7.9299999999999995E-3</v>
      </c>
      <c r="LM34">
        <v>5.79E-3</v>
      </c>
      <c r="LN34">
        <v>8.5500000000000003E-3</v>
      </c>
      <c r="LO34">
        <v>8.6700000000000006E-3</v>
      </c>
      <c r="LP34">
        <v>7.28E-3</v>
      </c>
      <c r="LR34">
        <v>1.065E-2</v>
      </c>
      <c r="LS34">
        <v>1.1780000000000001E-2</v>
      </c>
      <c r="LT34">
        <v>7.1300000000000001E-3</v>
      </c>
      <c r="LU34">
        <v>1.077E-2</v>
      </c>
      <c r="LV34">
        <v>1.26E-2</v>
      </c>
      <c r="LW34">
        <v>4.8500000000000001E-3</v>
      </c>
      <c r="LX34">
        <v>5.6800000000000002E-3</v>
      </c>
      <c r="LY34">
        <v>8.2799999999999992E-3</v>
      </c>
      <c r="LZ34">
        <v>8.3300000000000006E-3</v>
      </c>
      <c r="MA34">
        <v>8.2900000000000005E-3</v>
      </c>
      <c r="MB34">
        <v>4.2900000000000004E-3</v>
      </c>
      <c r="MC34">
        <v>9.5700000000000004E-3</v>
      </c>
      <c r="MD34">
        <v>1.1089999999999999E-2</v>
      </c>
      <c r="ME34">
        <v>1.4239999999999999E-2</v>
      </c>
      <c r="MF34">
        <v>1.6539999999999999E-2</v>
      </c>
      <c r="MG34">
        <v>1.6650000000000002E-2</v>
      </c>
      <c r="MH34">
        <v>7.3600000000000002E-3</v>
      </c>
      <c r="MI34">
        <v>8.4899999999999993E-3</v>
      </c>
      <c r="MJ34">
        <v>8.4399999999999996E-3</v>
      </c>
      <c r="MK34">
        <v>8.2500000000000004E-3</v>
      </c>
      <c r="ML34">
        <v>9.8700000000000003E-3</v>
      </c>
      <c r="MM34">
        <v>8.77E-3</v>
      </c>
      <c r="MN34">
        <v>6.0000000000000001E-3</v>
      </c>
      <c r="MO34">
        <v>6.5799999999999999E-3</v>
      </c>
      <c r="MP34">
        <v>6.8500000000000002E-3</v>
      </c>
      <c r="MQ34">
        <v>5.3299999999999997E-3</v>
      </c>
      <c r="MR34">
        <v>6.7299999999999999E-3</v>
      </c>
      <c r="MS34">
        <v>7.3600000000000002E-3</v>
      </c>
      <c r="MU34">
        <v>5.2900000000000004E-3</v>
      </c>
      <c r="MV34">
        <v>6.0899999999999999E-3</v>
      </c>
      <c r="MW34">
        <v>6.4599999999999996E-3</v>
      </c>
      <c r="MX34">
        <v>6.6600000000000001E-3</v>
      </c>
      <c r="MY34">
        <v>7.2399999999999999E-3</v>
      </c>
      <c r="MZ34">
        <v>8.0599999999999995E-3</v>
      </c>
      <c r="NA34">
        <v>7.3600000000000002E-3</v>
      </c>
      <c r="NB34">
        <v>7.3499999999999998E-3</v>
      </c>
      <c r="ND34">
        <v>1.346E-2</v>
      </c>
      <c r="NF34">
        <v>8.8800000000000007E-3</v>
      </c>
      <c r="NG34">
        <v>5.5199999999999997E-3</v>
      </c>
      <c r="NH34">
        <v>4.5399999999999998E-3</v>
      </c>
      <c r="NI34">
        <v>4.9500000000000004E-3</v>
      </c>
      <c r="NJ34">
        <v>5.4799999999999996E-3</v>
      </c>
      <c r="NL34">
        <v>5.1999999999999998E-3</v>
      </c>
      <c r="NM34">
        <v>5.5100000000000001E-3</v>
      </c>
      <c r="NN34">
        <v>5.8100000000000001E-3</v>
      </c>
      <c r="NO34">
        <v>6.0299999999999998E-3</v>
      </c>
      <c r="NQ34">
        <v>5.28E-3</v>
      </c>
      <c r="NR34">
        <v>5.28E-3</v>
      </c>
      <c r="NS34">
        <v>5.5300000000000002E-3</v>
      </c>
      <c r="NT34">
        <v>6.0499999999999998E-3</v>
      </c>
      <c r="NU34">
        <v>4.96E-3</v>
      </c>
      <c r="NV34">
        <v>5.2500000000000003E-3</v>
      </c>
      <c r="NW34">
        <v>5.3E-3</v>
      </c>
      <c r="NX34">
        <v>5.4900000000000001E-3</v>
      </c>
      <c r="NY34">
        <v>5.6100000000000004E-3</v>
      </c>
      <c r="NZ34">
        <v>5.8900000000000003E-3</v>
      </c>
      <c r="OA34">
        <v>6.1199999999999996E-3</v>
      </c>
      <c r="OB34">
        <v>5.0000000000000001E-3</v>
      </c>
      <c r="OC34">
        <v>5.3E-3</v>
      </c>
      <c r="OF34">
        <v>7.7600000000000004E-3</v>
      </c>
      <c r="OG34">
        <v>5.64E-3</v>
      </c>
      <c r="OH34">
        <v>5.94E-3</v>
      </c>
      <c r="OI34">
        <v>6.1900000000000002E-3</v>
      </c>
      <c r="OJ34">
        <v>6.43E-3</v>
      </c>
      <c r="OK34">
        <v>6.6E-3</v>
      </c>
      <c r="OL34">
        <v>6.8199999999999997E-3</v>
      </c>
      <c r="ON34">
        <v>5.4200000000000003E-3</v>
      </c>
      <c r="OO34">
        <v>5.7200000000000003E-3</v>
      </c>
      <c r="OP34">
        <v>6.2500000000000003E-3</v>
      </c>
      <c r="OQ34">
        <v>6.4799999999999996E-3</v>
      </c>
      <c r="OR34">
        <v>6.7299999999999999E-3</v>
      </c>
      <c r="OS34">
        <v>7.5300000000000002E-3</v>
      </c>
      <c r="OT34">
        <v>6.6400000000000001E-3</v>
      </c>
      <c r="OU34">
        <v>5.5700000000000003E-3</v>
      </c>
      <c r="OW34">
        <v>3.5999999999999999E-3</v>
      </c>
      <c r="OX34">
        <v>3.46E-3</v>
      </c>
      <c r="OY34">
        <v>4.1599999999999996E-3</v>
      </c>
      <c r="OZ34">
        <v>4.96E-3</v>
      </c>
      <c r="PA34">
        <v>1.0160000000000001E-2</v>
      </c>
      <c r="PB34">
        <v>1.108E-2</v>
      </c>
      <c r="PC34">
        <v>8.6099999999999996E-3</v>
      </c>
      <c r="PD34">
        <v>7.4099999999999999E-3</v>
      </c>
      <c r="PE34">
        <v>6.8700000000000002E-3</v>
      </c>
      <c r="PF34">
        <v>6.45E-3</v>
      </c>
      <c r="PG34">
        <v>5.8599999999999998E-3</v>
      </c>
      <c r="PH34">
        <v>6.1599999999999997E-3</v>
      </c>
      <c r="PI34">
        <v>7.9000000000000008E-3</v>
      </c>
      <c r="PJ34">
        <v>7.3200000000000001E-3</v>
      </c>
      <c r="PK34">
        <v>6.6899999999999998E-3</v>
      </c>
      <c r="PL34">
        <v>6.2100000000000002E-3</v>
      </c>
      <c r="PM34">
        <v>5.6699999999999997E-3</v>
      </c>
      <c r="PN34">
        <v>5.4900000000000001E-3</v>
      </c>
      <c r="PO34">
        <v>5.6299999999999996E-3</v>
      </c>
      <c r="PP34">
        <v>5.8999999999999999E-3</v>
      </c>
      <c r="PQ34">
        <v>5.9100000000000003E-3</v>
      </c>
      <c r="PR34">
        <v>5.3800000000000002E-3</v>
      </c>
      <c r="PS34">
        <v>6.3699999999999998E-3</v>
      </c>
      <c r="PT34">
        <v>6.1799999999999997E-3</v>
      </c>
      <c r="PU34">
        <v>4.8700000000000002E-3</v>
      </c>
      <c r="PV34">
        <v>5.3499999999999997E-3</v>
      </c>
      <c r="PW34">
        <v>5.7099999999999998E-3</v>
      </c>
      <c r="PX34">
        <v>6.45E-3</v>
      </c>
      <c r="PY34">
        <v>7.4099999999999999E-3</v>
      </c>
      <c r="PZ34">
        <v>8.5500000000000003E-3</v>
      </c>
      <c r="QA34">
        <v>4.2500000000000003E-3</v>
      </c>
      <c r="QB34">
        <v>4.5199999999999997E-3</v>
      </c>
      <c r="QC34">
        <v>6.0000000000000001E-3</v>
      </c>
      <c r="QD34">
        <v>5.1700000000000001E-3</v>
      </c>
      <c r="QE34">
        <v>4.8300000000000001E-3</v>
      </c>
      <c r="QF34">
        <v>4.79E-3</v>
      </c>
      <c r="QG34">
        <v>6.5799999999999999E-3</v>
      </c>
      <c r="QH34">
        <v>4.79E-3</v>
      </c>
      <c r="QI34">
        <v>5.2199999999999998E-3</v>
      </c>
      <c r="QJ34">
        <v>5.1500000000000001E-3</v>
      </c>
      <c r="QK34">
        <v>4.9899999999999996E-3</v>
      </c>
      <c r="QL34">
        <v>4.79E-3</v>
      </c>
      <c r="QM34">
        <v>5.5700000000000003E-3</v>
      </c>
      <c r="QN34">
        <v>7.8100000000000001E-3</v>
      </c>
      <c r="QP34">
        <v>6.9800000000000001E-3</v>
      </c>
      <c r="QQ34">
        <v>7.4599999999999996E-3</v>
      </c>
      <c r="QS34">
        <v>8.8699999999999994E-3</v>
      </c>
      <c r="QT34">
        <v>6.7099999999999998E-3</v>
      </c>
      <c r="QU34">
        <v>6.7999999999999996E-3</v>
      </c>
      <c r="QV34">
        <v>6.8900000000000003E-3</v>
      </c>
      <c r="QW34">
        <v>6.5799999999999999E-3</v>
      </c>
      <c r="QX34">
        <v>6.3600000000000002E-3</v>
      </c>
      <c r="QY34">
        <v>5.96E-3</v>
      </c>
      <c r="QZ34">
        <v>6.4400000000000004E-3</v>
      </c>
      <c r="RA34">
        <v>7.77E-3</v>
      </c>
      <c r="RB34">
        <v>9.3299999999999998E-3</v>
      </c>
      <c r="RC34">
        <v>7.7299999999999999E-3</v>
      </c>
      <c r="RD34">
        <v>1.387E-2</v>
      </c>
      <c r="RE34">
        <v>1.076E-2</v>
      </c>
      <c r="RF34">
        <v>8.7899999999999992E-3</v>
      </c>
      <c r="RG34">
        <v>6.0800000000000003E-3</v>
      </c>
      <c r="RH34">
        <v>5.77E-3</v>
      </c>
      <c r="RI34">
        <v>9.0699999999999999E-3</v>
      </c>
      <c r="RJ34">
        <v>8.94E-3</v>
      </c>
      <c r="RK34">
        <v>8.6300000000000005E-3</v>
      </c>
      <c r="RL34">
        <v>7.9299999999999995E-3</v>
      </c>
      <c r="RM34">
        <v>5.0099999999999997E-3</v>
      </c>
      <c r="RN34">
        <v>5.0499999999999998E-3</v>
      </c>
      <c r="RO34">
        <v>5.0499999999999998E-3</v>
      </c>
      <c r="RP34">
        <v>4.6800000000000001E-3</v>
      </c>
      <c r="RQ34">
        <v>5.1000000000000004E-3</v>
      </c>
      <c r="RR34">
        <v>4.8300000000000001E-3</v>
      </c>
      <c r="RS34">
        <v>4.9699999999999996E-3</v>
      </c>
      <c r="RT34">
        <v>4.1700000000000001E-3</v>
      </c>
      <c r="RU34">
        <v>5.0000000000000001E-3</v>
      </c>
      <c r="RV34">
        <v>5.62E-3</v>
      </c>
      <c r="RW34">
        <v>6.28E-3</v>
      </c>
      <c r="RX34">
        <v>5.6699999999999997E-3</v>
      </c>
      <c r="RY34">
        <v>3.9699999999999996E-3</v>
      </c>
      <c r="RZ34">
        <v>6.1900000000000002E-3</v>
      </c>
      <c r="SA34">
        <v>1.009E-2</v>
      </c>
      <c r="SB34">
        <v>9.0399999999999994E-3</v>
      </c>
      <c r="SC34">
        <v>7.3000000000000001E-3</v>
      </c>
      <c r="SD34">
        <v>7.5599999999999999E-3</v>
      </c>
      <c r="SE34">
        <v>6.8399999999999997E-3</v>
      </c>
      <c r="SF34">
        <v>7.9399999999999991E-3</v>
      </c>
      <c r="SG34">
        <v>9.8499999999999994E-3</v>
      </c>
      <c r="SH34">
        <v>1.2359999999999999E-2</v>
      </c>
      <c r="SI34">
        <v>6.8799999999999998E-3</v>
      </c>
      <c r="SJ34">
        <v>5.4799999999999996E-3</v>
      </c>
      <c r="SK34">
        <v>4.9100000000000003E-3</v>
      </c>
      <c r="SL34">
        <v>5.1700000000000001E-3</v>
      </c>
      <c r="SM34">
        <v>4.5300000000000002E-3</v>
      </c>
      <c r="SP34">
        <v>6.28E-3</v>
      </c>
      <c r="SQ34">
        <v>5.6800000000000002E-3</v>
      </c>
      <c r="SR34">
        <v>5.7999999999999996E-3</v>
      </c>
      <c r="SS34">
        <v>4.8199999999999996E-3</v>
      </c>
      <c r="ST34">
        <v>4.7800000000000004E-3</v>
      </c>
      <c r="SU34">
        <v>5.2900000000000004E-3</v>
      </c>
      <c r="SV34">
        <v>4.9699999999999996E-3</v>
      </c>
      <c r="SW34">
        <v>5.2900000000000004E-3</v>
      </c>
      <c r="SX34">
        <v>6.2599999999999999E-3</v>
      </c>
      <c r="SZ34">
        <v>5.9199999999999999E-3</v>
      </c>
      <c r="TA34">
        <v>5.7200000000000003E-3</v>
      </c>
      <c r="TB34">
        <v>6.2300000000000003E-3</v>
      </c>
      <c r="TC34">
        <v>5.1399999999999996E-3</v>
      </c>
      <c r="TD34">
        <v>5.5900000000000004E-3</v>
      </c>
      <c r="TE34">
        <v>7.4400000000000004E-3</v>
      </c>
      <c r="TF34">
        <v>6.5500000000000003E-3</v>
      </c>
      <c r="TG34">
        <v>6.3400000000000001E-3</v>
      </c>
      <c r="TH34">
        <v>7.9900000000000006E-3</v>
      </c>
      <c r="TI34">
        <v>5.3200000000000001E-3</v>
      </c>
      <c r="TJ34">
        <v>6.5700000000000003E-3</v>
      </c>
      <c r="TK34">
        <v>4.8799999999999998E-3</v>
      </c>
      <c r="TL34">
        <v>4.4999999999999997E-3</v>
      </c>
      <c r="TM34">
        <v>4.13E-3</v>
      </c>
      <c r="TO34">
        <v>5.28E-3</v>
      </c>
      <c r="TP34">
        <v>4.8700000000000002E-3</v>
      </c>
      <c r="TQ34">
        <v>5.3499999999999997E-3</v>
      </c>
      <c r="TR34">
        <v>6.5100000000000002E-3</v>
      </c>
      <c r="TS34">
        <v>7.0099999999999997E-3</v>
      </c>
      <c r="TT34">
        <v>6.8500000000000002E-3</v>
      </c>
      <c r="TU34">
        <v>6.2599999999999999E-3</v>
      </c>
      <c r="TV34">
        <v>5.5900000000000004E-3</v>
      </c>
      <c r="TW34">
        <v>5.0800000000000003E-3</v>
      </c>
      <c r="TX34">
        <v>5.1799999999999997E-3</v>
      </c>
      <c r="TY34">
        <v>4.7099999999999998E-3</v>
      </c>
      <c r="TZ34">
        <v>5.2399999999999999E-3</v>
      </c>
      <c r="UA34">
        <v>4.8999999999999998E-3</v>
      </c>
      <c r="UB34">
        <v>4.8900000000000002E-3</v>
      </c>
      <c r="UC34">
        <v>4.8799999999999998E-3</v>
      </c>
      <c r="UD34">
        <v>4.8900000000000002E-3</v>
      </c>
      <c r="UF34">
        <v>4.64E-3</v>
      </c>
      <c r="UG34">
        <v>4.7400000000000003E-3</v>
      </c>
      <c r="UH34">
        <v>5.6699999999999997E-3</v>
      </c>
      <c r="UI34">
        <v>5.2399999999999999E-3</v>
      </c>
      <c r="UJ34">
        <v>5.1900000000000002E-3</v>
      </c>
      <c r="UK34">
        <v>5.2500000000000003E-3</v>
      </c>
      <c r="UL34">
        <v>5.5399999999999998E-3</v>
      </c>
      <c r="UM34">
        <v>6.2300000000000003E-3</v>
      </c>
      <c r="UN34">
        <v>4.9800000000000001E-3</v>
      </c>
      <c r="UO34">
        <v>5.3E-3</v>
      </c>
      <c r="UP34">
        <v>7.2100000000000003E-3</v>
      </c>
      <c r="UQ34">
        <v>4.8399999999999997E-3</v>
      </c>
      <c r="UR34">
        <v>4.7400000000000003E-3</v>
      </c>
      <c r="US34">
        <v>5.3200000000000001E-3</v>
      </c>
      <c r="UT34">
        <v>4.8300000000000001E-3</v>
      </c>
      <c r="UU34">
        <v>5.0600000000000003E-3</v>
      </c>
      <c r="UV34">
        <v>5.2700000000000004E-3</v>
      </c>
      <c r="UW34">
        <v>7.1599999999999997E-3</v>
      </c>
      <c r="UX34">
        <v>5.13E-3</v>
      </c>
      <c r="UY34">
        <v>5.45E-3</v>
      </c>
      <c r="VA34">
        <v>8.1099999999999992E-3</v>
      </c>
      <c r="VB34">
        <v>5.8500000000000002E-3</v>
      </c>
      <c r="VC34">
        <v>7.2300000000000003E-3</v>
      </c>
      <c r="VD34">
        <v>1.206E-2</v>
      </c>
      <c r="VE34">
        <v>7.8700000000000003E-3</v>
      </c>
      <c r="VF34">
        <v>1.157E-2</v>
      </c>
      <c r="VG34">
        <v>9.9699999999999997E-3</v>
      </c>
      <c r="VH34">
        <v>6.6E-3</v>
      </c>
      <c r="VI34">
        <v>6.4900000000000001E-3</v>
      </c>
    </row>
    <row r="35" spans="1:581" x14ac:dyDescent="0.25">
      <c r="A35">
        <v>800000</v>
      </c>
      <c r="B35">
        <v>4.2599999999999999E-3</v>
      </c>
      <c r="D35">
        <v>3.9500000000000004E-3</v>
      </c>
      <c r="E35">
        <v>4.3400000000000001E-3</v>
      </c>
      <c r="F35">
        <v>4.3699999999999998E-3</v>
      </c>
      <c r="G35">
        <v>6.0299999999999998E-3</v>
      </c>
      <c r="H35">
        <v>4.4099999999999999E-3</v>
      </c>
      <c r="I35">
        <v>4.0600000000000002E-3</v>
      </c>
      <c r="J35">
        <v>3.9699999999999996E-3</v>
      </c>
      <c r="K35">
        <v>5.1399999999999996E-3</v>
      </c>
      <c r="L35">
        <v>4.64E-3</v>
      </c>
      <c r="M35">
        <v>4.0600000000000002E-3</v>
      </c>
      <c r="N35">
        <v>3.9899999999999996E-3</v>
      </c>
      <c r="O35">
        <v>5.8199999999999997E-3</v>
      </c>
      <c r="P35">
        <v>5.6699999999999997E-3</v>
      </c>
      <c r="Q35">
        <v>5.6299999999999996E-3</v>
      </c>
      <c r="R35">
        <v>5.3800000000000002E-3</v>
      </c>
      <c r="S35">
        <v>4.7099999999999998E-3</v>
      </c>
      <c r="T35">
        <v>4.64E-3</v>
      </c>
      <c r="U35">
        <v>6.13E-3</v>
      </c>
      <c r="V35">
        <v>4.6699999999999997E-3</v>
      </c>
      <c r="W35">
        <v>5.94E-3</v>
      </c>
      <c r="X35">
        <v>4.5599999999999998E-3</v>
      </c>
      <c r="Z35">
        <v>4.2300000000000003E-3</v>
      </c>
      <c r="AA35">
        <v>7.6600000000000001E-3</v>
      </c>
      <c r="AB35">
        <v>7.1900000000000002E-3</v>
      </c>
      <c r="AC35">
        <v>7.6E-3</v>
      </c>
      <c r="AD35">
        <v>5.9800000000000001E-3</v>
      </c>
      <c r="AE35">
        <v>6.9100000000000003E-3</v>
      </c>
      <c r="AF35">
        <v>6.9499999999999996E-3</v>
      </c>
      <c r="AG35">
        <v>7.0699999999999999E-3</v>
      </c>
      <c r="AH35">
        <v>6.9499999999999996E-3</v>
      </c>
      <c r="AI35">
        <v>8.1099999999999992E-3</v>
      </c>
      <c r="AJ35">
        <v>5.9100000000000003E-3</v>
      </c>
      <c r="AK35">
        <v>6.5500000000000003E-3</v>
      </c>
      <c r="AL35">
        <v>8.1899999999999994E-3</v>
      </c>
      <c r="AM35">
        <v>7.0200000000000002E-3</v>
      </c>
      <c r="AN35">
        <v>7.6299999999999996E-3</v>
      </c>
      <c r="AO35">
        <v>1.35E-2</v>
      </c>
      <c r="AQ35">
        <v>9.5399999999999999E-3</v>
      </c>
      <c r="AR35">
        <v>8.26E-3</v>
      </c>
      <c r="AS35">
        <v>8.6499999999999997E-3</v>
      </c>
      <c r="AT35">
        <v>6.7299999999999999E-3</v>
      </c>
      <c r="AU35">
        <v>7.45E-3</v>
      </c>
      <c r="AV35">
        <v>8.7600000000000004E-3</v>
      </c>
      <c r="AW35">
        <v>7.7499999999999999E-3</v>
      </c>
      <c r="AX35">
        <v>7.5700000000000003E-3</v>
      </c>
      <c r="AY35">
        <v>7.4799999999999997E-3</v>
      </c>
      <c r="AZ35">
        <v>6.77E-3</v>
      </c>
      <c r="BA35">
        <v>8.3999999999999995E-3</v>
      </c>
      <c r="BB35">
        <v>7.3899999999999999E-3</v>
      </c>
      <c r="BD35">
        <v>8.5100000000000002E-3</v>
      </c>
      <c r="BE35">
        <v>1.0189999999999999E-2</v>
      </c>
      <c r="BF35">
        <v>1.1350000000000001E-2</v>
      </c>
      <c r="BG35">
        <v>7.62E-3</v>
      </c>
      <c r="BI35">
        <v>1.1440000000000001E-2</v>
      </c>
      <c r="BJ35">
        <v>7.9399999999999991E-3</v>
      </c>
      <c r="BK35">
        <v>8.3899999999999999E-3</v>
      </c>
      <c r="BL35">
        <v>8.4700000000000001E-3</v>
      </c>
      <c r="BM35">
        <v>8.0000000000000002E-3</v>
      </c>
      <c r="BN35">
        <v>6.0400000000000002E-3</v>
      </c>
      <c r="BO35">
        <v>9.2800000000000001E-3</v>
      </c>
      <c r="BP35">
        <v>7.11E-3</v>
      </c>
      <c r="BQ35">
        <v>6.3E-3</v>
      </c>
      <c r="BR35">
        <v>6.7200000000000003E-3</v>
      </c>
      <c r="BS35">
        <v>1.3259999999999999E-2</v>
      </c>
      <c r="BT35">
        <v>9.2700000000000005E-3</v>
      </c>
      <c r="BU35">
        <v>9.8499999999999994E-3</v>
      </c>
      <c r="BV35">
        <v>9.9600000000000001E-3</v>
      </c>
      <c r="BW35">
        <v>9.6200000000000001E-3</v>
      </c>
      <c r="BX35">
        <v>9.3399999999999993E-3</v>
      </c>
      <c r="BY35">
        <v>9.6600000000000002E-3</v>
      </c>
      <c r="BZ35">
        <v>8.6899999999999998E-3</v>
      </c>
      <c r="CA35">
        <v>8.8299999999999993E-3</v>
      </c>
      <c r="CB35">
        <v>6.9300000000000004E-3</v>
      </c>
      <c r="CC35">
        <v>7.6099999999999996E-3</v>
      </c>
      <c r="CD35">
        <v>6.3499999999999997E-3</v>
      </c>
      <c r="CE35">
        <v>5.3800000000000002E-3</v>
      </c>
      <c r="CF35">
        <v>5.2100000000000002E-3</v>
      </c>
      <c r="CG35">
        <v>5.1200000000000004E-3</v>
      </c>
      <c r="CH35">
        <v>5.0600000000000003E-3</v>
      </c>
      <c r="CI35">
        <v>5.0899999999999999E-3</v>
      </c>
      <c r="CJ35">
        <v>5.1599999999999997E-3</v>
      </c>
      <c r="CL35">
        <v>5.5799999999999999E-3</v>
      </c>
      <c r="CM35">
        <v>6.28E-3</v>
      </c>
      <c r="CN35">
        <v>6.8900000000000003E-3</v>
      </c>
      <c r="CO35">
        <v>6.4799999999999996E-3</v>
      </c>
      <c r="CP35">
        <v>7.0899999999999999E-3</v>
      </c>
      <c r="CQ35">
        <v>5.7600000000000004E-3</v>
      </c>
      <c r="CR35">
        <v>6.3899999999999998E-3</v>
      </c>
      <c r="CS35">
        <v>7.1199999999999996E-3</v>
      </c>
      <c r="CT35">
        <v>7.5300000000000002E-3</v>
      </c>
      <c r="CU35">
        <v>5.8900000000000003E-3</v>
      </c>
      <c r="CW35">
        <v>6.1900000000000002E-3</v>
      </c>
      <c r="CX35">
        <v>6.0099999999999997E-3</v>
      </c>
      <c r="CY35">
        <v>6.0800000000000003E-3</v>
      </c>
      <c r="CZ35">
        <v>5.3600000000000002E-3</v>
      </c>
      <c r="DB35">
        <v>5.2399999999999999E-3</v>
      </c>
      <c r="DC35">
        <v>5.1599999999999997E-3</v>
      </c>
      <c r="DD35">
        <v>5.0499999999999998E-3</v>
      </c>
      <c r="DE35">
        <v>4.96E-3</v>
      </c>
      <c r="DF35">
        <v>9.0799999999999995E-3</v>
      </c>
      <c r="DG35">
        <v>5.7299999999999999E-3</v>
      </c>
      <c r="DH35">
        <v>7.8399999999999997E-3</v>
      </c>
      <c r="DI35">
        <v>7.5700000000000003E-3</v>
      </c>
      <c r="DK35">
        <v>7.45E-3</v>
      </c>
      <c r="DL35">
        <v>7.4099999999999999E-3</v>
      </c>
      <c r="DM35">
        <v>6.4000000000000003E-3</v>
      </c>
      <c r="DN35">
        <v>7.0600000000000003E-3</v>
      </c>
      <c r="DO35">
        <v>6.4900000000000001E-3</v>
      </c>
      <c r="DP35">
        <v>8.9800000000000001E-3</v>
      </c>
      <c r="DQ35">
        <v>8.8199999999999997E-3</v>
      </c>
      <c r="DR35">
        <v>7.2899999999999996E-3</v>
      </c>
      <c r="DS35">
        <v>8.0599999999999995E-3</v>
      </c>
      <c r="DT35">
        <v>7.5700000000000003E-3</v>
      </c>
      <c r="DV35">
        <v>9.41E-3</v>
      </c>
      <c r="DW35">
        <v>7.9500000000000005E-3</v>
      </c>
      <c r="DX35">
        <v>7.6800000000000002E-3</v>
      </c>
      <c r="DY35">
        <v>1.0279999999999999E-2</v>
      </c>
      <c r="EA35">
        <v>6.0699999999999999E-3</v>
      </c>
      <c r="EB35">
        <v>6.0000000000000001E-3</v>
      </c>
      <c r="EC35">
        <v>5.47E-3</v>
      </c>
      <c r="EF35">
        <v>2.239E-2</v>
      </c>
      <c r="EH35">
        <v>2.383E-2</v>
      </c>
      <c r="EI35">
        <v>6.5599999999999999E-3</v>
      </c>
      <c r="EK35">
        <v>6.0899999999999999E-3</v>
      </c>
      <c r="EL35">
        <v>6.6600000000000001E-3</v>
      </c>
      <c r="EM35">
        <v>7.0899999999999999E-3</v>
      </c>
      <c r="EN35">
        <v>7.28E-3</v>
      </c>
      <c r="EO35">
        <v>7.4099999999999999E-3</v>
      </c>
      <c r="EQ35">
        <v>7.8399999999999997E-3</v>
      </c>
      <c r="ER35">
        <v>7.3000000000000001E-3</v>
      </c>
      <c r="ES35">
        <v>6.8700000000000002E-3</v>
      </c>
      <c r="ET35">
        <v>7.3499999999999998E-3</v>
      </c>
      <c r="EU35">
        <v>1.123E-2</v>
      </c>
      <c r="EV35">
        <v>1.047E-2</v>
      </c>
      <c r="EW35">
        <v>9.7699999999999992E-3</v>
      </c>
      <c r="EX35">
        <v>1.004E-2</v>
      </c>
      <c r="EY35">
        <v>6.8799999999999998E-3</v>
      </c>
      <c r="EZ35">
        <v>7.1999999999999998E-3</v>
      </c>
      <c r="FA35">
        <v>7.3000000000000001E-3</v>
      </c>
      <c r="FB35">
        <v>7.7499999999999999E-3</v>
      </c>
      <c r="FC35">
        <v>6.8700000000000002E-3</v>
      </c>
      <c r="FD35">
        <v>6.5799999999999999E-3</v>
      </c>
      <c r="FE35">
        <v>7.6699999999999997E-3</v>
      </c>
      <c r="FF35">
        <v>4.5799999999999999E-3</v>
      </c>
      <c r="FG35">
        <v>8.9499999999999996E-3</v>
      </c>
      <c r="FH35">
        <v>9.5899999999999996E-3</v>
      </c>
      <c r="FI35">
        <v>8.9899999999999997E-3</v>
      </c>
      <c r="FJ35">
        <v>8.9599999999999992E-3</v>
      </c>
      <c r="FK35">
        <v>8.3099999999999997E-3</v>
      </c>
      <c r="FL35">
        <v>5.6699999999999997E-3</v>
      </c>
      <c r="FN35">
        <v>7.8300000000000002E-3</v>
      </c>
      <c r="FO35">
        <v>6.8599999999999998E-3</v>
      </c>
      <c r="FP35">
        <v>6.2399999999999999E-3</v>
      </c>
      <c r="FQ35">
        <v>8.6599999999999993E-3</v>
      </c>
      <c r="FR35">
        <v>9.1800000000000007E-3</v>
      </c>
      <c r="FS35">
        <v>9.3299999999999998E-3</v>
      </c>
      <c r="FT35">
        <v>8.6599999999999993E-3</v>
      </c>
      <c r="FU35">
        <v>8.2900000000000005E-3</v>
      </c>
      <c r="FV35">
        <v>8.0300000000000007E-3</v>
      </c>
      <c r="FW35">
        <v>7.8600000000000007E-3</v>
      </c>
      <c r="FX35">
        <v>8.1899999999999994E-3</v>
      </c>
      <c r="FY35">
        <v>8.7899999999999992E-3</v>
      </c>
      <c r="FZ35">
        <v>8.1399999999999997E-3</v>
      </c>
      <c r="GA35">
        <v>8.7299999999999999E-3</v>
      </c>
      <c r="GB35">
        <v>8.2100000000000003E-3</v>
      </c>
      <c r="GC35">
        <v>8.77E-3</v>
      </c>
      <c r="GD35">
        <v>8.1300000000000001E-3</v>
      </c>
      <c r="GE35">
        <v>8.7500000000000008E-3</v>
      </c>
      <c r="GF35">
        <v>7.5500000000000003E-3</v>
      </c>
      <c r="GG35">
        <v>7.5399999999999998E-3</v>
      </c>
      <c r="GH35">
        <v>7.7000000000000002E-3</v>
      </c>
      <c r="GI35">
        <v>8.3899999999999999E-3</v>
      </c>
      <c r="GJ35">
        <v>8.5400000000000007E-3</v>
      </c>
      <c r="GK35">
        <v>8.7399999999999995E-3</v>
      </c>
      <c r="GL35">
        <v>9.0399999999999994E-3</v>
      </c>
      <c r="GM35">
        <v>7.9399999999999991E-3</v>
      </c>
      <c r="GO35">
        <v>7.9600000000000001E-3</v>
      </c>
      <c r="GP35">
        <v>7.62E-3</v>
      </c>
      <c r="GQ35">
        <v>8.0199999999999994E-3</v>
      </c>
      <c r="GR35">
        <v>9.0299999999999998E-3</v>
      </c>
      <c r="GS35">
        <v>7.1999999999999998E-3</v>
      </c>
      <c r="GT35">
        <v>7.79E-3</v>
      </c>
      <c r="GU35">
        <v>5.5799999999999999E-3</v>
      </c>
      <c r="GV35">
        <v>9.1299999999999992E-3</v>
      </c>
      <c r="GW35">
        <v>9.2599999999999991E-3</v>
      </c>
      <c r="GX35">
        <v>8.4700000000000001E-3</v>
      </c>
      <c r="GY35">
        <v>9.4999999999999998E-3</v>
      </c>
      <c r="GZ35">
        <v>8.1899999999999994E-3</v>
      </c>
      <c r="HB35">
        <v>4.5199999999999997E-3</v>
      </c>
      <c r="HC35">
        <v>6.4799999999999996E-3</v>
      </c>
      <c r="HE35">
        <v>6.8399999999999997E-3</v>
      </c>
      <c r="HF35">
        <v>6.4200000000000004E-3</v>
      </c>
      <c r="HG35">
        <v>8.9800000000000001E-3</v>
      </c>
      <c r="HH35">
        <v>9.1199999999999996E-3</v>
      </c>
      <c r="HI35">
        <v>9.6799999999999994E-3</v>
      </c>
      <c r="HJ35">
        <v>4.7999999999999996E-3</v>
      </c>
      <c r="HK35">
        <v>8.3199999999999993E-3</v>
      </c>
      <c r="HL35">
        <v>8.1799999999999998E-3</v>
      </c>
      <c r="HM35">
        <v>7.9000000000000008E-3</v>
      </c>
      <c r="HN35">
        <v>7.8300000000000002E-3</v>
      </c>
      <c r="HO35">
        <v>7.6099999999999996E-3</v>
      </c>
      <c r="HP35">
        <v>5.5100000000000001E-3</v>
      </c>
      <c r="HQ35">
        <v>7.9500000000000005E-3</v>
      </c>
      <c r="HR35">
        <v>9.6900000000000007E-3</v>
      </c>
      <c r="HS35">
        <v>1.2E-2</v>
      </c>
      <c r="HT35">
        <v>7.2100000000000003E-3</v>
      </c>
      <c r="HU35">
        <v>5.79E-3</v>
      </c>
      <c r="HV35">
        <v>7.8600000000000007E-3</v>
      </c>
      <c r="HW35">
        <v>6.0499999999999998E-3</v>
      </c>
      <c r="HX35">
        <v>9.2200000000000008E-3</v>
      </c>
      <c r="HY35">
        <v>7.1599999999999997E-3</v>
      </c>
      <c r="HZ35">
        <v>4.5900000000000003E-3</v>
      </c>
      <c r="IA35">
        <v>8.3199999999999993E-3</v>
      </c>
      <c r="IB35">
        <v>1.0059999999999999E-2</v>
      </c>
      <c r="IC35">
        <v>8.2100000000000003E-3</v>
      </c>
      <c r="IE35">
        <v>5.8999999999999999E-3</v>
      </c>
      <c r="IF35">
        <v>6.0299999999999998E-3</v>
      </c>
      <c r="IG35">
        <v>7.0600000000000003E-3</v>
      </c>
      <c r="IH35">
        <v>7.7299999999999999E-3</v>
      </c>
      <c r="II35">
        <v>5.47E-3</v>
      </c>
      <c r="IJ35">
        <v>6.5300000000000002E-3</v>
      </c>
      <c r="IK35">
        <v>7.1700000000000002E-3</v>
      </c>
      <c r="IL35">
        <v>8.0000000000000002E-3</v>
      </c>
      <c r="IM35">
        <v>8.7899999999999992E-3</v>
      </c>
      <c r="IN35">
        <v>9.58E-3</v>
      </c>
      <c r="IO35">
        <v>1.055E-2</v>
      </c>
      <c r="IP35">
        <v>1.248E-2</v>
      </c>
      <c r="IQ35">
        <v>1.388E-2</v>
      </c>
      <c r="IR35">
        <v>1.52E-2</v>
      </c>
      <c r="IS35">
        <v>4.8399999999999997E-3</v>
      </c>
      <c r="IT35">
        <v>5.5900000000000004E-3</v>
      </c>
      <c r="IU35">
        <v>6.4200000000000004E-3</v>
      </c>
      <c r="IV35">
        <v>5.11E-3</v>
      </c>
      <c r="IW35">
        <v>5.9800000000000001E-3</v>
      </c>
      <c r="IX35">
        <v>3.9500000000000004E-3</v>
      </c>
      <c r="IY35">
        <v>4.7299999999999998E-3</v>
      </c>
      <c r="IZ35">
        <v>4.5100000000000001E-3</v>
      </c>
      <c r="JA35">
        <v>5.0499999999999998E-3</v>
      </c>
      <c r="JB35">
        <v>5.28E-3</v>
      </c>
      <c r="JC35">
        <v>5.7099999999999998E-3</v>
      </c>
      <c r="JD35">
        <v>6.0899999999999999E-3</v>
      </c>
      <c r="JE35">
        <v>5.1000000000000004E-3</v>
      </c>
      <c r="JF35">
        <v>6.1599999999999997E-3</v>
      </c>
      <c r="JG35">
        <v>8.6300000000000005E-3</v>
      </c>
      <c r="JH35">
        <v>1.2200000000000001E-2</v>
      </c>
      <c r="JI35">
        <v>8.0999999999999996E-3</v>
      </c>
      <c r="JJ35">
        <v>6.8599999999999998E-3</v>
      </c>
      <c r="JK35">
        <v>1.0200000000000001E-2</v>
      </c>
      <c r="JL35">
        <v>9.5899999999999996E-3</v>
      </c>
      <c r="JM35">
        <v>6.8900000000000003E-3</v>
      </c>
      <c r="JN35">
        <v>9.4900000000000002E-3</v>
      </c>
      <c r="JO35">
        <v>1.9859999999999999E-2</v>
      </c>
      <c r="JP35">
        <v>7.2100000000000003E-3</v>
      </c>
      <c r="JQ35">
        <v>6.0200000000000002E-3</v>
      </c>
      <c r="JR35">
        <v>6.5700000000000003E-3</v>
      </c>
      <c r="JS35">
        <v>5.9300000000000004E-3</v>
      </c>
      <c r="JU35">
        <v>7.45E-3</v>
      </c>
      <c r="JV35">
        <v>6.28E-3</v>
      </c>
      <c r="JW35">
        <v>7.1900000000000002E-3</v>
      </c>
      <c r="JX35">
        <v>6.5599999999999999E-3</v>
      </c>
      <c r="JY35">
        <v>7.6600000000000001E-3</v>
      </c>
      <c r="JZ35">
        <v>8.3700000000000007E-3</v>
      </c>
      <c r="KA35">
        <v>8.2199999999999999E-3</v>
      </c>
      <c r="KB35">
        <v>6.1999999999999998E-3</v>
      </c>
      <c r="KC35">
        <v>6.4700000000000001E-3</v>
      </c>
      <c r="KD35">
        <v>7.0299999999999998E-3</v>
      </c>
      <c r="KE35">
        <v>8.0599999999999995E-3</v>
      </c>
      <c r="KF35">
        <v>1.0529999999999999E-2</v>
      </c>
      <c r="KG35">
        <v>1.222E-2</v>
      </c>
      <c r="KH35">
        <v>1.0109999999999999E-2</v>
      </c>
      <c r="KI35">
        <v>8.8900000000000003E-3</v>
      </c>
      <c r="KJ35">
        <v>8.9700000000000005E-3</v>
      </c>
      <c r="KK35">
        <v>8.9800000000000001E-3</v>
      </c>
      <c r="KL35">
        <v>9.2399999999999999E-3</v>
      </c>
      <c r="KM35">
        <v>9.3900000000000008E-3</v>
      </c>
      <c r="KN35">
        <v>5.5799999999999999E-3</v>
      </c>
      <c r="KO35">
        <v>5.7600000000000004E-3</v>
      </c>
      <c r="KP35">
        <v>8.3899999999999999E-3</v>
      </c>
      <c r="KQ35">
        <v>8.6499999999999997E-3</v>
      </c>
      <c r="KR35">
        <v>9.4000000000000004E-3</v>
      </c>
      <c r="KS35">
        <v>7.11E-3</v>
      </c>
      <c r="KT35">
        <v>7.5900000000000004E-3</v>
      </c>
      <c r="KU35">
        <v>5.8500000000000002E-3</v>
      </c>
      <c r="KV35">
        <v>4.8399999999999997E-3</v>
      </c>
      <c r="KW35">
        <v>5.47E-3</v>
      </c>
      <c r="KX35">
        <v>1.278E-2</v>
      </c>
      <c r="KY35">
        <v>6.1199999999999996E-3</v>
      </c>
      <c r="KZ35">
        <v>7.45E-3</v>
      </c>
      <c r="LB35">
        <v>6.7600000000000004E-3</v>
      </c>
      <c r="LC35">
        <v>6.8599999999999998E-3</v>
      </c>
      <c r="LD35">
        <v>6.8599999999999998E-3</v>
      </c>
      <c r="LE35">
        <v>1.0529999999999999E-2</v>
      </c>
      <c r="LF35">
        <v>9.9699999999999997E-3</v>
      </c>
      <c r="LG35">
        <v>9.0900000000000009E-3</v>
      </c>
      <c r="LI35">
        <v>1.042E-2</v>
      </c>
      <c r="LJ35">
        <v>1.074E-2</v>
      </c>
      <c r="LK35">
        <v>1.0800000000000001E-2</v>
      </c>
      <c r="LL35">
        <v>7.7999999999999996E-3</v>
      </c>
      <c r="LM35">
        <v>5.7099999999999998E-3</v>
      </c>
      <c r="LN35">
        <v>8.3499999999999998E-3</v>
      </c>
      <c r="LO35">
        <v>8.4799999999999997E-3</v>
      </c>
      <c r="LP35">
        <v>7.1399999999999996E-3</v>
      </c>
      <c r="LR35">
        <v>1.051E-2</v>
      </c>
      <c r="LS35">
        <v>1.167E-2</v>
      </c>
      <c r="LT35">
        <v>7.0000000000000001E-3</v>
      </c>
      <c r="LV35">
        <v>1.223E-2</v>
      </c>
      <c r="LW35">
        <v>4.8300000000000001E-3</v>
      </c>
      <c r="LX35">
        <v>5.6499999999999996E-3</v>
      </c>
      <c r="LZ35">
        <v>8.2199999999999999E-3</v>
      </c>
      <c r="MA35">
        <v>8.2199999999999999E-3</v>
      </c>
      <c r="MB35">
        <v>4.2500000000000003E-3</v>
      </c>
      <c r="MC35">
        <v>9.4900000000000002E-3</v>
      </c>
      <c r="MD35">
        <v>1.098E-2</v>
      </c>
      <c r="ME35">
        <v>1.418E-2</v>
      </c>
      <c r="MF35">
        <v>1.6490000000000001E-2</v>
      </c>
      <c r="MG35">
        <v>1.6289999999999999E-2</v>
      </c>
      <c r="MH35">
        <v>7.1999999999999998E-3</v>
      </c>
      <c r="MI35">
        <v>8.2699999999999996E-3</v>
      </c>
      <c r="MJ35">
        <v>8.2400000000000008E-3</v>
      </c>
      <c r="MK35">
        <v>8.0300000000000007E-3</v>
      </c>
      <c r="ML35">
        <v>9.6299999999999997E-3</v>
      </c>
      <c r="MM35">
        <v>8.5500000000000003E-3</v>
      </c>
      <c r="MN35">
        <v>5.96E-3</v>
      </c>
      <c r="MP35">
        <v>6.8100000000000001E-3</v>
      </c>
      <c r="MQ35">
        <v>5.2399999999999999E-3</v>
      </c>
      <c r="MR35">
        <v>6.6499999999999997E-3</v>
      </c>
      <c r="MS35">
        <v>7.2500000000000004E-3</v>
      </c>
      <c r="MT35">
        <v>8.2299999999999995E-3</v>
      </c>
      <c r="MU35">
        <v>5.2500000000000003E-3</v>
      </c>
      <c r="MV35">
        <v>6.0299999999999998E-3</v>
      </c>
      <c r="MW35">
        <v>6.3899999999999998E-3</v>
      </c>
      <c r="MX35">
        <v>6.5799999999999999E-3</v>
      </c>
      <c r="MY35">
        <v>7.1599999999999997E-3</v>
      </c>
      <c r="MZ35">
        <v>7.9900000000000006E-3</v>
      </c>
      <c r="NA35">
        <v>7.28E-3</v>
      </c>
      <c r="NB35">
        <v>7.2399999999999999E-3</v>
      </c>
      <c r="NC35">
        <v>4.7999999999999996E-3</v>
      </c>
      <c r="ND35">
        <v>1.3429999999999999E-2</v>
      </c>
      <c r="NE35">
        <v>8.4399999999999996E-3</v>
      </c>
      <c r="NF35">
        <v>8.7399999999999995E-3</v>
      </c>
      <c r="NG35">
        <v>5.4599999999999996E-3</v>
      </c>
      <c r="NH35">
        <v>4.4999999999999997E-3</v>
      </c>
      <c r="NI35">
        <v>4.9100000000000003E-3</v>
      </c>
      <c r="NJ35">
        <v>5.4200000000000003E-3</v>
      </c>
      <c r="NL35">
        <v>5.1500000000000001E-3</v>
      </c>
      <c r="NM35">
        <v>5.4599999999999996E-3</v>
      </c>
      <c r="NN35">
        <v>5.7400000000000003E-3</v>
      </c>
      <c r="NP35">
        <v>4.9399999999999999E-3</v>
      </c>
      <c r="NQ35">
        <v>5.2199999999999998E-3</v>
      </c>
      <c r="NR35">
        <v>5.2399999999999999E-3</v>
      </c>
      <c r="NS35">
        <v>5.4900000000000001E-3</v>
      </c>
      <c r="NT35">
        <v>6.0000000000000001E-3</v>
      </c>
      <c r="NU35">
        <v>4.9100000000000003E-3</v>
      </c>
      <c r="NV35">
        <v>5.1900000000000002E-3</v>
      </c>
      <c r="NW35">
        <v>5.2399999999999999E-3</v>
      </c>
      <c r="NX35">
        <v>5.4299999999999999E-3</v>
      </c>
      <c r="NY35">
        <v>5.5500000000000002E-3</v>
      </c>
      <c r="NZ35">
        <v>5.8199999999999997E-3</v>
      </c>
      <c r="OA35">
        <v>6.0600000000000003E-3</v>
      </c>
      <c r="OB35">
        <v>4.9500000000000004E-3</v>
      </c>
      <c r="OC35">
        <v>5.2399999999999999E-3</v>
      </c>
      <c r="OD35">
        <v>5.4000000000000003E-3</v>
      </c>
      <c r="OE35">
        <v>5.4000000000000003E-3</v>
      </c>
      <c r="OF35">
        <v>7.6400000000000001E-3</v>
      </c>
      <c r="OG35">
        <v>5.5799999999999999E-3</v>
      </c>
      <c r="OH35">
        <v>5.8700000000000002E-3</v>
      </c>
      <c r="OI35">
        <v>6.1199999999999996E-3</v>
      </c>
      <c r="OJ35">
        <v>6.3600000000000002E-3</v>
      </c>
      <c r="OK35">
        <v>6.5199999999999998E-3</v>
      </c>
      <c r="OL35">
        <v>6.7400000000000003E-3</v>
      </c>
      <c r="OM35">
        <v>5.11E-3</v>
      </c>
      <c r="ON35">
        <v>5.3699999999999998E-3</v>
      </c>
      <c r="OO35">
        <v>5.6600000000000001E-3</v>
      </c>
      <c r="OQ35">
        <v>6.4000000000000003E-3</v>
      </c>
      <c r="OS35">
        <v>7.45E-3</v>
      </c>
      <c r="OT35">
        <v>6.7099999999999998E-3</v>
      </c>
      <c r="OU35">
        <v>5.5300000000000002E-3</v>
      </c>
      <c r="OV35">
        <v>6.0600000000000003E-3</v>
      </c>
      <c r="OW35">
        <v>3.5500000000000002E-3</v>
      </c>
      <c r="OX35">
        <v>3.4099999999999998E-3</v>
      </c>
      <c r="OY35">
        <v>4.1599999999999996E-3</v>
      </c>
      <c r="OZ35">
        <v>4.9300000000000004E-3</v>
      </c>
      <c r="PA35">
        <v>1.0030000000000001E-2</v>
      </c>
      <c r="PB35">
        <v>1.093E-2</v>
      </c>
      <c r="PC35">
        <v>8.5400000000000007E-3</v>
      </c>
      <c r="PD35">
        <v>7.3800000000000003E-3</v>
      </c>
      <c r="PE35">
        <v>6.8199999999999997E-3</v>
      </c>
      <c r="PG35">
        <v>5.7800000000000004E-3</v>
      </c>
      <c r="PH35">
        <v>6.11E-3</v>
      </c>
      <c r="PI35">
        <v>7.8200000000000006E-3</v>
      </c>
      <c r="PJ35">
        <v>7.2500000000000004E-3</v>
      </c>
      <c r="PK35">
        <v>6.6400000000000001E-3</v>
      </c>
      <c r="PL35">
        <v>6.1799999999999997E-3</v>
      </c>
      <c r="PM35">
        <v>5.6499999999999996E-3</v>
      </c>
      <c r="PN35">
        <v>5.4200000000000003E-3</v>
      </c>
      <c r="PO35">
        <v>5.5700000000000003E-3</v>
      </c>
      <c r="PP35">
        <v>5.8199999999999997E-3</v>
      </c>
      <c r="PQ35">
        <v>5.79E-3</v>
      </c>
      <c r="PR35">
        <v>5.28E-3</v>
      </c>
      <c r="PS35">
        <v>6.2700000000000004E-3</v>
      </c>
      <c r="PT35">
        <v>6.1000000000000004E-3</v>
      </c>
      <c r="PU35">
        <v>4.8199999999999996E-3</v>
      </c>
      <c r="PV35">
        <v>5.2100000000000002E-3</v>
      </c>
      <c r="PW35">
        <v>5.5399999999999998E-3</v>
      </c>
      <c r="PX35">
        <v>6.2500000000000003E-3</v>
      </c>
      <c r="PY35">
        <v>7.1599999999999997E-3</v>
      </c>
      <c r="PZ35">
        <v>8.2299999999999995E-3</v>
      </c>
      <c r="QA35">
        <v>4.2100000000000002E-3</v>
      </c>
      <c r="QB35">
        <v>4.4799999999999996E-3</v>
      </c>
      <c r="QC35">
        <v>5.9500000000000004E-3</v>
      </c>
      <c r="QD35">
        <v>5.1599999999999997E-3</v>
      </c>
      <c r="QE35">
        <v>4.79E-3</v>
      </c>
      <c r="QF35">
        <v>4.7499999999999999E-3</v>
      </c>
      <c r="QG35">
        <v>6.5900000000000004E-3</v>
      </c>
      <c r="QH35">
        <v>4.7400000000000003E-3</v>
      </c>
      <c r="QI35">
        <v>5.2100000000000002E-3</v>
      </c>
      <c r="QJ35">
        <v>5.1200000000000004E-3</v>
      </c>
      <c r="QK35">
        <v>4.9800000000000001E-3</v>
      </c>
      <c r="QL35">
        <v>4.79E-3</v>
      </c>
      <c r="QM35">
        <v>5.5399999999999998E-3</v>
      </c>
      <c r="QN35">
        <v>7.8600000000000007E-3</v>
      </c>
      <c r="QO35">
        <v>6.5900000000000004E-3</v>
      </c>
      <c r="QP35">
        <v>6.9699999999999996E-3</v>
      </c>
      <c r="QQ35">
        <v>7.4900000000000001E-3</v>
      </c>
      <c r="QR35">
        <v>8.8299999999999993E-3</v>
      </c>
      <c r="QS35">
        <v>8.8100000000000001E-3</v>
      </c>
      <c r="QT35">
        <v>6.6499999999999997E-3</v>
      </c>
      <c r="QU35">
        <v>6.7299999999999999E-3</v>
      </c>
      <c r="QV35">
        <v>6.8199999999999997E-3</v>
      </c>
      <c r="QW35">
        <v>6.5300000000000002E-3</v>
      </c>
      <c r="QX35">
        <v>6.3099999999999996E-3</v>
      </c>
      <c r="QY35">
        <v>5.8999999999999999E-3</v>
      </c>
      <c r="QZ35">
        <v>6.3699999999999998E-3</v>
      </c>
      <c r="RA35">
        <v>7.6499999999999997E-3</v>
      </c>
      <c r="RB35">
        <v>9.1599999999999997E-3</v>
      </c>
      <c r="RC35">
        <v>7.5900000000000004E-3</v>
      </c>
      <c r="RD35">
        <v>1.3480000000000001E-2</v>
      </c>
      <c r="RE35">
        <v>1.0410000000000001E-2</v>
      </c>
      <c r="RF35">
        <v>8.6499999999999997E-3</v>
      </c>
      <c r="RG35">
        <v>6.0200000000000002E-3</v>
      </c>
      <c r="RH35">
        <v>5.7200000000000003E-3</v>
      </c>
      <c r="RI35">
        <v>8.94E-3</v>
      </c>
      <c r="RJ35">
        <v>8.7500000000000008E-3</v>
      </c>
      <c r="RK35">
        <v>8.5000000000000006E-3</v>
      </c>
      <c r="RL35">
        <v>7.7999999999999996E-3</v>
      </c>
      <c r="RM35">
        <v>4.96E-3</v>
      </c>
      <c r="RN35">
        <v>5.0200000000000002E-3</v>
      </c>
      <c r="RO35">
        <v>5.0200000000000002E-3</v>
      </c>
      <c r="RP35">
        <v>4.6299999999999996E-3</v>
      </c>
      <c r="RQ35">
        <v>5.0600000000000003E-3</v>
      </c>
      <c r="RR35">
        <v>4.79E-3</v>
      </c>
      <c r="RS35">
        <v>4.9300000000000004E-3</v>
      </c>
      <c r="RT35">
        <v>4.13E-3</v>
      </c>
      <c r="RU35">
        <v>4.96E-3</v>
      </c>
      <c r="RV35">
        <v>5.5799999999999999E-3</v>
      </c>
      <c r="RW35">
        <v>6.2199999999999998E-3</v>
      </c>
      <c r="RX35">
        <v>5.62E-3</v>
      </c>
      <c r="RY35">
        <v>3.9300000000000003E-3</v>
      </c>
      <c r="RZ35">
        <v>6.0699999999999999E-3</v>
      </c>
      <c r="SA35">
        <v>9.7699999999999992E-3</v>
      </c>
      <c r="SB35">
        <v>8.7899999999999992E-3</v>
      </c>
      <c r="SC35">
        <v>7.2199999999999999E-3</v>
      </c>
      <c r="SD35">
        <v>7.4999999999999997E-3</v>
      </c>
      <c r="SE35">
        <v>6.79E-3</v>
      </c>
      <c r="SF35">
        <v>7.8300000000000002E-3</v>
      </c>
      <c r="SG35">
        <v>9.7699999999999992E-3</v>
      </c>
      <c r="SH35">
        <v>1.2239999999999999E-2</v>
      </c>
      <c r="SI35">
        <v>6.8199999999999997E-3</v>
      </c>
      <c r="SJ35">
        <v>5.4299999999999999E-3</v>
      </c>
      <c r="SL35">
        <v>5.1399999999999996E-3</v>
      </c>
      <c r="SM35">
        <v>4.47E-3</v>
      </c>
      <c r="SN35">
        <v>4.5399999999999998E-3</v>
      </c>
      <c r="SO35">
        <v>4.4299999999999999E-3</v>
      </c>
      <c r="SQ35">
        <v>5.62E-3</v>
      </c>
      <c r="SR35">
        <v>5.7800000000000004E-3</v>
      </c>
      <c r="SS35">
        <v>4.7600000000000003E-3</v>
      </c>
      <c r="SU35">
        <v>5.2300000000000003E-3</v>
      </c>
      <c r="SV35">
        <v>4.8999999999999998E-3</v>
      </c>
      <c r="SW35">
        <v>5.2399999999999999E-3</v>
      </c>
      <c r="SX35">
        <v>6.1999999999999998E-3</v>
      </c>
      <c r="SY35">
        <v>5.0000000000000001E-3</v>
      </c>
      <c r="SZ35">
        <v>5.8999999999999999E-3</v>
      </c>
      <c r="TA35">
        <v>5.6899999999999997E-3</v>
      </c>
      <c r="TB35">
        <v>6.2500000000000003E-3</v>
      </c>
      <c r="TC35">
        <v>5.11E-3</v>
      </c>
      <c r="TD35">
        <v>5.4999999999999997E-3</v>
      </c>
      <c r="TE35">
        <v>7.4099999999999999E-3</v>
      </c>
      <c r="TF35">
        <v>6.4799999999999996E-3</v>
      </c>
      <c r="TG35">
        <v>6.3400000000000001E-3</v>
      </c>
      <c r="TH35">
        <v>7.92E-3</v>
      </c>
      <c r="TI35">
        <v>5.2500000000000003E-3</v>
      </c>
      <c r="TJ35">
        <v>6.6100000000000004E-3</v>
      </c>
      <c r="TK35">
        <v>4.8500000000000001E-3</v>
      </c>
      <c r="TL35">
        <v>4.45E-3</v>
      </c>
      <c r="TM35">
        <v>4.0899999999999999E-3</v>
      </c>
      <c r="TN35">
        <v>5.4299999999999999E-3</v>
      </c>
      <c r="TO35">
        <v>5.2300000000000003E-3</v>
      </c>
      <c r="TP35">
        <v>4.81E-3</v>
      </c>
      <c r="TS35">
        <v>6.9300000000000004E-3</v>
      </c>
      <c r="TT35">
        <v>6.7600000000000004E-3</v>
      </c>
      <c r="TU35">
        <v>6.1999999999999998E-3</v>
      </c>
      <c r="TV35">
        <v>5.5100000000000001E-3</v>
      </c>
      <c r="TW35">
        <v>5.0400000000000002E-3</v>
      </c>
      <c r="TX35">
        <v>5.1500000000000001E-3</v>
      </c>
      <c r="TY35">
        <v>4.7200000000000002E-3</v>
      </c>
      <c r="TZ35">
        <v>5.2300000000000003E-3</v>
      </c>
      <c r="UA35">
        <v>4.9100000000000003E-3</v>
      </c>
      <c r="UB35">
        <v>4.8500000000000001E-3</v>
      </c>
      <c r="UC35">
        <v>4.8599999999999997E-3</v>
      </c>
      <c r="UD35">
        <v>4.8700000000000002E-3</v>
      </c>
      <c r="UE35">
        <v>4.9199999999999999E-3</v>
      </c>
      <c r="UF35">
        <v>4.5799999999999999E-3</v>
      </c>
      <c r="UG35">
        <v>4.6800000000000001E-3</v>
      </c>
      <c r="UH35">
        <v>5.6499999999999996E-3</v>
      </c>
      <c r="UI35">
        <v>5.1999999999999998E-3</v>
      </c>
      <c r="UJ35">
        <v>5.1799999999999997E-3</v>
      </c>
      <c r="UK35">
        <v>5.2399999999999999E-3</v>
      </c>
      <c r="UL35">
        <v>5.5100000000000001E-3</v>
      </c>
      <c r="UM35">
        <v>6.2100000000000002E-3</v>
      </c>
      <c r="UO35">
        <v>5.2599999999999999E-3</v>
      </c>
      <c r="UP35">
        <v>7.1599999999999997E-3</v>
      </c>
      <c r="UQ35">
        <v>4.8199999999999996E-3</v>
      </c>
      <c r="UR35">
        <v>4.7099999999999998E-3</v>
      </c>
      <c r="US35">
        <v>5.3E-3</v>
      </c>
      <c r="UT35">
        <v>4.81E-3</v>
      </c>
      <c r="UU35">
        <v>5.0299999999999997E-3</v>
      </c>
      <c r="UV35">
        <v>5.2399999999999999E-3</v>
      </c>
      <c r="UW35">
        <v>7.0600000000000003E-3</v>
      </c>
      <c r="UX35">
        <v>5.0800000000000003E-3</v>
      </c>
      <c r="UY35">
        <v>5.3899999999999998E-3</v>
      </c>
      <c r="VA35">
        <v>8.0400000000000003E-3</v>
      </c>
      <c r="VC35">
        <v>7.1399999999999996E-3</v>
      </c>
      <c r="VD35">
        <v>1.1650000000000001E-2</v>
      </c>
      <c r="VE35">
        <v>7.6400000000000001E-3</v>
      </c>
      <c r="VF35">
        <v>1.115E-2</v>
      </c>
      <c r="VG35">
        <v>9.7999999999999997E-3</v>
      </c>
      <c r="VH35">
        <v>6.4799999999999996E-3</v>
      </c>
      <c r="VI35">
        <v>6.4099999999999999E-3</v>
      </c>
    </row>
    <row r="36" spans="1:581" x14ac:dyDescent="0.25">
      <c r="A36">
        <v>825000</v>
      </c>
      <c r="B36">
        <v>4.2300000000000003E-3</v>
      </c>
      <c r="C36">
        <v>4.1700000000000001E-3</v>
      </c>
      <c r="D36">
        <v>3.9300000000000003E-3</v>
      </c>
      <c r="E36">
        <v>4.5300000000000002E-3</v>
      </c>
      <c r="F36">
        <v>5.0499999999999998E-3</v>
      </c>
      <c r="G36">
        <v>6.0899999999999999E-3</v>
      </c>
      <c r="I36">
        <v>4.0400000000000002E-3</v>
      </c>
      <c r="J36">
        <v>3.9500000000000004E-3</v>
      </c>
      <c r="K36">
        <v>5.1399999999999996E-3</v>
      </c>
      <c r="L36">
        <v>4.6899999999999997E-3</v>
      </c>
      <c r="M36">
        <v>4.0299999999999997E-3</v>
      </c>
      <c r="N36">
        <v>3.96E-3</v>
      </c>
      <c r="O36">
        <v>5.7800000000000004E-3</v>
      </c>
      <c r="P36">
        <v>5.62E-3</v>
      </c>
      <c r="Q36">
        <v>5.5900000000000004E-3</v>
      </c>
      <c r="R36">
        <v>5.3499999999999997E-3</v>
      </c>
      <c r="S36">
        <v>4.6699999999999997E-3</v>
      </c>
      <c r="T36">
        <v>4.5999999999999999E-3</v>
      </c>
      <c r="U36">
        <v>6.13E-3</v>
      </c>
      <c r="V36">
        <v>4.6299999999999996E-3</v>
      </c>
      <c r="W36">
        <v>5.9500000000000004E-3</v>
      </c>
      <c r="X36">
        <v>4.5100000000000001E-3</v>
      </c>
      <c r="Y36">
        <v>5.7000000000000002E-3</v>
      </c>
      <c r="Z36">
        <v>4.1999999999999997E-3</v>
      </c>
      <c r="AA36">
        <v>7.4799999999999997E-3</v>
      </c>
      <c r="AB36">
        <v>7.1599999999999997E-3</v>
      </c>
      <c r="AC36">
        <v>7.5399999999999998E-3</v>
      </c>
      <c r="AD36">
        <v>5.9199999999999999E-3</v>
      </c>
      <c r="AE36">
        <v>6.8399999999999997E-3</v>
      </c>
      <c r="AF36">
        <v>6.9100000000000003E-3</v>
      </c>
      <c r="AG36">
        <v>6.9100000000000003E-3</v>
      </c>
      <c r="AH36">
        <v>6.7999999999999996E-3</v>
      </c>
      <c r="AI36">
        <v>7.8899999999999994E-3</v>
      </c>
      <c r="AJ36">
        <v>5.8300000000000001E-3</v>
      </c>
      <c r="AK36">
        <v>6.5100000000000002E-3</v>
      </c>
      <c r="AL36">
        <v>8.1600000000000006E-3</v>
      </c>
      <c r="AM36">
        <v>6.8500000000000002E-3</v>
      </c>
      <c r="AN36">
        <v>7.4700000000000001E-3</v>
      </c>
      <c r="AO36">
        <v>1.342E-2</v>
      </c>
      <c r="AP36">
        <v>7.6099999999999996E-3</v>
      </c>
      <c r="AQ36">
        <v>9.2899999999999996E-3</v>
      </c>
      <c r="AR36">
        <v>8.0700000000000008E-3</v>
      </c>
      <c r="AS36">
        <v>8.5100000000000002E-3</v>
      </c>
      <c r="AT36">
        <v>6.6299999999999996E-3</v>
      </c>
      <c r="AU36">
        <v>7.3000000000000001E-3</v>
      </c>
      <c r="AV36">
        <v>8.4200000000000004E-3</v>
      </c>
      <c r="AW36">
        <v>7.5799999999999999E-3</v>
      </c>
      <c r="AX36">
        <v>7.43E-3</v>
      </c>
      <c r="AY36">
        <v>7.28E-3</v>
      </c>
      <c r="AZ36">
        <v>6.5900000000000004E-3</v>
      </c>
      <c r="BA36">
        <v>8.1499999999999993E-3</v>
      </c>
      <c r="BB36">
        <v>7.2899999999999996E-3</v>
      </c>
      <c r="BC36">
        <v>7.9399999999999991E-3</v>
      </c>
      <c r="BD36">
        <v>8.4100000000000008E-3</v>
      </c>
      <c r="BE36">
        <v>1.0030000000000001E-2</v>
      </c>
      <c r="BF36">
        <v>1.1209999999999999E-2</v>
      </c>
      <c r="BG36">
        <v>7.5500000000000003E-3</v>
      </c>
      <c r="BH36">
        <v>7.9100000000000004E-3</v>
      </c>
      <c r="BI36">
        <v>1.1339999999999999E-2</v>
      </c>
      <c r="BJ36">
        <v>7.8300000000000002E-3</v>
      </c>
      <c r="BK36">
        <v>8.2900000000000005E-3</v>
      </c>
      <c r="BL36">
        <v>8.3999999999999995E-3</v>
      </c>
      <c r="BM36">
        <v>7.9100000000000004E-3</v>
      </c>
      <c r="BN36">
        <v>6.0400000000000002E-3</v>
      </c>
      <c r="BO36">
        <v>9.1699999999999993E-3</v>
      </c>
      <c r="BP36">
        <v>7.0699999999999999E-3</v>
      </c>
      <c r="BQ36">
        <v>6.28E-3</v>
      </c>
      <c r="BR36">
        <v>6.6100000000000004E-3</v>
      </c>
      <c r="BS36">
        <v>1.3220000000000001E-2</v>
      </c>
      <c r="BT36">
        <v>9.11E-3</v>
      </c>
      <c r="BU36">
        <v>9.7800000000000005E-3</v>
      </c>
      <c r="BV36">
        <v>9.8799999999999999E-3</v>
      </c>
      <c r="BW36">
        <v>9.5399999999999999E-3</v>
      </c>
      <c r="BX36">
        <v>9.2700000000000005E-3</v>
      </c>
      <c r="BY36">
        <v>9.5499999999999995E-3</v>
      </c>
      <c r="BZ36">
        <v>8.6199999999999992E-3</v>
      </c>
      <c r="CA36">
        <v>8.7299999999999999E-3</v>
      </c>
      <c r="CB36">
        <v>6.8700000000000002E-3</v>
      </c>
      <c r="CC36">
        <v>7.5300000000000002E-3</v>
      </c>
      <c r="CD36">
        <v>6.3099999999999996E-3</v>
      </c>
      <c r="CE36">
        <v>5.3699999999999998E-3</v>
      </c>
      <c r="CF36">
        <v>5.1700000000000001E-3</v>
      </c>
      <c r="CG36">
        <v>5.0600000000000003E-3</v>
      </c>
      <c r="CI36">
        <v>5.0099999999999997E-3</v>
      </c>
      <c r="CJ36">
        <v>5.0800000000000003E-3</v>
      </c>
      <c r="CK36">
        <v>5.8799999999999998E-3</v>
      </c>
      <c r="CM36">
        <v>6.2500000000000003E-3</v>
      </c>
      <c r="CO36">
        <v>6.43E-3</v>
      </c>
      <c r="CQ36">
        <v>5.6699999999999997E-3</v>
      </c>
      <c r="CR36">
        <v>6.3600000000000002E-3</v>
      </c>
      <c r="CS36">
        <v>7.0499999999999998E-3</v>
      </c>
      <c r="CT36">
        <v>7.4599999999999996E-3</v>
      </c>
      <c r="CU36">
        <v>5.8500000000000002E-3</v>
      </c>
      <c r="CV36">
        <v>5.5599999999999998E-3</v>
      </c>
      <c r="CW36">
        <v>6.1399999999999996E-3</v>
      </c>
      <c r="CX36">
        <v>5.96E-3</v>
      </c>
      <c r="CZ36">
        <v>5.2900000000000004E-3</v>
      </c>
      <c r="DA36">
        <v>5.3099999999999996E-3</v>
      </c>
      <c r="DB36">
        <v>5.2100000000000002E-3</v>
      </c>
      <c r="DC36">
        <v>5.13E-3</v>
      </c>
      <c r="DE36">
        <v>4.9399999999999999E-3</v>
      </c>
      <c r="DF36">
        <v>8.8900000000000003E-3</v>
      </c>
      <c r="DG36">
        <v>5.6600000000000001E-3</v>
      </c>
      <c r="DH36">
        <v>7.7000000000000002E-3</v>
      </c>
      <c r="DI36">
        <v>7.4000000000000003E-3</v>
      </c>
      <c r="DJ36">
        <v>7.4000000000000003E-3</v>
      </c>
      <c r="DK36">
        <v>7.3400000000000002E-3</v>
      </c>
      <c r="DL36">
        <v>7.3000000000000001E-3</v>
      </c>
      <c r="DM36">
        <v>6.3E-3</v>
      </c>
      <c r="DN36">
        <v>6.8799999999999998E-3</v>
      </c>
      <c r="DO36">
        <v>6.4000000000000003E-3</v>
      </c>
      <c r="DP36">
        <v>8.9800000000000001E-3</v>
      </c>
      <c r="DQ36">
        <v>8.8199999999999997E-3</v>
      </c>
      <c r="DR36">
        <v>7.1199999999999996E-3</v>
      </c>
      <c r="DS36">
        <v>7.8499999999999993E-3</v>
      </c>
      <c r="DT36">
        <v>7.43E-3</v>
      </c>
      <c r="DU36">
        <v>7.0600000000000003E-3</v>
      </c>
      <c r="DV36">
        <v>9.3500000000000007E-3</v>
      </c>
      <c r="DW36">
        <v>7.7600000000000004E-3</v>
      </c>
      <c r="DY36">
        <v>1.0200000000000001E-2</v>
      </c>
      <c r="EA36">
        <v>6.0000000000000001E-3</v>
      </c>
      <c r="EB36">
        <v>5.9199999999999999E-3</v>
      </c>
      <c r="EC36">
        <v>5.4000000000000003E-3</v>
      </c>
      <c r="EF36">
        <v>2.2349999999999998E-2</v>
      </c>
      <c r="EH36">
        <v>2.375E-2</v>
      </c>
      <c r="EI36">
        <v>6.5199999999999998E-3</v>
      </c>
      <c r="EJ36">
        <v>5.3699999999999998E-3</v>
      </c>
      <c r="EK36">
        <v>6.0499999999999998E-3</v>
      </c>
      <c r="EL36">
        <v>6.6100000000000004E-3</v>
      </c>
      <c r="EM36">
        <v>7.0099999999999997E-3</v>
      </c>
      <c r="EN36">
        <v>7.2100000000000003E-3</v>
      </c>
      <c r="EP36">
        <v>7.6499999999999997E-3</v>
      </c>
      <c r="EQ36">
        <v>7.7499999999999999E-3</v>
      </c>
      <c r="ER36">
        <v>7.1199999999999996E-3</v>
      </c>
      <c r="ES36">
        <v>6.7200000000000003E-3</v>
      </c>
      <c r="ET36">
        <v>7.1399999999999996E-3</v>
      </c>
      <c r="EU36">
        <v>1.111E-2</v>
      </c>
      <c r="EV36">
        <v>1.038E-2</v>
      </c>
      <c r="EW36">
        <v>9.6699999999999998E-3</v>
      </c>
      <c r="EX36">
        <v>9.9600000000000001E-3</v>
      </c>
      <c r="EY36">
        <v>6.8399999999999997E-3</v>
      </c>
      <c r="EZ36">
        <v>7.1700000000000002E-3</v>
      </c>
      <c r="FA36">
        <v>7.2199999999999999E-3</v>
      </c>
      <c r="FB36">
        <v>7.6600000000000001E-3</v>
      </c>
      <c r="FC36">
        <v>6.7499999999999999E-3</v>
      </c>
      <c r="FD36">
        <v>6.4700000000000001E-3</v>
      </c>
      <c r="FE36">
        <v>7.5799999999999999E-3</v>
      </c>
      <c r="FF36">
        <v>4.5700000000000003E-3</v>
      </c>
      <c r="FG36">
        <v>8.8999999999999999E-3</v>
      </c>
      <c r="FH36">
        <v>9.5300000000000003E-3</v>
      </c>
      <c r="FI36">
        <v>8.94E-3</v>
      </c>
      <c r="FJ36">
        <v>8.9099999999999995E-3</v>
      </c>
      <c r="FK36">
        <v>8.2500000000000004E-3</v>
      </c>
      <c r="FL36">
        <v>5.5999999999999999E-3</v>
      </c>
      <c r="FN36">
        <v>7.6899999999999998E-3</v>
      </c>
      <c r="FO36">
        <v>6.7299999999999999E-3</v>
      </c>
      <c r="FP36">
        <v>6.13E-3</v>
      </c>
      <c r="FQ36">
        <v>8.5000000000000006E-3</v>
      </c>
      <c r="FR36">
        <v>8.9300000000000004E-3</v>
      </c>
      <c r="FS36">
        <v>9.1999999999999998E-3</v>
      </c>
      <c r="FT36">
        <v>8.5199999999999998E-3</v>
      </c>
      <c r="FU36">
        <v>8.1300000000000001E-3</v>
      </c>
      <c r="FV36">
        <v>7.9000000000000008E-3</v>
      </c>
      <c r="FW36">
        <v>7.7999999999999996E-3</v>
      </c>
      <c r="FX36">
        <v>8.0800000000000004E-3</v>
      </c>
      <c r="FY36">
        <v>8.6400000000000001E-3</v>
      </c>
      <c r="FZ36">
        <v>8.0300000000000007E-3</v>
      </c>
      <c r="GA36">
        <v>8.6099999999999996E-3</v>
      </c>
      <c r="GB36">
        <v>8.1099999999999992E-3</v>
      </c>
      <c r="GC36">
        <v>8.7100000000000007E-3</v>
      </c>
      <c r="GD36">
        <v>8.0599999999999995E-3</v>
      </c>
      <c r="GE36">
        <v>8.6800000000000002E-3</v>
      </c>
      <c r="GF36">
        <v>7.4700000000000001E-3</v>
      </c>
      <c r="GG36">
        <v>7.4599999999999996E-3</v>
      </c>
      <c r="GH36">
        <v>7.6499999999999997E-3</v>
      </c>
      <c r="GI36">
        <v>8.3199999999999993E-3</v>
      </c>
      <c r="GJ36">
        <v>8.4700000000000001E-3</v>
      </c>
      <c r="GK36">
        <v>8.6800000000000002E-3</v>
      </c>
      <c r="GL36">
        <v>8.9599999999999992E-3</v>
      </c>
      <c r="GM36">
        <v>7.8799999999999999E-3</v>
      </c>
      <c r="GO36">
        <v>7.8899999999999994E-3</v>
      </c>
      <c r="GP36">
        <v>7.4700000000000001E-3</v>
      </c>
      <c r="GQ36">
        <v>7.92E-3</v>
      </c>
      <c r="GR36">
        <v>8.8500000000000002E-3</v>
      </c>
      <c r="GS36">
        <v>7.0899999999999999E-3</v>
      </c>
      <c r="GT36">
        <v>7.6800000000000002E-3</v>
      </c>
      <c r="GU36">
        <v>5.4799999999999996E-3</v>
      </c>
      <c r="GW36">
        <v>9.1599999999999997E-3</v>
      </c>
      <c r="GX36">
        <v>8.3999999999999995E-3</v>
      </c>
      <c r="GY36">
        <v>9.3600000000000003E-3</v>
      </c>
      <c r="GZ36">
        <v>8.0599999999999995E-3</v>
      </c>
      <c r="HB36">
        <v>4.5500000000000002E-3</v>
      </c>
      <c r="HC36">
        <v>6.3899999999999998E-3</v>
      </c>
      <c r="HE36">
        <v>6.6800000000000002E-3</v>
      </c>
      <c r="HF36">
        <v>6.3600000000000002E-3</v>
      </c>
      <c r="HG36">
        <v>8.9499999999999996E-3</v>
      </c>
      <c r="HH36">
        <v>9.11E-3</v>
      </c>
      <c r="HI36">
        <v>9.5999999999999992E-3</v>
      </c>
      <c r="HJ36">
        <v>4.7600000000000003E-3</v>
      </c>
      <c r="HK36">
        <v>8.1399999999999997E-3</v>
      </c>
      <c r="HL36">
        <v>8.0300000000000007E-3</v>
      </c>
      <c r="HM36">
        <v>7.7799999999999996E-3</v>
      </c>
      <c r="HN36">
        <v>7.7000000000000002E-3</v>
      </c>
      <c r="HO36">
        <v>7.45E-3</v>
      </c>
      <c r="HP36">
        <v>5.47E-3</v>
      </c>
      <c r="HQ36">
        <v>7.79E-3</v>
      </c>
      <c r="HR36">
        <v>9.5099999999999994E-3</v>
      </c>
      <c r="HS36">
        <v>1.1900000000000001E-2</v>
      </c>
      <c r="HT36">
        <v>7.0600000000000003E-3</v>
      </c>
      <c r="HU36">
        <v>5.7400000000000003E-3</v>
      </c>
      <c r="HV36">
        <v>7.79E-3</v>
      </c>
      <c r="HW36">
        <v>5.9899999999999997E-3</v>
      </c>
      <c r="HX36">
        <v>8.9999999999999993E-3</v>
      </c>
      <c r="HY36">
        <v>7.0299999999999998E-3</v>
      </c>
      <c r="HZ36">
        <v>4.5300000000000002E-3</v>
      </c>
      <c r="IA36">
        <v>8.2199999999999999E-3</v>
      </c>
      <c r="IB36">
        <v>9.9500000000000005E-3</v>
      </c>
      <c r="IC36">
        <v>8.1399999999999997E-3</v>
      </c>
      <c r="ID36">
        <v>6.3600000000000002E-3</v>
      </c>
      <c r="IE36">
        <v>5.8199999999999997E-3</v>
      </c>
      <c r="IF36">
        <v>5.9300000000000004E-3</v>
      </c>
      <c r="IG36">
        <v>6.96E-3</v>
      </c>
      <c r="IH36">
        <v>7.6E-3</v>
      </c>
      <c r="II36">
        <v>5.4000000000000003E-3</v>
      </c>
      <c r="IJ36">
        <v>6.4799999999999996E-3</v>
      </c>
      <c r="IK36">
        <v>7.11E-3</v>
      </c>
      <c r="IL36">
        <v>7.9100000000000004E-3</v>
      </c>
      <c r="IM36">
        <v>8.6999999999999994E-3</v>
      </c>
      <c r="IN36">
        <v>9.5099999999999994E-3</v>
      </c>
      <c r="IO36">
        <v>1.043E-2</v>
      </c>
      <c r="IP36">
        <v>1.23E-2</v>
      </c>
      <c r="IQ36">
        <v>1.3849999999999999E-2</v>
      </c>
      <c r="IR36">
        <v>1.506E-2</v>
      </c>
      <c r="IS36">
        <v>4.7800000000000004E-3</v>
      </c>
      <c r="IT36">
        <v>5.4900000000000001E-3</v>
      </c>
      <c r="IU36">
        <v>6.2599999999999999E-3</v>
      </c>
      <c r="IV36">
        <v>5.0600000000000003E-3</v>
      </c>
      <c r="IW36">
        <v>5.8999999999999999E-3</v>
      </c>
      <c r="IX36">
        <v>3.8999999999999998E-3</v>
      </c>
      <c r="IY36">
        <v>4.6899999999999997E-3</v>
      </c>
      <c r="IZ36">
        <v>4.47E-3</v>
      </c>
      <c r="JA36">
        <v>5.0099999999999997E-3</v>
      </c>
      <c r="JB36">
        <v>5.2300000000000003E-3</v>
      </c>
      <c r="JD36">
        <v>6.0299999999999998E-3</v>
      </c>
      <c r="JE36">
        <v>5.0400000000000002E-3</v>
      </c>
      <c r="JF36">
        <v>6.1199999999999996E-3</v>
      </c>
      <c r="JG36">
        <v>8.5800000000000008E-3</v>
      </c>
      <c r="JH36">
        <v>1.2030000000000001E-2</v>
      </c>
      <c r="JI36">
        <v>7.9799999999999992E-3</v>
      </c>
      <c r="JJ36">
        <v>6.7499999999999999E-3</v>
      </c>
      <c r="JK36">
        <v>9.9299999999999996E-3</v>
      </c>
      <c r="JL36">
        <v>9.6100000000000005E-3</v>
      </c>
      <c r="JM36">
        <v>6.77E-3</v>
      </c>
      <c r="JN36">
        <v>9.2899999999999996E-3</v>
      </c>
      <c r="JO36">
        <v>1.9449999999999999E-2</v>
      </c>
      <c r="JP36">
        <v>7.0000000000000001E-3</v>
      </c>
      <c r="JQ36">
        <v>5.9899999999999997E-3</v>
      </c>
      <c r="JR36">
        <v>6.5100000000000002E-3</v>
      </c>
      <c r="JS36">
        <v>5.8900000000000003E-3</v>
      </c>
      <c r="JT36">
        <v>6.79E-3</v>
      </c>
      <c r="JU36">
        <v>7.4900000000000001E-3</v>
      </c>
      <c r="JV36">
        <v>6.2100000000000002E-3</v>
      </c>
      <c r="JW36">
        <v>7.0899999999999999E-3</v>
      </c>
      <c r="JX36">
        <v>6.4700000000000001E-3</v>
      </c>
      <c r="JY36">
        <v>7.5799999999999999E-3</v>
      </c>
      <c r="JZ36">
        <v>8.2400000000000008E-3</v>
      </c>
      <c r="KA36">
        <v>8.09E-3</v>
      </c>
      <c r="KB36">
        <v>6.1500000000000001E-3</v>
      </c>
      <c r="KC36">
        <v>6.4099999999999999E-3</v>
      </c>
      <c r="KD36">
        <v>6.9699999999999996E-3</v>
      </c>
      <c r="KE36">
        <v>8.0700000000000008E-3</v>
      </c>
      <c r="KF36">
        <v>1.073E-2</v>
      </c>
      <c r="KG36">
        <v>1.214E-2</v>
      </c>
      <c r="KH36">
        <v>1.013E-2</v>
      </c>
      <c r="KJ36">
        <v>8.8999999999999999E-3</v>
      </c>
      <c r="KK36">
        <v>8.8900000000000003E-3</v>
      </c>
      <c r="KL36">
        <v>9.1000000000000004E-3</v>
      </c>
      <c r="KM36">
        <v>9.2599999999999991E-3</v>
      </c>
      <c r="KN36">
        <v>5.5300000000000002E-3</v>
      </c>
      <c r="KO36">
        <v>5.6699999999999997E-3</v>
      </c>
      <c r="KP36">
        <v>8.3300000000000006E-3</v>
      </c>
      <c r="KQ36">
        <v>8.5299999999999994E-3</v>
      </c>
      <c r="KR36">
        <v>9.2300000000000004E-3</v>
      </c>
      <c r="KS36">
        <v>6.9899999999999997E-3</v>
      </c>
      <c r="KT36">
        <v>7.45E-3</v>
      </c>
      <c r="KU36">
        <v>5.8799999999999998E-3</v>
      </c>
      <c r="KV36">
        <v>4.79E-3</v>
      </c>
      <c r="KW36">
        <v>5.4099999999999999E-3</v>
      </c>
      <c r="KX36">
        <v>1.268E-2</v>
      </c>
      <c r="KY36">
        <v>6.1599999999999997E-3</v>
      </c>
      <c r="KZ36">
        <v>7.4799999999999997E-3</v>
      </c>
      <c r="LA36">
        <v>7.0600000000000003E-3</v>
      </c>
      <c r="LB36">
        <v>6.6600000000000001E-3</v>
      </c>
      <c r="LE36">
        <v>1.0410000000000001E-2</v>
      </c>
      <c r="LF36">
        <v>9.8399999999999998E-3</v>
      </c>
      <c r="LG36">
        <v>8.9499999999999996E-3</v>
      </c>
      <c r="LI36">
        <v>1.031E-2</v>
      </c>
      <c r="LJ36">
        <v>1.064E-2</v>
      </c>
      <c r="LK36">
        <v>1.073E-2</v>
      </c>
      <c r="LL36">
        <v>7.7000000000000002E-3</v>
      </c>
      <c r="LM36">
        <v>5.6299999999999996E-3</v>
      </c>
      <c r="LN36">
        <v>8.1700000000000002E-3</v>
      </c>
      <c r="LO36">
        <v>8.3499999999999998E-3</v>
      </c>
      <c r="LP36">
        <v>7.0299999999999998E-3</v>
      </c>
      <c r="LR36">
        <v>1.0370000000000001E-2</v>
      </c>
      <c r="LS36">
        <v>1.157E-2</v>
      </c>
      <c r="LT36">
        <v>6.8799999999999998E-3</v>
      </c>
      <c r="LV36">
        <v>1.189E-2</v>
      </c>
      <c r="LW36">
        <v>4.8199999999999996E-3</v>
      </c>
      <c r="LX36">
        <v>5.64E-3</v>
      </c>
      <c r="LY36">
        <v>8.0999999999999996E-3</v>
      </c>
      <c r="LZ36">
        <v>8.1200000000000005E-3</v>
      </c>
      <c r="MA36">
        <v>8.1300000000000001E-3</v>
      </c>
      <c r="MB36">
        <v>4.2399999999999998E-3</v>
      </c>
      <c r="MC36">
        <v>9.41E-3</v>
      </c>
      <c r="MD36">
        <v>1.085E-2</v>
      </c>
      <c r="ME36">
        <v>1.4030000000000001E-2</v>
      </c>
      <c r="MF36">
        <v>1.6320000000000001E-2</v>
      </c>
      <c r="MG36">
        <v>1.5949999999999999E-2</v>
      </c>
      <c r="MH36">
        <v>7.0499999999999998E-3</v>
      </c>
      <c r="MI36">
        <v>8.0800000000000004E-3</v>
      </c>
      <c r="MJ36">
        <v>8.0599999999999995E-3</v>
      </c>
      <c r="MK36">
        <v>7.8200000000000006E-3</v>
      </c>
      <c r="ML36">
        <v>9.3799999999999994E-3</v>
      </c>
      <c r="MM36">
        <v>8.3400000000000002E-3</v>
      </c>
      <c r="MN36">
        <v>5.9100000000000003E-3</v>
      </c>
      <c r="MO36">
        <v>6.45E-3</v>
      </c>
      <c r="MP36">
        <v>6.77E-3</v>
      </c>
      <c r="MQ36">
        <v>5.1799999999999997E-3</v>
      </c>
      <c r="MR36">
        <v>6.5799999999999999E-3</v>
      </c>
      <c r="MS36">
        <v>7.1500000000000001E-3</v>
      </c>
      <c r="MT36">
        <v>8.1499999999999993E-3</v>
      </c>
      <c r="MU36">
        <v>5.1999999999999998E-3</v>
      </c>
      <c r="MV36">
        <v>5.9800000000000001E-3</v>
      </c>
      <c r="MW36">
        <v>6.3299999999999997E-3</v>
      </c>
      <c r="MX36">
        <v>6.5100000000000002E-3</v>
      </c>
      <c r="MY36">
        <v>7.0899999999999999E-3</v>
      </c>
      <c r="MZ36">
        <v>7.92E-3</v>
      </c>
      <c r="NA36">
        <v>7.2100000000000003E-3</v>
      </c>
      <c r="NB36">
        <v>7.1399999999999996E-3</v>
      </c>
      <c r="NC36">
        <v>4.7299999999999998E-3</v>
      </c>
      <c r="ND36">
        <v>1.337E-2</v>
      </c>
      <c r="NE36">
        <v>8.3099999999999997E-3</v>
      </c>
      <c r="NF36">
        <v>8.6099999999999996E-3</v>
      </c>
      <c r="NG36">
        <v>5.4000000000000003E-3</v>
      </c>
      <c r="NI36">
        <v>4.8700000000000002E-3</v>
      </c>
      <c r="NJ36">
        <v>5.3699999999999998E-3</v>
      </c>
      <c r="NK36">
        <v>4.81E-3</v>
      </c>
      <c r="NL36">
        <v>5.11E-3</v>
      </c>
      <c r="NM36">
        <v>5.4000000000000003E-3</v>
      </c>
      <c r="NN36">
        <v>5.6899999999999997E-3</v>
      </c>
      <c r="NO36">
        <v>5.8999999999999999E-3</v>
      </c>
      <c r="NP36">
        <v>4.8999999999999998E-3</v>
      </c>
      <c r="NQ36">
        <v>5.1500000000000001E-3</v>
      </c>
      <c r="NR36">
        <v>5.1999999999999998E-3</v>
      </c>
      <c r="NS36">
        <v>5.4299999999999999E-3</v>
      </c>
      <c r="NU36">
        <v>4.8799999999999998E-3</v>
      </c>
      <c r="NV36">
        <v>5.1399999999999996E-3</v>
      </c>
      <c r="NW36">
        <v>5.1999999999999998E-3</v>
      </c>
      <c r="NX36">
        <v>5.3699999999999998E-3</v>
      </c>
      <c r="NY36">
        <v>5.4799999999999996E-3</v>
      </c>
      <c r="NZ36">
        <v>5.7499999999999999E-3</v>
      </c>
      <c r="OA36">
        <v>5.9899999999999997E-3</v>
      </c>
      <c r="OB36">
        <v>4.9100000000000003E-3</v>
      </c>
      <c r="OC36">
        <v>5.1900000000000002E-3</v>
      </c>
      <c r="OD36">
        <v>5.3400000000000001E-3</v>
      </c>
      <c r="OE36">
        <v>5.3400000000000001E-3</v>
      </c>
      <c r="OF36">
        <v>7.5300000000000002E-3</v>
      </c>
      <c r="OG36">
        <v>5.5300000000000002E-3</v>
      </c>
      <c r="OH36">
        <v>5.8100000000000001E-3</v>
      </c>
      <c r="OI36">
        <v>6.0600000000000003E-3</v>
      </c>
      <c r="OK36">
        <v>6.45E-3</v>
      </c>
      <c r="OL36">
        <v>6.6699999999999997E-3</v>
      </c>
      <c r="ON36">
        <v>5.3200000000000001E-3</v>
      </c>
      <c r="OO36">
        <v>5.5999999999999999E-3</v>
      </c>
      <c r="OP36">
        <v>6.11E-3</v>
      </c>
      <c r="OQ36">
        <v>6.3400000000000001E-3</v>
      </c>
      <c r="OR36">
        <v>6.6100000000000004E-3</v>
      </c>
      <c r="OS36">
        <v>7.3600000000000002E-3</v>
      </c>
      <c r="OT36">
        <v>6.7200000000000003E-3</v>
      </c>
      <c r="OU36">
        <v>5.4900000000000001E-3</v>
      </c>
      <c r="OV36">
        <v>6.0800000000000003E-3</v>
      </c>
      <c r="OW36">
        <v>3.49E-3</v>
      </c>
      <c r="OX36">
        <v>3.3600000000000001E-3</v>
      </c>
      <c r="OY36">
        <v>4.1700000000000001E-3</v>
      </c>
      <c r="OZ36">
        <v>4.8999999999999998E-3</v>
      </c>
      <c r="PA36">
        <v>9.9100000000000004E-3</v>
      </c>
      <c r="PB36">
        <v>1.078E-2</v>
      </c>
      <c r="PC36">
        <v>8.4799999999999997E-3</v>
      </c>
      <c r="PD36">
        <v>7.3400000000000002E-3</v>
      </c>
      <c r="PE36">
        <v>6.7799999999999996E-3</v>
      </c>
      <c r="PF36">
        <v>6.4000000000000003E-3</v>
      </c>
      <c r="PG36">
        <v>5.7200000000000003E-3</v>
      </c>
      <c r="PH36">
        <v>6.0600000000000003E-3</v>
      </c>
      <c r="PI36">
        <v>7.7600000000000004E-3</v>
      </c>
      <c r="PJ36">
        <v>7.1900000000000002E-3</v>
      </c>
      <c r="PK36">
        <v>6.5900000000000004E-3</v>
      </c>
      <c r="PL36">
        <v>6.1599999999999997E-3</v>
      </c>
      <c r="PM36">
        <v>5.62E-3</v>
      </c>
      <c r="PN36">
        <v>5.3499999999999997E-3</v>
      </c>
      <c r="PO36">
        <v>5.4999999999999997E-3</v>
      </c>
      <c r="PP36">
        <v>5.7600000000000004E-3</v>
      </c>
      <c r="PQ36">
        <v>5.6899999999999997E-3</v>
      </c>
      <c r="PR36">
        <v>5.1999999999999998E-3</v>
      </c>
      <c r="PS36">
        <v>6.1999999999999998E-3</v>
      </c>
      <c r="PT36">
        <v>6.0200000000000002E-3</v>
      </c>
      <c r="PV36">
        <v>5.0899999999999999E-3</v>
      </c>
      <c r="PW36">
        <v>5.3699999999999998E-3</v>
      </c>
      <c r="PX36">
        <v>6.0499999999999998E-3</v>
      </c>
      <c r="PY36">
        <v>6.9199999999999999E-3</v>
      </c>
      <c r="PZ36">
        <v>7.9299999999999995E-3</v>
      </c>
      <c r="QA36">
        <v>4.1599999999999996E-3</v>
      </c>
      <c r="QB36">
        <v>4.45E-3</v>
      </c>
      <c r="QC36">
        <v>5.9199999999999999E-3</v>
      </c>
      <c r="QD36">
        <v>5.1500000000000001E-3</v>
      </c>
      <c r="QE36">
        <v>4.7600000000000003E-3</v>
      </c>
      <c r="QF36">
        <v>4.7299999999999998E-3</v>
      </c>
      <c r="QG36">
        <v>6.5900000000000004E-3</v>
      </c>
      <c r="QH36">
        <v>4.7000000000000002E-3</v>
      </c>
      <c r="QI36">
        <v>5.2100000000000002E-3</v>
      </c>
      <c r="QJ36">
        <v>5.11E-3</v>
      </c>
      <c r="QK36">
        <v>4.9800000000000001E-3</v>
      </c>
      <c r="QL36">
        <v>4.79E-3</v>
      </c>
      <c r="QM36">
        <v>5.5100000000000001E-3</v>
      </c>
      <c r="QN36">
        <v>7.9100000000000004E-3</v>
      </c>
      <c r="QO36">
        <v>6.5199999999999998E-3</v>
      </c>
      <c r="QP36">
        <v>6.9699999999999996E-3</v>
      </c>
      <c r="QQ36">
        <v>7.5199999999999998E-3</v>
      </c>
      <c r="QR36">
        <v>8.77E-3</v>
      </c>
      <c r="QS36">
        <v>8.7600000000000004E-3</v>
      </c>
      <c r="QT36">
        <v>6.5799999999999999E-3</v>
      </c>
      <c r="QU36">
        <v>6.6699999999999997E-3</v>
      </c>
      <c r="QV36">
        <v>6.7499999999999999E-3</v>
      </c>
      <c r="QW36">
        <v>6.4799999999999996E-3</v>
      </c>
      <c r="QX36">
        <v>6.2399999999999999E-3</v>
      </c>
      <c r="QY36">
        <v>5.8399999999999997E-3</v>
      </c>
      <c r="QZ36">
        <v>6.3E-3</v>
      </c>
      <c r="RA36">
        <v>7.5100000000000002E-3</v>
      </c>
      <c r="RB36">
        <v>9.0200000000000002E-3</v>
      </c>
      <c r="RC36">
        <v>7.4700000000000001E-3</v>
      </c>
      <c r="RD36">
        <v>1.312E-2</v>
      </c>
      <c r="RE36">
        <v>1.009E-2</v>
      </c>
      <c r="RF36">
        <v>8.5299999999999994E-3</v>
      </c>
      <c r="RG36">
        <v>5.9500000000000004E-3</v>
      </c>
      <c r="RH36">
        <v>5.6699999999999997E-3</v>
      </c>
      <c r="RI36">
        <v>8.8199999999999997E-3</v>
      </c>
      <c r="RJ36">
        <v>8.5800000000000008E-3</v>
      </c>
      <c r="RK36">
        <v>8.3400000000000002E-3</v>
      </c>
      <c r="RL36">
        <v>7.7000000000000002E-3</v>
      </c>
      <c r="RM36">
        <v>4.9199999999999999E-3</v>
      </c>
      <c r="RN36">
        <v>4.9800000000000001E-3</v>
      </c>
      <c r="RO36">
        <v>4.9800000000000001E-3</v>
      </c>
      <c r="RP36">
        <v>4.5900000000000003E-3</v>
      </c>
      <c r="RQ36">
        <v>5.0200000000000002E-3</v>
      </c>
      <c r="RR36">
        <v>4.7499999999999999E-3</v>
      </c>
      <c r="RS36">
        <v>4.8799999999999998E-3</v>
      </c>
      <c r="RT36">
        <v>4.1000000000000003E-3</v>
      </c>
      <c r="RW36">
        <v>6.1700000000000001E-3</v>
      </c>
      <c r="RX36">
        <v>5.5700000000000003E-3</v>
      </c>
      <c r="RY36">
        <v>3.8899999999999998E-3</v>
      </c>
      <c r="RZ36">
        <v>5.96E-3</v>
      </c>
      <c r="SA36">
        <v>9.4699999999999993E-3</v>
      </c>
      <c r="SB36">
        <v>8.5500000000000003E-3</v>
      </c>
      <c r="SC36">
        <v>7.1399999999999996E-3</v>
      </c>
      <c r="SD36">
        <v>7.43E-3</v>
      </c>
      <c r="SE36">
        <v>6.7499999999999999E-3</v>
      </c>
      <c r="SF36">
        <v>7.7400000000000004E-3</v>
      </c>
      <c r="SG36">
        <v>9.7000000000000003E-3</v>
      </c>
      <c r="SH36">
        <v>1.214E-2</v>
      </c>
      <c r="SI36">
        <v>6.7600000000000004E-3</v>
      </c>
      <c r="SJ36">
        <v>5.3800000000000002E-3</v>
      </c>
      <c r="SK36">
        <v>4.8300000000000001E-3</v>
      </c>
      <c r="SL36">
        <v>5.11E-3</v>
      </c>
      <c r="SM36">
        <v>4.4200000000000003E-3</v>
      </c>
      <c r="SN36">
        <v>4.4999999999999997E-3</v>
      </c>
      <c r="SO36">
        <v>4.4000000000000003E-3</v>
      </c>
      <c r="SP36">
        <v>6.2399999999999999E-3</v>
      </c>
      <c r="SQ36">
        <v>5.5599999999999998E-3</v>
      </c>
      <c r="SR36">
        <v>5.7600000000000004E-3</v>
      </c>
      <c r="SS36">
        <v>4.7099999999999998E-3</v>
      </c>
      <c r="ST36">
        <v>4.7200000000000002E-3</v>
      </c>
      <c r="SU36">
        <v>5.1700000000000001E-3</v>
      </c>
      <c r="SV36">
        <v>4.8500000000000001E-3</v>
      </c>
      <c r="SW36">
        <v>5.1900000000000002E-3</v>
      </c>
      <c r="SX36">
        <v>6.13E-3</v>
      </c>
      <c r="SY36">
        <v>4.9399999999999999E-3</v>
      </c>
      <c r="SZ36">
        <v>5.8900000000000003E-3</v>
      </c>
      <c r="TA36">
        <v>5.6600000000000001E-3</v>
      </c>
      <c r="TB36">
        <v>6.2500000000000003E-3</v>
      </c>
      <c r="TC36">
        <v>5.0899999999999999E-3</v>
      </c>
      <c r="TD36">
        <v>5.4200000000000003E-3</v>
      </c>
      <c r="TF36">
        <v>6.4000000000000003E-3</v>
      </c>
      <c r="TG36">
        <v>6.3299999999999997E-3</v>
      </c>
      <c r="TH36">
        <v>7.8499999999999993E-3</v>
      </c>
      <c r="TI36">
        <v>5.1799999999999997E-3</v>
      </c>
      <c r="TJ36">
        <v>6.6600000000000001E-3</v>
      </c>
      <c r="TL36">
        <v>4.4099999999999999E-3</v>
      </c>
      <c r="TM36">
        <v>4.0499999999999998E-3</v>
      </c>
      <c r="TN36">
        <v>5.3899999999999998E-3</v>
      </c>
      <c r="TO36">
        <v>5.1999999999999998E-3</v>
      </c>
      <c r="TP36">
        <v>4.7499999999999999E-3</v>
      </c>
      <c r="TQ36">
        <v>5.3400000000000001E-3</v>
      </c>
      <c r="TR36">
        <v>6.43E-3</v>
      </c>
      <c r="TS36">
        <v>6.8399999999999997E-3</v>
      </c>
      <c r="TT36">
        <v>6.6899999999999998E-3</v>
      </c>
      <c r="TU36">
        <v>6.1500000000000001E-3</v>
      </c>
      <c r="TV36">
        <v>5.45E-3</v>
      </c>
      <c r="TW36">
        <v>5.0200000000000002E-3</v>
      </c>
      <c r="TX36">
        <v>5.13E-3</v>
      </c>
      <c r="TY36">
        <v>4.7200000000000002E-3</v>
      </c>
      <c r="TZ36">
        <v>5.2100000000000002E-3</v>
      </c>
      <c r="UA36">
        <v>4.9199999999999999E-3</v>
      </c>
      <c r="UB36">
        <v>4.81E-3</v>
      </c>
      <c r="UC36">
        <v>4.8500000000000001E-3</v>
      </c>
      <c r="UD36">
        <v>4.8500000000000001E-3</v>
      </c>
      <c r="UE36">
        <v>4.9100000000000003E-3</v>
      </c>
      <c r="UF36">
        <v>4.5300000000000002E-3</v>
      </c>
      <c r="UG36">
        <v>4.6299999999999996E-3</v>
      </c>
      <c r="UH36">
        <v>5.6299999999999996E-3</v>
      </c>
      <c r="UK36">
        <v>5.2100000000000002E-3</v>
      </c>
      <c r="UL36">
        <v>5.4900000000000001E-3</v>
      </c>
      <c r="UM36">
        <v>6.1799999999999997E-3</v>
      </c>
      <c r="UN36">
        <v>4.9500000000000004E-3</v>
      </c>
      <c r="UO36">
        <v>5.2399999999999999E-3</v>
      </c>
      <c r="UP36">
        <v>7.1199999999999996E-3</v>
      </c>
      <c r="UQ36">
        <v>4.7999999999999996E-3</v>
      </c>
      <c r="UR36">
        <v>4.6800000000000001E-3</v>
      </c>
      <c r="US36">
        <v>5.2700000000000004E-3</v>
      </c>
      <c r="UT36">
        <v>4.79E-3</v>
      </c>
      <c r="UU36">
        <v>5.0200000000000002E-3</v>
      </c>
      <c r="UV36">
        <v>5.2199999999999998E-3</v>
      </c>
      <c r="UW36">
        <v>6.9800000000000001E-3</v>
      </c>
      <c r="UX36">
        <v>5.0099999999999997E-3</v>
      </c>
      <c r="UY36">
        <v>5.3400000000000001E-3</v>
      </c>
      <c r="VA36">
        <v>7.9600000000000001E-3</v>
      </c>
      <c r="VB36">
        <v>5.77E-3</v>
      </c>
      <c r="VC36">
        <v>7.0499999999999998E-3</v>
      </c>
      <c r="VD36">
        <v>1.1270000000000001E-2</v>
      </c>
      <c r="VE36">
        <v>7.4099999999999999E-3</v>
      </c>
      <c r="VF36">
        <v>1.078E-2</v>
      </c>
      <c r="VG36">
        <v>9.6500000000000006E-3</v>
      </c>
      <c r="VH36">
        <v>6.3899999999999998E-3</v>
      </c>
      <c r="VI36">
        <v>6.3499999999999997E-3</v>
      </c>
    </row>
    <row r="37" spans="1:581" x14ac:dyDescent="0.25">
      <c r="A37">
        <v>850000</v>
      </c>
      <c r="B37">
        <v>4.1999999999999997E-3</v>
      </c>
      <c r="C37">
        <v>4.15E-3</v>
      </c>
      <c r="D37">
        <v>3.8999999999999998E-3</v>
      </c>
      <c r="E37">
        <v>4.7699999999999999E-3</v>
      </c>
      <c r="F37">
        <v>5.3499999999999997E-3</v>
      </c>
      <c r="G37">
        <v>6.1500000000000001E-3</v>
      </c>
      <c r="H37">
        <v>4.5900000000000003E-3</v>
      </c>
      <c r="I37">
        <v>4.0200000000000001E-3</v>
      </c>
      <c r="J37">
        <v>3.9300000000000003E-3</v>
      </c>
      <c r="K37">
        <v>5.1399999999999996E-3</v>
      </c>
      <c r="L37">
        <v>4.7299999999999998E-3</v>
      </c>
      <c r="M37">
        <v>4.0000000000000001E-3</v>
      </c>
      <c r="O37">
        <v>5.7299999999999999E-3</v>
      </c>
      <c r="P37">
        <v>5.5700000000000003E-3</v>
      </c>
      <c r="Q37">
        <v>5.5500000000000002E-3</v>
      </c>
      <c r="R37">
        <v>5.3099999999999996E-3</v>
      </c>
      <c r="S37">
        <v>4.62E-3</v>
      </c>
      <c r="U37">
        <v>6.1399999999999996E-3</v>
      </c>
      <c r="W37">
        <v>5.9699999999999996E-3</v>
      </c>
      <c r="X37">
        <v>4.47E-3</v>
      </c>
      <c r="Y37">
        <v>5.7400000000000003E-3</v>
      </c>
      <c r="Z37">
        <v>4.1700000000000001E-3</v>
      </c>
      <c r="AA37">
        <v>7.3099999999999997E-3</v>
      </c>
      <c r="AB37">
        <v>7.1300000000000001E-3</v>
      </c>
      <c r="AC37">
        <v>7.4999999999999997E-3</v>
      </c>
      <c r="AE37">
        <v>6.77E-3</v>
      </c>
      <c r="AF37">
        <v>6.8700000000000002E-3</v>
      </c>
      <c r="AG37">
        <v>6.7600000000000004E-3</v>
      </c>
      <c r="AH37">
        <v>6.6600000000000001E-3</v>
      </c>
      <c r="AI37">
        <v>7.6899999999999998E-3</v>
      </c>
      <c r="AJ37">
        <v>5.7299999999999999E-3</v>
      </c>
      <c r="AK37">
        <v>6.4799999999999996E-3</v>
      </c>
      <c r="AL37">
        <v>8.1399999999999997E-3</v>
      </c>
      <c r="AM37">
        <v>6.6899999999999998E-3</v>
      </c>
      <c r="AN37">
        <v>7.3200000000000001E-3</v>
      </c>
      <c r="AO37">
        <v>1.345E-2</v>
      </c>
      <c r="AP37">
        <v>7.4700000000000001E-3</v>
      </c>
      <c r="AQ37">
        <v>9.0500000000000008E-3</v>
      </c>
      <c r="AR37">
        <v>7.8899999999999994E-3</v>
      </c>
      <c r="AS37">
        <v>8.3199999999999993E-3</v>
      </c>
      <c r="AT37">
        <v>6.4900000000000001E-3</v>
      </c>
      <c r="AU37">
        <v>7.1500000000000001E-3</v>
      </c>
      <c r="AV37">
        <v>8.1099999999999992E-3</v>
      </c>
      <c r="AW37">
        <v>7.4200000000000004E-3</v>
      </c>
      <c r="AX37">
        <v>7.2700000000000004E-3</v>
      </c>
      <c r="AY37">
        <v>7.0800000000000004E-3</v>
      </c>
      <c r="AZ37">
        <v>6.4200000000000004E-3</v>
      </c>
      <c r="BA37">
        <v>7.9100000000000004E-3</v>
      </c>
      <c r="BB37">
        <v>7.2100000000000003E-3</v>
      </c>
      <c r="BC37">
        <v>7.8399999999999997E-3</v>
      </c>
      <c r="BD37">
        <v>8.3000000000000001E-3</v>
      </c>
      <c r="BE37">
        <v>9.8899999999999995E-3</v>
      </c>
      <c r="BF37">
        <v>1.1089999999999999E-2</v>
      </c>
      <c r="BG37">
        <v>7.4400000000000004E-3</v>
      </c>
      <c r="BH37">
        <v>7.77E-3</v>
      </c>
      <c r="BI37">
        <v>1.1209999999999999E-2</v>
      </c>
      <c r="BJ37">
        <v>7.7200000000000003E-3</v>
      </c>
      <c r="BK37">
        <v>8.1899999999999994E-3</v>
      </c>
      <c r="BL37">
        <v>8.3199999999999993E-3</v>
      </c>
      <c r="BM37">
        <v>7.8300000000000002E-3</v>
      </c>
      <c r="BN37">
        <v>6.0200000000000002E-3</v>
      </c>
      <c r="BO37">
        <v>9.0699999999999999E-3</v>
      </c>
      <c r="BQ37">
        <v>6.2599999999999999E-3</v>
      </c>
      <c r="BR37">
        <v>6.5199999999999998E-3</v>
      </c>
      <c r="BS37">
        <v>1.32E-2</v>
      </c>
      <c r="BT37">
        <v>8.9499999999999996E-3</v>
      </c>
      <c r="BU37">
        <v>9.7199999999999995E-3</v>
      </c>
      <c r="BV37">
        <v>9.8200000000000006E-3</v>
      </c>
      <c r="BW37">
        <v>9.4599999999999997E-3</v>
      </c>
      <c r="BX37">
        <v>9.1999999999999998E-3</v>
      </c>
      <c r="BY37">
        <v>9.4599999999999997E-3</v>
      </c>
      <c r="BZ37">
        <v>8.5299999999999994E-3</v>
      </c>
      <c r="CA37">
        <v>8.6400000000000001E-3</v>
      </c>
      <c r="CB37">
        <v>6.8199999999999997E-3</v>
      </c>
      <c r="CC37">
        <v>7.4700000000000001E-3</v>
      </c>
      <c r="CD37">
        <v>6.2599999999999999E-3</v>
      </c>
      <c r="CE37">
        <v>5.3400000000000001E-3</v>
      </c>
      <c r="CF37">
        <v>5.1200000000000004E-3</v>
      </c>
      <c r="CG37">
        <v>5.0000000000000001E-3</v>
      </c>
      <c r="CH37">
        <v>4.9500000000000004E-3</v>
      </c>
      <c r="CI37">
        <v>4.9300000000000004E-3</v>
      </c>
      <c r="CJ37">
        <v>4.9899999999999996E-3</v>
      </c>
      <c r="CK37">
        <v>5.77E-3</v>
      </c>
      <c r="CL37">
        <v>5.5199999999999997E-3</v>
      </c>
      <c r="CO37">
        <v>6.3800000000000003E-3</v>
      </c>
      <c r="CP37">
        <v>6.9800000000000001E-3</v>
      </c>
      <c r="CQ37">
        <v>5.5999999999999999E-3</v>
      </c>
      <c r="CR37">
        <v>6.3200000000000001E-3</v>
      </c>
      <c r="CS37">
        <v>6.9800000000000001E-3</v>
      </c>
      <c r="CT37">
        <v>7.4000000000000003E-3</v>
      </c>
      <c r="CU37">
        <v>5.8100000000000001E-3</v>
      </c>
      <c r="CV37">
        <v>5.5300000000000002E-3</v>
      </c>
      <c r="CW37">
        <v>6.1000000000000004E-3</v>
      </c>
      <c r="CX37">
        <v>5.9300000000000004E-3</v>
      </c>
      <c r="CY37">
        <v>5.8799999999999998E-3</v>
      </c>
      <c r="CZ37">
        <v>5.2300000000000003E-3</v>
      </c>
      <c r="DA37">
        <v>5.28E-3</v>
      </c>
      <c r="DB37">
        <v>5.1900000000000002E-3</v>
      </c>
      <c r="DC37">
        <v>5.1000000000000004E-3</v>
      </c>
      <c r="DE37">
        <v>4.9100000000000003E-3</v>
      </c>
      <c r="DF37">
        <v>8.7399999999999995E-3</v>
      </c>
      <c r="DG37">
        <v>5.5599999999999998E-3</v>
      </c>
      <c r="DH37">
        <v>7.5799999999999999E-3</v>
      </c>
      <c r="DI37">
        <v>7.26E-3</v>
      </c>
      <c r="DJ37">
        <v>7.28E-3</v>
      </c>
      <c r="DK37">
        <v>7.2300000000000003E-3</v>
      </c>
      <c r="DL37">
        <v>7.1999999999999998E-3</v>
      </c>
      <c r="DM37">
        <v>6.1799999999999997E-3</v>
      </c>
      <c r="DN37">
        <v>6.7099999999999998E-3</v>
      </c>
      <c r="DO37">
        <v>6.3299999999999997E-3</v>
      </c>
      <c r="DP37">
        <v>8.9599999999999992E-3</v>
      </c>
      <c r="DQ37">
        <v>8.8100000000000001E-3</v>
      </c>
      <c r="DR37">
        <v>6.9699999999999996E-3</v>
      </c>
      <c r="DS37">
        <v>7.6699999999999997E-3</v>
      </c>
      <c r="DT37">
        <v>7.3000000000000001E-3</v>
      </c>
      <c r="DU37">
        <v>6.96E-3</v>
      </c>
      <c r="DV37">
        <v>9.2999999999999992E-3</v>
      </c>
      <c r="DW37">
        <v>7.6299999999999996E-3</v>
      </c>
      <c r="DX37">
        <v>7.4700000000000001E-3</v>
      </c>
      <c r="DY37">
        <v>1.013E-2</v>
      </c>
      <c r="EA37">
        <v>5.94E-3</v>
      </c>
      <c r="EB37">
        <v>5.8399999999999997E-3</v>
      </c>
      <c r="EC37">
        <v>5.3400000000000001E-3</v>
      </c>
      <c r="EF37">
        <v>2.2329999999999999E-2</v>
      </c>
      <c r="EH37">
        <v>2.368E-2</v>
      </c>
      <c r="EI37">
        <v>6.4799999999999996E-3</v>
      </c>
      <c r="EJ37">
        <v>5.3600000000000002E-3</v>
      </c>
      <c r="EK37">
        <v>6.0200000000000002E-3</v>
      </c>
      <c r="EL37">
        <v>6.5599999999999999E-3</v>
      </c>
      <c r="EM37">
        <v>6.94E-3</v>
      </c>
      <c r="EN37">
        <v>7.1399999999999996E-3</v>
      </c>
      <c r="EO37">
        <v>7.2500000000000004E-3</v>
      </c>
      <c r="EP37">
        <v>7.5700000000000003E-3</v>
      </c>
      <c r="EQ37">
        <v>7.6699999999999997E-3</v>
      </c>
      <c r="ER37">
        <v>6.96E-3</v>
      </c>
      <c r="ES37">
        <v>6.5900000000000004E-3</v>
      </c>
      <c r="ET37">
        <v>6.9499999999999996E-3</v>
      </c>
      <c r="EU37">
        <v>1.0999999999999999E-2</v>
      </c>
      <c r="EV37">
        <v>1.026E-2</v>
      </c>
      <c r="EW37">
        <v>9.5700000000000004E-3</v>
      </c>
      <c r="EX37">
        <v>9.9000000000000008E-3</v>
      </c>
      <c r="EY37">
        <v>6.8300000000000001E-3</v>
      </c>
      <c r="EZ37">
        <v>7.1700000000000002E-3</v>
      </c>
      <c r="FA37">
        <v>7.11E-3</v>
      </c>
      <c r="FB37">
        <v>7.5500000000000003E-3</v>
      </c>
      <c r="FC37">
        <v>6.6299999999999996E-3</v>
      </c>
      <c r="FD37">
        <v>6.3800000000000003E-3</v>
      </c>
      <c r="FE37">
        <v>7.4999999999999997E-3</v>
      </c>
      <c r="FG37">
        <v>8.8699999999999994E-3</v>
      </c>
      <c r="FH37">
        <v>9.4699999999999993E-3</v>
      </c>
      <c r="FI37">
        <v>8.8999999999999999E-3</v>
      </c>
      <c r="FJ37">
        <v>8.8599999999999998E-3</v>
      </c>
      <c r="FK37">
        <v>8.2000000000000007E-3</v>
      </c>
      <c r="FL37">
        <v>5.5500000000000002E-3</v>
      </c>
      <c r="FN37">
        <v>7.5900000000000004E-3</v>
      </c>
      <c r="FO37">
        <v>6.6100000000000004E-3</v>
      </c>
      <c r="FP37">
        <v>6.0299999999999998E-3</v>
      </c>
      <c r="FQ37">
        <v>8.3099999999999997E-3</v>
      </c>
      <c r="FR37">
        <v>8.7100000000000007E-3</v>
      </c>
      <c r="FS37">
        <v>9.0200000000000002E-3</v>
      </c>
      <c r="FT37">
        <v>8.3599999999999994E-3</v>
      </c>
      <c r="FU37">
        <v>7.9900000000000006E-3</v>
      </c>
      <c r="FV37">
        <v>7.79E-3</v>
      </c>
      <c r="FW37">
        <v>7.7000000000000002E-3</v>
      </c>
      <c r="FY37">
        <v>8.5100000000000002E-3</v>
      </c>
      <c r="FZ37">
        <v>7.9299999999999995E-3</v>
      </c>
      <c r="GA37">
        <v>8.5199999999999998E-3</v>
      </c>
      <c r="GB37">
        <v>8.0300000000000007E-3</v>
      </c>
      <c r="GC37">
        <v>8.6700000000000006E-3</v>
      </c>
      <c r="GE37">
        <v>8.6099999999999996E-3</v>
      </c>
      <c r="GF37">
        <v>7.4000000000000003E-3</v>
      </c>
      <c r="GG37">
        <v>7.3899999999999999E-3</v>
      </c>
      <c r="GH37">
        <v>7.5799999999999999E-3</v>
      </c>
      <c r="GI37">
        <v>8.26E-3</v>
      </c>
      <c r="GJ37">
        <v>8.3999999999999995E-3</v>
      </c>
      <c r="GL37">
        <v>8.8900000000000003E-3</v>
      </c>
      <c r="GM37">
        <v>7.8100000000000001E-3</v>
      </c>
      <c r="GO37">
        <v>7.7999999999999996E-3</v>
      </c>
      <c r="GP37">
        <v>7.3299999999999997E-3</v>
      </c>
      <c r="GQ37">
        <v>7.7600000000000004E-3</v>
      </c>
      <c r="GR37">
        <v>8.6999999999999994E-3</v>
      </c>
      <c r="GS37">
        <v>7.0000000000000001E-3</v>
      </c>
      <c r="GT37">
        <v>7.6E-3</v>
      </c>
      <c r="GU37">
        <v>5.4299999999999999E-3</v>
      </c>
      <c r="GV37">
        <v>8.9999999999999993E-3</v>
      </c>
      <c r="GW37">
        <v>9.0600000000000003E-3</v>
      </c>
      <c r="GX37">
        <v>8.3300000000000006E-3</v>
      </c>
      <c r="GY37">
        <v>9.2300000000000004E-3</v>
      </c>
      <c r="GZ37">
        <v>7.9399999999999991E-3</v>
      </c>
      <c r="HB37">
        <v>4.5700000000000003E-3</v>
      </c>
      <c r="HC37">
        <v>6.3200000000000001E-3</v>
      </c>
      <c r="HE37">
        <v>6.5199999999999998E-3</v>
      </c>
      <c r="HF37">
        <v>6.3499999999999997E-3</v>
      </c>
      <c r="HG37">
        <v>8.9200000000000008E-3</v>
      </c>
      <c r="HI37">
        <v>9.5200000000000007E-3</v>
      </c>
      <c r="HJ37">
        <v>4.7299999999999998E-3</v>
      </c>
      <c r="HK37">
        <v>7.9900000000000006E-3</v>
      </c>
      <c r="HL37">
        <v>7.9000000000000008E-3</v>
      </c>
      <c r="HM37">
        <v>7.6899999999999998E-3</v>
      </c>
      <c r="HN37">
        <v>7.5599999999999999E-3</v>
      </c>
      <c r="HO37">
        <v>7.3099999999999997E-3</v>
      </c>
      <c r="HP37">
        <v>5.4299999999999999E-3</v>
      </c>
      <c r="HQ37">
        <v>7.6E-3</v>
      </c>
      <c r="HR37">
        <v>9.3100000000000006E-3</v>
      </c>
      <c r="HS37">
        <v>1.1730000000000001E-2</v>
      </c>
      <c r="HT37">
        <v>6.9199999999999999E-3</v>
      </c>
      <c r="HU37">
        <v>5.6899999999999997E-3</v>
      </c>
      <c r="HV37">
        <v>7.7400000000000004E-3</v>
      </c>
      <c r="HW37">
        <v>5.94E-3</v>
      </c>
      <c r="HX37">
        <v>8.7799999999999996E-3</v>
      </c>
      <c r="HY37">
        <v>6.9199999999999999E-3</v>
      </c>
      <c r="HZ37">
        <v>4.4600000000000004E-3</v>
      </c>
      <c r="IA37">
        <v>8.1300000000000001E-3</v>
      </c>
      <c r="IB37">
        <v>9.8600000000000007E-3</v>
      </c>
      <c r="IC37">
        <v>8.0800000000000004E-3</v>
      </c>
      <c r="ID37">
        <v>6.2500000000000003E-3</v>
      </c>
      <c r="IE37">
        <v>5.7299999999999999E-3</v>
      </c>
      <c r="IF37">
        <v>5.8300000000000001E-3</v>
      </c>
      <c r="IG37">
        <v>6.8599999999999998E-3</v>
      </c>
      <c r="IH37">
        <v>7.4799999999999997E-3</v>
      </c>
      <c r="II37">
        <v>5.3299999999999997E-3</v>
      </c>
      <c r="IK37">
        <v>7.0499999999999998E-3</v>
      </c>
      <c r="IL37">
        <v>7.8399999999999997E-3</v>
      </c>
      <c r="IM37">
        <v>8.6300000000000005E-3</v>
      </c>
      <c r="IN37">
        <v>9.41E-3</v>
      </c>
      <c r="IO37">
        <v>1.0330000000000001E-2</v>
      </c>
      <c r="IP37">
        <v>1.214E-2</v>
      </c>
      <c r="IQ37">
        <v>1.362E-2</v>
      </c>
      <c r="IR37">
        <v>1.4930000000000001E-2</v>
      </c>
      <c r="IS37">
        <v>4.7200000000000002E-3</v>
      </c>
      <c r="IT37">
        <v>5.3899999999999998E-3</v>
      </c>
      <c r="IU37">
        <v>6.1199999999999996E-3</v>
      </c>
      <c r="IV37">
        <v>5.0099999999999997E-3</v>
      </c>
      <c r="IW37">
        <v>5.8300000000000001E-3</v>
      </c>
      <c r="IX37">
        <v>3.8600000000000001E-3</v>
      </c>
      <c r="IY37">
        <v>4.6699999999999997E-3</v>
      </c>
      <c r="IZ37">
        <v>4.4299999999999999E-3</v>
      </c>
      <c r="JA37">
        <v>4.9800000000000001E-3</v>
      </c>
      <c r="JB37">
        <v>5.1799999999999997E-3</v>
      </c>
      <c r="JC37">
        <v>5.5999999999999999E-3</v>
      </c>
      <c r="JD37">
        <v>5.9800000000000001E-3</v>
      </c>
      <c r="JE37">
        <v>4.9899999999999996E-3</v>
      </c>
      <c r="JF37">
        <v>6.1000000000000004E-3</v>
      </c>
      <c r="JG37">
        <v>8.5500000000000003E-3</v>
      </c>
      <c r="JH37">
        <v>1.188E-2</v>
      </c>
      <c r="JI37">
        <v>7.8300000000000002E-3</v>
      </c>
      <c r="JJ37">
        <v>6.6499999999999997E-3</v>
      </c>
      <c r="JK37">
        <v>9.6799999999999994E-3</v>
      </c>
      <c r="JL37">
        <v>9.5399999999999999E-3</v>
      </c>
      <c r="JM37">
        <v>6.6600000000000001E-3</v>
      </c>
      <c r="JN37">
        <v>9.1000000000000004E-3</v>
      </c>
      <c r="JO37">
        <v>1.9060000000000001E-2</v>
      </c>
      <c r="JP37">
        <v>6.8100000000000001E-3</v>
      </c>
      <c r="JQ37">
        <v>5.9500000000000004E-3</v>
      </c>
      <c r="JR37">
        <v>6.4700000000000001E-3</v>
      </c>
      <c r="JS37">
        <v>5.8399999999999997E-3</v>
      </c>
      <c r="JT37">
        <v>6.7400000000000003E-3</v>
      </c>
      <c r="JU37">
        <v>7.5100000000000002E-3</v>
      </c>
      <c r="JV37">
        <v>6.1500000000000001E-3</v>
      </c>
      <c r="JW37">
        <v>6.9899999999999997E-3</v>
      </c>
      <c r="JX37">
        <v>6.3899999999999998E-3</v>
      </c>
      <c r="JY37">
        <v>7.4999999999999997E-3</v>
      </c>
      <c r="JZ37">
        <v>8.1099999999999992E-3</v>
      </c>
      <c r="KA37">
        <v>7.9600000000000001E-3</v>
      </c>
      <c r="KB37">
        <v>6.1000000000000004E-3</v>
      </c>
      <c r="KC37">
        <v>6.3600000000000002E-3</v>
      </c>
      <c r="KD37">
        <v>6.9300000000000004E-3</v>
      </c>
      <c r="KE37">
        <v>8.1200000000000005E-3</v>
      </c>
      <c r="KF37">
        <v>1.081E-2</v>
      </c>
      <c r="KG37">
        <v>1.217E-2</v>
      </c>
      <c r="KH37">
        <v>1.0160000000000001E-2</v>
      </c>
      <c r="KI37">
        <v>8.6700000000000006E-3</v>
      </c>
      <c r="KJ37">
        <v>8.8100000000000001E-3</v>
      </c>
      <c r="KK37">
        <v>8.8199999999999997E-3</v>
      </c>
      <c r="KL37">
        <v>8.9800000000000001E-3</v>
      </c>
      <c r="KM37">
        <v>9.1299999999999992E-3</v>
      </c>
      <c r="KN37">
        <v>5.4900000000000001E-3</v>
      </c>
      <c r="KO37">
        <v>5.5799999999999999E-3</v>
      </c>
      <c r="KP37">
        <v>8.26E-3</v>
      </c>
      <c r="KQ37">
        <v>8.43E-3</v>
      </c>
      <c r="KR37">
        <v>9.0799999999999995E-3</v>
      </c>
      <c r="KS37">
        <v>6.8700000000000002E-3</v>
      </c>
      <c r="KT37">
        <v>7.3200000000000001E-3</v>
      </c>
      <c r="KU37">
        <v>5.9199999999999999E-3</v>
      </c>
      <c r="KV37">
        <v>4.7299999999999998E-3</v>
      </c>
      <c r="KW37">
        <v>5.3400000000000001E-3</v>
      </c>
      <c r="KY37">
        <v>6.1900000000000002E-3</v>
      </c>
      <c r="KZ37">
        <v>7.4900000000000001E-3</v>
      </c>
      <c r="LA37">
        <v>6.94E-3</v>
      </c>
      <c r="LB37">
        <v>6.5599999999999999E-3</v>
      </c>
      <c r="LC37">
        <v>6.7000000000000002E-3</v>
      </c>
      <c r="LD37">
        <v>6.7000000000000002E-3</v>
      </c>
      <c r="LE37">
        <v>1.031E-2</v>
      </c>
      <c r="LG37">
        <v>8.9099999999999995E-3</v>
      </c>
      <c r="LI37">
        <v>1.0200000000000001E-2</v>
      </c>
      <c r="LJ37">
        <v>1.0540000000000001E-2</v>
      </c>
      <c r="LK37">
        <v>1.068E-2</v>
      </c>
      <c r="LL37">
        <v>7.5799999999999999E-3</v>
      </c>
      <c r="LM37">
        <v>5.5500000000000002E-3</v>
      </c>
      <c r="LN37">
        <v>7.9900000000000006E-3</v>
      </c>
      <c r="LO37">
        <v>8.2799999999999992E-3</v>
      </c>
      <c r="LP37">
        <v>6.9100000000000003E-3</v>
      </c>
      <c r="LR37">
        <v>1.0240000000000001E-2</v>
      </c>
      <c r="LS37">
        <v>1.146E-2</v>
      </c>
      <c r="LT37">
        <v>6.7799999999999996E-3</v>
      </c>
      <c r="LV37">
        <v>1.1560000000000001E-2</v>
      </c>
      <c r="LW37">
        <v>4.79E-3</v>
      </c>
      <c r="LX37">
        <v>5.6299999999999996E-3</v>
      </c>
      <c r="LY37">
        <v>8.0000000000000002E-3</v>
      </c>
      <c r="LZ37">
        <v>8.0300000000000007E-3</v>
      </c>
      <c r="MA37">
        <v>8.0400000000000003E-3</v>
      </c>
      <c r="MB37">
        <v>4.2100000000000002E-3</v>
      </c>
      <c r="MC37">
        <v>9.3299999999999998E-3</v>
      </c>
      <c r="MD37">
        <v>1.074E-2</v>
      </c>
      <c r="ME37">
        <v>1.388E-2</v>
      </c>
      <c r="MF37">
        <v>1.626E-2</v>
      </c>
      <c r="MG37">
        <v>1.5630000000000002E-2</v>
      </c>
      <c r="MH37">
        <v>6.8999999999999999E-3</v>
      </c>
      <c r="MI37">
        <v>7.9000000000000008E-3</v>
      </c>
      <c r="MJ37">
        <v>7.8799999999999999E-3</v>
      </c>
      <c r="MK37">
        <v>7.62E-3</v>
      </c>
      <c r="ML37">
        <v>9.1699999999999993E-3</v>
      </c>
      <c r="MM37">
        <v>8.1600000000000006E-3</v>
      </c>
      <c r="MN37">
        <v>5.8399999999999997E-3</v>
      </c>
      <c r="MO37">
        <v>6.3699999999999998E-3</v>
      </c>
      <c r="MP37">
        <v>6.7499999999999999E-3</v>
      </c>
      <c r="MQ37">
        <v>5.11E-3</v>
      </c>
      <c r="MR37">
        <v>6.5100000000000002E-3</v>
      </c>
      <c r="MS37">
        <v>7.0699999999999999E-3</v>
      </c>
      <c r="MT37">
        <v>8.0700000000000008E-3</v>
      </c>
      <c r="MU37">
        <v>5.1500000000000001E-3</v>
      </c>
      <c r="MW37">
        <v>6.2599999999999999E-3</v>
      </c>
      <c r="MX37">
        <v>6.4400000000000004E-3</v>
      </c>
      <c r="MY37">
        <v>7.0299999999999998E-3</v>
      </c>
      <c r="MZ37">
        <v>7.8600000000000007E-3</v>
      </c>
      <c r="NA37">
        <v>7.1599999999999997E-3</v>
      </c>
      <c r="NB37">
        <v>7.0499999999999998E-3</v>
      </c>
      <c r="NC37">
        <v>4.6699999999999997E-3</v>
      </c>
      <c r="ND37">
        <v>1.3310000000000001E-2</v>
      </c>
      <c r="NE37">
        <v>8.2199999999999999E-3</v>
      </c>
      <c r="NF37">
        <v>8.5000000000000006E-3</v>
      </c>
      <c r="NG37">
        <v>5.3600000000000002E-3</v>
      </c>
      <c r="NH37">
        <v>4.4400000000000004E-3</v>
      </c>
      <c r="NI37">
        <v>4.8399999999999997E-3</v>
      </c>
      <c r="NJ37">
        <v>5.3200000000000001E-3</v>
      </c>
      <c r="NK37">
        <v>4.7699999999999999E-3</v>
      </c>
      <c r="NL37">
        <v>5.0600000000000003E-3</v>
      </c>
      <c r="NN37">
        <v>5.6499999999999996E-3</v>
      </c>
      <c r="NO37">
        <v>5.8500000000000002E-3</v>
      </c>
      <c r="NP37">
        <v>4.8599999999999997E-3</v>
      </c>
      <c r="NQ37">
        <v>5.0899999999999999E-3</v>
      </c>
      <c r="NR37">
        <v>5.1500000000000001E-3</v>
      </c>
      <c r="NS37">
        <v>5.3699999999999998E-3</v>
      </c>
      <c r="NT37">
        <v>5.8799999999999998E-3</v>
      </c>
      <c r="NV37">
        <v>5.11E-3</v>
      </c>
      <c r="NX37">
        <v>5.3299999999999997E-3</v>
      </c>
      <c r="NY37">
        <v>5.4299999999999999E-3</v>
      </c>
      <c r="NZ37">
        <v>5.6899999999999997E-3</v>
      </c>
      <c r="OA37">
        <v>5.9199999999999999E-3</v>
      </c>
      <c r="OB37">
        <v>4.8599999999999997E-3</v>
      </c>
      <c r="OC37">
        <v>5.1599999999999997E-3</v>
      </c>
      <c r="OD37">
        <v>5.2900000000000004E-3</v>
      </c>
      <c r="OE37">
        <v>5.2900000000000004E-3</v>
      </c>
      <c r="OF37">
        <v>7.4400000000000004E-3</v>
      </c>
      <c r="OG37">
        <v>5.4900000000000001E-3</v>
      </c>
      <c r="OH37">
        <v>5.77E-3</v>
      </c>
      <c r="OI37">
        <v>6.0099999999999997E-3</v>
      </c>
      <c r="OJ37">
        <v>6.2199999999999998E-3</v>
      </c>
      <c r="OK37">
        <v>6.3800000000000003E-3</v>
      </c>
      <c r="OL37">
        <v>6.6100000000000004E-3</v>
      </c>
      <c r="OM37">
        <v>5.0400000000000002E-3</v>
      </c>
      <c r="ON37">
        <v>5.2700000000000004E-3</v>
      </c>
      <c r="OO37">
        <v>5.5500000000000002E-3</v>
      </c>
      <c r="OP37">
        <v>6.0400000000000002E-3</v>
      </c>
      <c r="OQ37">
        <v>6.2899999999999996E-3</v>
      </c>
      <c r="OR37">
        <v>6.5500000000000003E-3</v>
      </c>
      <c r="OS37">
        <v>7.3000000000000001E-3</v>
      </c>
      <c r="OT37">
        <v>6.7000000000000002E-3</v>
      </c>
      <c r="OU37">
        <v>5.4599999999999996E-3</v>
      </c>
      <c r="OV37">
        <v>6.11E-3</v>
      </c>
      <c r="OW37">
        <v>3.4499999999999999E-3</v>
      </c>
      <c r="OX37">
        <v>3.31E-3</v>
      </c>
      <c r="OY37">
        <v>4.1700000000000001E-3</v>
      </c>
      <c r="OZ37">
        <v>4.8599999999999997E-3</v>
      </c>
      <c r="PA37">
        <v>9.7999999999999997E-3</v>
      </c>
      <c r="PB37">
        <v>1.065E-2</v>
      </c>
      <c r="PD37">
        <v>7.3000000000000001E-3</v>
      </c>
      <c r="PE37">
        <v>6.7400000000000003E-3</v>
      </c>
      <c r="PF37">
        <v>6.3699999999999998E-3</v>
      </c>
      <c r="PG37">
        <v>5.6600000000000001E-3</v>
      </c>
      <c r="PH37">
        <v>6.0099999999999997E-3</v>
      </c>
      <c r="PI37">
        <v>7.7000000000000002E-3</v>
      </c>
      <c r="PJ37">
        <v>7.1399999999999996E-3</v>
      </c>
      <c r="PK37">
        <v>6.5500000000000003E-3</v>
      </c>
      <c r="PL37">
        <v>6.1399999999999996E-3</v>
      </c>
      <c r="PM37">
        <v>5.5900000000000004E-3</v>
      </c>
      <c r="PO37">
        <v>5.4299999999999999E-3</v>
      </c>
      <c r="PP37">
        <v>5.6800000000000002E-3</v>
      </c>
      <c r="PQ37">
        <v>5.5900000000000004E-3</v>
      </c>
      <c r="PR37">
        <v>5.13E-3</v>
      </c>
      <c r="PS37">
        <v>6.1399999999999996E-3</v>
      </c>
      <c r="PT37">
        <v>5.9500000000000004E-3</v>
      </c>
      <c r="PU37">
        <v>4.7200000000000002E-3</v>
      </c>
      <c r="PV37">
        <v>4.9699999999999996E-3</v>
      </c>
      <c r="PW37">
        <v>5.2300000000000003E-3</v>
      </c>
      <c r="PX37">
        <v>5.8599999999999998E-3</v>
      </c>
      <c r="PY37">
        <v>6.6899999999999998E-3</v>
      </c>
      <c r="PZ37">
        <v>7.6400000000000001E-3</v>
      </c>
      <c r="QA37">
        <v>4.1200000000000004E-3</v>
      </c>
      <c r="QB37">
        <v>4.4200000000000003E-3</v>
      </c>
      <c r="QC37">
        <v>5.8799999999999998E-3</v>
      </c>
      <c r="QD37">
        <v>5.1399999999999996E-3</v>
      </c>
      <c r="QE37">
        <v>4.7299999999999998E-3</v>
      </c>
      <c r="QF37">
        <v>4.7200000000000002E-3</v>
      </c>
      <c r="QG37">
        <v>6.6100000000000004E-3</v>
      </c>
      <c r="QH37">
        <v>4.6699999999999997E-3</v>
      </c>
      <c r="QI37">
        <v>5.1999999999999998E-3</v>
      </c>
      <c r="QJ37">
        <v>5.1000000000000004E-3</v>
      </c>
      <c r="QK37">
        <v>4.9899999999999996E-3</v>
      </c>
      <c r="QL37">
        <v>4.79E-3</v>
      </c>
      <c r="QM37">
        <v>5.4900000000000001E-3</v>
      </c>
      <c r="QN37">
        <v>7.9500000000000005E-3</v>
      </c>
      <c r="QO37">
        <v>6.45E-3</v>
      </c>
      <c r="QP37">
        <v>6.9899999999999997E-3</v>
      </c>
      <c r="QQ37">
        <v>7.5500000000000003E-3</v>
      </c>
      <c r="QS37">
        <v>8.6899999999999998E-3</v>
      </c>
      <c r="QT37">
        <v>6.5199999999999998E-3</v>
      </c>
      <c r="QU37">
        <v>6.6E-3</v>
      </c>
      <c r="QV37">
        <v>6.6899999999999998E-3</v>
      </c>
      <c r="QW37">
        <v>6.45E-3</v>
      </c>
      <c r="QX37">
        <v>6.1799999999999997E-3</v>
      </c>
      <c r="QY37">
        <v>5.79E-3</v>
      </c>
      <c r="QZ37">
        <v>6.2399999999999999E-3</v>
      </c>
      <c r="RA37">
        <v>7.3899999999999999E-3</v>
      </c>
      <c r="RB37">
        <v>8.9099999999999995E-3</v>
      </c>
      <c r="RC37">
        <v>7.3499999999999998E-3</v>
      </c>
      <c r="RD37">
        <v>1.278E-2</v>
      </c>
      <c r="RE37">
        <v>9.8099999999999993E-3</v>
      </c>
      <c r="RF37">
        <v>8.4100000000000008E-3</v>
      </c>
      <c r="RG37">
        <v>5.8900000000000003E-3</v>
      </c>
      <c r="RI37">
        <v>8.7100000000000007E-3</v>
      </c>
      <c r="RJ37">
        <v>8.4399999999999996E-3</v>
      </c>
      <c r="RK37">
        <v>8.1899999999999994E-3</v>
      </c>
      <c r="RL37">
        <v>7.6299999999999996E-3</v>
      </c>
      <c r="RN37">
        <v>4.9500000000000004E-3</v>
      </c>
      <c r="RO37">
        <v>4.9500000000000004E-3</v>
      </c>
      <c r="RP37">
        <v>4.5599999999999998E-3</v>
      </c>
      <c r="RQ37">
        <v>4.9699999999999996E-3</v>
      </c>
      <c r="RR37">
        <v>4.7200000000000002E-3</v>
      </c>
      <c r="RS37">
        <v>4.8399999999999997E-3</v>
      </c>
      <c r="RT37">
        <v>4.0699999999999998E-3</v>
      </c>
      <c r="RU37">
        <v>4.8900000000000002E-3</v>
      </c>
      <c r="RW37">
        <v>6.13E-3</v>
      </c>
      <c r="RX37">
        <v>5.5399999999999998E-3</v>
      </c>
      <c r="RY37">
        <v>3.8500000000000001E-3</v>
      </c>
      <c r="RZ37">
        <v>5.8599999999999998E-3</v>
      </c>
      <c r="SA37">
        <v>9.1699999999999993E-3</v>
      </c>
      <c r="SB37">
        <v>8.3300000000000006E-3</v>
      </c>
      <c r="SC37">
        <v>7.0800000000000004E-3</v>
      </c>
      <c r="SD37">
        <v>7.3699999999999998E-3</v>
      </c>
      <c r="SE37">
        <v>6.7099999999999998E-3</v>
      </c>
      <c r="SF37">
        <v>7.6699999999999997E-3</v>
      </c>
      <c r="SG37">
        <v>9.6399999999999993E-3</v>
      </c>
      <c r="SH37">
        <v>1.205E-2</v>
      </c>
      <c r="SI37">
        <v>6.7099999999999998E-3</v>
      </c>
      <c r="SJ37">
        <v>5.3400000000000001E-3</v>
      </c>
      <c r="SK37">
        <v>4.79E-3</v>
      </c>
      <c r="SM37">
        <v>4.3699999999999998E-3</v>
      </c>
      <c r="SN37">
        <v>4.47E-3</v>
      </c>
      <c r="SO37">
        <v>4.3600000000000002E-3</v>
      </c>
      <c r="SP37">
        <v>6.2100000000000002E-3</v>
      </c>
      <c r="SQ37">
        <v>5.5100000000000001E-3</v>
      </c>
      <c r="SR37">
        <v>5.7400000000000003E-3</v>
      </c>
      <c r="SS37">
        <v>4.6499999999999996E-3</v>
      </c>
      <c r="ST37">
        <v>4.7000000000000002E-3</v>
      </c>
      <c r="SU37">
        <v>5.1200000000000004E-3</v>
      </c>
      <c r="SV37">
        <v>4.79E-3</v>
      </c>
      <c r="SW37">
        <v>5.1500000000000001E-3</v>
      </c>
      <c r="SX37">
        <v>6.0699999999999999E-3</v>
      </c>
      <c r="SY37">
        <v>4.8799999999999998E-3</v>
      </c>
      <c r="TA37">
        <v>5.6299999999999996E-3</v>
      </c>
      <c r="TB37">
        <v>6.2599999999999999E-3</v>
      </c>
      <c r="TC37">
        <v>5.0800000000000003E-3</v>
      </c>
      <c r="TD37">
        <v>5.3400000000000001E-3</v>
      </c>
      <c r="TE37">
        <v>7.3499999999999998E-3</v>
      </c>
      <c r="TF37">
        <v>6.3400000000000001E-3</v>
      </c>
      <c r="TG37">
        <v>6.3200000000000001E-3</v>
      </c>
      <c r="TH37">
        <v>7.79E-3</v>
      </c>
      <c r="TI37">
        <v>5.1200000000000004E-3</v>
      </c>
      <c r="TJ37">
        <v>6.7000000000000002E-3</v>
      </c>
      <c r="TK37">
        <v>4.7600000000000003E-3</v>
      </c>
      <c r="TL37">
        <v>4.3800000000000002E-3</v>
      </c>
      <c r="TM37">
        <v>4.0099999999999997E-3</v>
      </c>
      <c r="TN37">
        <v>5.3600000000000002E-3</v>
      </c>
      <c r="TO37">
        <v>5.1700000000000001E-3</v>
      </c>
      <c r="TP37">
        <v>4.7000000000000002E-3</v>
      </c>
      <c r="TQ37">
        <v>5.3299999999999997E-3</v>
      </c>
      <c r="TR37">
        <v>6.3899999999999998E-3</v>
      </c>
      <c r="TS37">
        <v>6.7600000000000004E-3</v>
      </c>
      <c r="TT37">
        <v>6.6299999999999996E-3</v>
      </c>
      <c r="TV37">
        <v>5.3899999999999998E-3</v>
      </c>
      <c r="TX37">
        <v>5.11E-3</v>
      </c>
      <c r="TY37">
        <v>4.7299999999999998E-3</v>
      </c>
      <c r="TZ37">
        <v>5.1900000000000002E-3</v>
      </c>
      <c r="UA37">
        <v>4.9399999999999999E-3</v>
      </c>
      <c r="UB37">
        <v>4.79E-3</v>
      </c>
      <c r="UC37">
        <v>4.8300000000000001E-3</v>
      </c>
      <c r="UE37">
        <v>4.9100000000000003E-3</v>
      </c>
      <c r="UF37">
        <v>4.47E-3</v>
      </c>
      <c r="UG37">
        <v>4.5700000000000003E-3</v>
      </c>
      <c r="UH37">
        <v>5.6100000000000004E-3</v>
      </c>
      <c r="UI37">
        <v>5.0800000000000003E-3</v>
      </c>
      <c r="UJ37">
        <v>5.1799999999999997E-3</v>
      </c>
      <c r="UK37">
        <v>5.1999999999999998E-3</v>
      </c>
      <c r="UL37">
        <v>5.47E-3</v>
      </c>
      <c r="UN37">
        <v>4.9399999999999999E-3</v>
      </c>
      <c r="UO37">
        <v>5.2100000000000002E-3</v>
      </c>
      <c r="UQ37">
        <v>4.79E-3</v>
      </c>
      <c r="UR37">
        <v>4.6499999999999996E-3</v>
      </c>
      <c r="US37">
        <v>5.2500000000000003E-3</v>
      </c>
      <c r="UT37">
        <v>4.7699999999999999E-3</v>
      </c>
      <c r="UU37">
        <v>4.9899999999999996E-3</v>
      </c>
      <c r="UV37">
        <v>5.2100000000000002E-3</v>
      </c>
      <c r="UW37">
        <v>6.9100000000000003E-3</v>
      </c>
      <c r="UX37">
        <v>4.9500000000000004E-3</v>
      </c>
      <c r="UY37">
        <v>5.28E-3</v>
      </c>
      <c r="UZ37">
        <v>6.0299999999999998E-3</v>
      </c>
      <c r="VA37">
        <v>7.8799999999999999E-3</v>
      </c>
      <c r="VB37">
        <v>5.7299999999999999E-3</v>
      </c>
      <c r="VC37">
        <v>6.9699999999999996E-3</v>
      </c>
      <c r="VD37">
        <v>1.093E-2</v>
      </c>
      <c r="VE37">
        <v>7.2100000000000003E-3</v>
      </c>
      <c r="VF37">
        <v>1.044E-2</v>
      </c>
      <c r="VG37">
        <v>9.5099999999999994E-3</v>
      </c>
      <c r="VH37">
        <v>6.28E-3</v>
      </c>
      <c r="VI37">
        <v>6.3099999999999996E-3</v>
      </c>
    </row>
    <row r="38" spans="1:581" x14ac:dyDescent="0.25">
      <c r="A38">
        <v>875000</v>
      </c>
      <c r="B38">
        <v>4.1700000000000001E-3</v>
      </c>
      <c r="C38">
        <v>4.1200000000000004E-3</v>
      </c>
      <c r="D38">
        <v>3.8899999999999998E-3</v>
      </c>
      <c r="E38">
        <v>4.9300000000000004E-3</v>
      </c>
      <c r="F38">
        <v>5.47E-3</v>
      </c>
      <c r="G38">
        <v>6.1999999999999998E-3</v>
      </c>
      <c r="H38">
        <v>4.6600000000000001E-3</v>
      </c>
      <c r="I38">
        <v>4.0000000000000001E-3</v>
      </c>
      <c r="J38">
        <v>3.9199999999999999E-3</v>
      </c>
      <c r="K38">
        <v>5.1399999999999996E-3</v>
      </c>
      <c r="L38">
        <v>4.7699999999999999E-3</v>
      </c>
      <c r="M38">
        <v>3.98E-3</v>
      </c>
      <c r="N38">
        <v>3.9100000000000003E-3</v>
      </c>
      <c r="O38">
        <v>5.6699999999999997E-3</v>
      </c>
      <c r="P38">
        <v>5.5300000000000002E-3</v>
      </c>
      <c r="Q38">
        <v>5.4999999999999997E-3</v>
      </c>
      <c r="R38">
        <v>5.2900000000000004E-3</v>
      </c>
      <c r="S38">
        <v>4.5700000000000003E-3</v>
      </c>
      <c r="T38">
        <v>4.5100000000000001E-3</v>
      </c>
      <c r="U38">
        <v>6.1399999999999996E-3</v>
      </c>
      <c r="V38">
        <v>4.5399999999999998E-3</v>
      </c>
      <c r="W38">
        <v>5.9899999999999997E-3</v>
      </c>
      <c r="X38">
        <v>4.4299999999999999E-3</v>
      </c>
      <c r="Y38">
        <v>5.77E-3</v>
      </c>
      <c r="Z38">
        <v>4.15E-3</v>
      </c>
      <c r="AA38">
        <v>7.1599999999999997E-3</v>
      </c>
      <c r="AB38">
        <v>7.11E-3</v>
      </c>
      <c r="AD38">
        <v>5.8199999999999997E-3</v>
      </c>
      <c r="AE38">
        <v>6.7000000000000002E-3</v>
      </c>
      <c r="AF38">
        <v>6.7999999999999996E-3</v>
      </c>
      <c r="AG38">
        <v>6.6100000000000004E-3</v>
      </c>
      <c r="AH38">
        <v>6.5500000000000003E-3</v>
      </c>
      <c r="AI38">
        <v>7.4900000000000001E-3</v>
      </c>
      <c r="AJ38">
        <v>5.64E-3</v>
      </c>
      <c r="AK38">
        <v>6.4000000000000003E-3</v>
      </c>
      <c r="AL38">
        <v>8.1300000000000001E-3</v>
      </c>
      <c r="AM38">
        <v>6.5199999999999998E-3</v>
      </c>
      <c r="AN38">
        <v>7.1900000000000002E-3</v>
      </c>
      <c r="AO38">
        <v>1.3259999999999999E-2</v>
      </c>
      <c r="AP38">
        <v>7.3400000000000002E-3</v>
      </c>
      <c r="AQ38">
        <v>8.8299999999999993E-3</v>
      </c>
      <c r="AR38">
        <v>7.7299999999999999E-3</v>
      </c>
      <c r="AS38">
        <v>8.1399999999999997E-3</v>
      </c>
      <c r="AT38">
        <v>6.3600000000000002E-3</v>
      </c>
      <c r="AU38">
        <v>7.0200000000000002E-3</v>
      </c>
      <c r="AW38">
        <v>7.28E-3</v>
      </c>
      <c r="AX38">
        <v>7.11E-3</v>
      </c>
      <c r="AY38">
        <v>6.8999999999999999E-3</v>
      </c>
      <c r="AZ38">
        <v>6.2700000000000004E-3</v>
      </c>
      <c r="BA38">
        <v>7.6899999999999998E-3</v>
      </c>
      <c r="BB38">
        <v>7.1300000000000001E-3</v>
      </c>
      <c r="BC38">
        <v>7.7499999999999999E-3</v>
      </c>
      <c r="BD38">
        <v>8.2000000000000007E-3</v>
      </c>
      <c r="BE38">
        <v>9.75E-3</v>
      </c>
      <c r="BF38">
        <v>1.0970000000000001E-2</v>
      </c>
      <c r="BG38">
        <v>7.3400000000000002E-3</v>
      </c>
      <c r="BH38">
        <v>7.6099999999999996E-3</v>
      </c>
      <c r="BI38">
        <v>1.1089999999999999E-2</v>
      </c>
      <c r="BJ38">
        <v>7.62E-3</v>
      </c>
      <c r="BK38">
        <v>8.1099999999999992E-3</v>
      </c>
      <c r="BL38">
        <v>8.2299999999999995E-3</v>
      </c>
      <c r="BM38">
        <v>7.7499999999999999E-3</v>
      </c>
      <c r="BN38">
        <v>6.0099999999999997E-3</v>
      </c>
      <c r="BO38">
        <v>8.9700000000000005E-3</v>
      </c>
      <c r="BP38">
        <v>7.0200000000000002E-3</v>
      </c>
      <c r="BQ38">
        <v>6.2199999999999998E-3</v>
      </c>
      <c r="BR38">
        <v>6.4099999999999999E-3</v>
      </c>
      <c r="BS38">
        <v>1.321E-2</v>
      </c>
      <c r="BT38">
        <v>8.8100000000000001E-3</v>
      </c>
      <c r="BU38">
        <v>9.6699999999999998E-3</v>
      </c>
      <c r="BV38">
        <v>9.7699999999999992E-3</v>
      </c>
      <c r="BW38">
        <v>9.3799999999999994E-3</v>
      </c>
      <c r="BX38">
        <v>9.1199999999999996E-3</v>
      </c>
      <c r="BY38">
        <v>9.3699999999999999E-3</v>
      </c>
      <c r="BZ38">
        <v>8.4399999999999996E-3</v>
      </c>
      <c r="CA38">
        <v>8.5599999999999999E-3</v>
      </c>
      <c r="CB38">
        <v>6.7799999999999996E-3</v>
      </c>
      <c r="CC38">
        <v>7.4099999999999999E-3</v>
      </c>
      <c r="CD38">
        <v>6.1900000000000002E-3</v>
      </c>
      <c r="CE38">
        <v>5.3299999999999997E-3</v>
      </c>
      <c r="CF38">
        <v>5.0699999999999999E-3</v>
      </c>
      <c r="CG38">
        <v>4.9399999999999999E-3</v>
      </c>
      <c r="CH38">
        <v>4.8999999999999998E-3</v>
      </c>
      <c r="CI38">
        <v>4.8700000000000002E-3</v>
      </c>
      <c r="CJ38">
        <v>4.9199999999999999E-3</v>
      </c>
      <c r="CK38">
        <v>5.6800000000000002E-3</v>
      </c>
      <c r="CL38">
        <v>5.4900000000000001E-3</v>
      </c>
      <c r="CM38">
        <v>6.1799999999999997E-3</v>
      </c>
      <c r="CN38">
        <v>6.7200000000000003E-3</v>
      </c>
      <c r="CO38">
        <v>6.3299999999999997E-3</v>
      </c>
      <c r="CP38">
        <v>6.9199999999999999E-3</v>
      </c>
      <c r="CQ38">
        <v>5.5300000000000002E-3</v>
      </c>
      <c r="CR38">
        <v>6.2700000000000004E-3</v>
      </c>
      <c r="CS38">
        <v>6.9199999999999999E-3</v>
      </c>
      <c r="CT38">
        <v>7.3400000000000002E-3</v>
      </c>
      <c r="CU38">
        <v>5.77E-3</v>
      </c>
      <c r="CV38">
        <v>5.4900000000000001E-3</v>
      </c>
      <c r="CW38">
        <v>6.0499999999999998E-3</v>
      </c>
      <c r="CX38">
        <v>5.8799999999999998E-3</v>
      </c>
      <c r="CY38">
        <v>5.79E-3</v>
      </c>
      <c r="CZ38">
        <v>5.1500000000000001E-3</v>
      </c>
      <c r="DA38">
        <v>5.2500000000000003E-3</v>
      </c>
      <c r="DB38">
        <v>5.1500000000000001E-3</v>
      </c>
      <c r="DD38">
        <v>4.9699999999999996E-3</v>
      </c>
      <c r="DE38">
        <v>4.8900000000000002E-3</v>
      </c>
      <c r="DF38">
        <v>8.5900000000000004E-3</v>
      </c>
      <c r="DG38">
        <v>5.4799999999999996E-3</v>
      </c>
      <c r="DH38">
        <v>7.4400000000000004E-3</v>
      </c>
      <c r="DI38">
        <v>7.1700000000000002E-3</v>
      </c>
      <c r="DJ38">
        <v>7.1900000000000002E-3</v>
      </c>
      <c r="DK38">
        <v>7.1300000000000001E-3</v>
      </c>
      <c r="DL38">
        <v>7.1199999999999996E-3</v>
      </c>
      <c r="DM38">
        <v>6.0699999999999999E-3</v>
      </c>
      <c r="DN38">
        <v>6.5399999999999998E-3</v>
      </c>
      <c r="DO38">
        <v>6.2500000000000003E-3</v>
      </c>
      <c r="DP38">
        <v>8.94E-3</v>
      </c>
      <c r="DQ38">
        <v>8.77E-3</v>
      </c>
      <c r="DS38">
        <v>7.5199999999999998E-3</v>
      </c>
      <c r="DT38">
        <v>7.1599999999999997E-3</v>
      </c>
      <c r="DU38">
        <v>6.8700000000000002E-3</v>
      </c>
      <c r="DV38">
        <v>9.2599999999999991E-3</v>
      </c>
      <c r="DW38">
        <v>7.5100000000000002E-3</v>
      </c>
      <c r="DX38">
        <v>7.3400000000000002E-3</v>
      </c>
      <c r="DY38">
        <v>1.0059999999999999E-2</v>
      </c>
      <c r="EB38">
        <v>5.7800000000000004E-3</v>
      </c>
      <c r="EC38">
        <v>5.2900000000000004E-3</v>
      </c>
      <c r="EF38">
        <v>2.2270000000000002E-2</v>
      </c>
      <c r="EH38">
        <v>2.3630000000000002E-2</v>
      </c>
      <c r="EI38">
        <v>6.45E-3</v>
      </c>
      <c r="EJ38">
        <v>5.3499999999999997E-3</v>
      </c>
      <c r="EK38">
        <v>5.9899999999999997E-3</v>
      </c>
      <c r="EL38">
        <v>6.5199999999999998E-3</v>
      </c>
      <c r="EN38">
        <v>7.0800000000000004E-3</v>
      </c>
      <c r="EO38">
        <v>7.1799999999999998E-3</v>
      </c>
      <c r="EP38">
        <v>7.4999999999999997E-3</v>
      </c>
      <c r="EQ38">
        <v>7.5900000000000004E-3</v>
      </c>
      <c r="ER38">
        <v>6.7999999999999996E-3</v>
      </c>
      <c r="ES38">
        <v>6.4599999999999996E-3</v>
      </c>
      <c r="ET38">
        <v>6.7799999999999996E-3</v>
      </c>
      <c r="EU38">
        <v>1.09E-2</v>
      </c>
      <c r="EV38">
        <v>1.0149999999999999E-2</v>
      </c>
      <c r="EW38">
        <v>9.4800000000000006E-3</v>
      </c>
      <c r="EX38">
        <v>9.8499999999999994E-3</v>
      </c>
      <c r="EY38">
        <v>6.8100000000000001E-3</v>
      </c>
      <c r="EZ38">
        <v>7.1399999999999996E-3</v>
      </c>
      <c r="FA38">
        <v>7.0000000000000001E-3</v>
      </c>
      <c r="FB38">
        <v>7.4700000000000001E-3</v>
      </c>
      <c r="FC38">
        <v>6.5199999999999998E-3</v>
      </c>
      <c r="FD38">
        <v>6.2899999999999996E-3</v>
      </c>
      <c r="FE38">
        <v>7.3800000000000003E-3</v>
      </c>
      <c r="FF38">
        <v>4.5399999999999998E-3</v>
      </c>
      <c r="FG38">
        <v>8.8400000000000006E-3</v>
      </c>
      <c r="FH38">
        <v>9.4299999999999991E-3</v>
      </c>
      <c r="FI38">
        <v>8.8699999999999994E-3</v>
      </c>
      <c r="FJ38">
        <v>8.8299999999999993E-3</v>
      </c>
      <c r="FK38">
        <v>8.1600000000000006E-3</v>
      </c>
      <c r="FL38">
        <v>5.4999999999999997E-3</v>
      </c>
      <c r="FN38">
        <v>7.4999999999999997E-3</v>
      </c>
      <c r="FO38">
        <v>6.4999999999999997E-3</v>
      </c>
      <c r="FP38">
        <v>5.9500000000000004E-3</v>
      </c>
      <c r="FQ38">
        <v>8.1499999999999993E-3</v>
      </c>
      <c r="FR38">
        <v>8.5199999999999998E-3</v>
      </c>
      <c r="FS38">
        <v>8.8599999999999998E-3</v>
      </c>
      <c r="FT38">
        <v>8.2199999999999999E-3</v>
      </c>
      <c r="FU38">
        <v>7.8600000000000007E-3</v>
      </c>
      <c r="FV38">
        <v>7.6899999999999998E-3</v>
      </c>
      <c r="FW38">
        <v>7.5900000000000004E-3</v>
      </c>
      <c r="FX38">
        <v>7.8499999999999993E-3</v>
      </c>
      <c r="FY38">
        <v>8.3800000000000003E-3</v>
      </c>
      <c r="FZ38">
        <v>7.8499999999999993E-3</v>
      </c>
      <c r="GA38">
        <v>8.4499999999999992E-3</v>
      </c>
      <c r="GB38">
        <v>7.9500000000000005E-3</v>
      </c>
      <c r="GC38">
        <v>8.5900000000000004E-3</v>
      </c>
      <c r="GE38">
        <v>8.5699999999999995E-3</v>
      </c>
      <c r="GG38">
        <v>7.3299999999999997E-3</v>
      </c>
      <c r="GH38">
        <v>7.5100000000000002E-3</v>
      </c>
      <c r="GI38">
        <v>8.2000000000000007E-3</v>
      </c>
      <c r="GJ38">
        <v>8.3400000000000002E-3</v>
      </c>
      <c r="GK38">
        <v>8.5400000000000007E-3</v>
      </c>
      <c r="GL38">
        <v>8.8299999999999993E-3</v>
      </c>
      <c r="GM38">
        <v>7.7600000000000004E-3</v>
      </c>
      <c r="GO38">
        <v>7.7099999999999998E-3</v>
      </c>
      <c r="GP38">
        <v>7.1999999999999998E-3</v>
      </c>
      <c r="GQ38">
        <v>7.6099999999999996E-3</v>
      </c>
      <c r="GR38">
        <v>8.5299999999999994E-3</v>
      </c>
      <c r="GS38">
        <v>6.8799999999999998E-3</v>
      </c>
      <c r="GT38">
        <v>7.4799999999999997E-3</v>
      </c>
      <c r="GU38">
        <v>5.3699999999999998E-3</v>
      </c>
      <c r="GV38">
        <v>8.94E-3</v>
      </c>
      <c r="GW38">
        <v>8.9700000000000005E-3</v>
      </c>
      <c r="GX38">
        <v>8.26E-3</v>
      </c>
      <c r="GY38">
        <v>9.0699999999999999E-3</v>
      </c>
      <c r="GZ38">
        <v>7.8399999999999997E-3</v>
      </c>
      <c r="HB38">
        <v>4.5900000000000003E-3</v>
      </c>
      <c r="HC38">
        <v>6.2500000000000003E-3</v>
      </c>
      <c r="HE38">
        <v>6.3699999999999998E-3</v>
      </c>
      <c r="HF38">
        <v>6.3800000000000003E-3</v>
      </c>
      <c r="HG38">
        <v>8.8900000000000003E-3</v>
      </c>
      <c r="HH38">
        <v>9.0399999999999994E-3</v>
      </c>
      <c r="HI38">
        <v>9.4400000000000005E-3</v>
      </c>
      <c r="HJ38">
        <v>4.7099999999999998E-3</v>
      </c>
      <c r="HK38">
        <v>7.8700000000000003E-3</v>
      </c>
      <c r="HL38">
        <v>7.77E-3</v>
      </c>
      <c r="HM38">
        <v>7.6499999999999997E-3</v>
      </c>
      <c r="HN38">
        <v>7.43E-3</v>
      </c>
      <c r="HO38">
        <v>7.1799999999999998E-3</v>
      </c>
      <c r="HP38">
        <v>5.3800000000000002E-3</v>
      </c>
      <c r="HQ38">
        <v>7.4200000000000004E-3</v>
      </c>
      <c r="HR38">
        <v>9.0900000000000009E-3</v>
      </c>
      <c r="HS38">
        <v>1.1599999999999999E-2</v>
      </c>
      <c r="HT38">
        <v>6.7799999999999996E-3</v>
      </c>
      <c r="HU38">
        <v>5.6499999999999996E-3</v>
      </c>
      <c r="HV38">
        <v>7.7000000000000002E-3</v>
      </c>
      <c r="HW38">
        <v>5.8900000000000003E-3</v>
      </c>
      <c r="HX38">
        <v>8.5699999999999995E-3</v>
      </c>
      <c r="HY38">
        <v>6.8100000000000001E-3</v>
      </c>
      <c r="HZ38">
        <v>4.4000000000000003E-3</v>
      </c>
      <c r="IA38">
        <v>8.0700000000000008E-3</v>
      </c>
      <c r="IB38">
        <v>9.7599999999999996E-3</v>
      </c>
      <c r="IC38">
        <v>8.0300000000000007E-3</v>
      </c>
      <c r="ID38">
        <v>6.1500000000000001E-3</v>
      </c>
      <c r="IE38">
        <v>5.6499999999999996E-3</v>
      </c>
      <c r="IF38">
        <v>5.7499999999999999E-3</v>
      </c>
      <c r="IG38">
        <v>6.77E-3</v>
      </c>
      <c r="IH38">
        <v>7.3699999999999998E-3</v>
      </c>
      <c r="II38">
        <v>5.2700000000000004E-3</v>
      </c>
      <c r="IJ38">
        <v>6.3699999999999998E-3</v>
      </c>
      <c r="IK38">
        <v>7.0000000000000001E-3</v>
      </c>
      <c r="IL38">
        <v>7.77E-3</v>
      </c>
      <c r="IM38">
        <v>8.5699999999999995E-3</v>
      </c>
      <c r="IN38">
        <v>9.3100000000000006E-3</v>
      </c>
      <c r="IO38">
        <v>1.025E-2</v>
      </c>
      <c r="IP38">
        <v>1.1990000000000001E-2</v>
      </c>
      <c r="IQ38">
        <v>1.341E-2</v>
      </c>
      <c r="IR38">
        <v>1.469E-2</v>
      </c>
      <c r="IS38">
        <v>4.6699999999999997E-3</v>
      </c>
      <c r="IT38">
        <v>5.3099999999999996E-3</v>
      </c>
      <c r="IU38">
        <v>5.9699999999999996E-3</v>
      </c>
      <c r="IV38">
        <v>4.9699999999999996E-3</v>
      </c>
      <c r="IW38">
        <v>5.77E-3</v>
      </c>
      <c r="IY38">
        <v>4.6499999999999996E-3</v>
      </c>
      <c r="IZ38">
        <v>4.4000000000000003E-3</v>
      </c>
      <c r="JA38">
        <v>4.9399999999999999E-3</v>
      </c>
      <c r="JB38">
        <v>5.1500000000000001E-3</v>
      </c>
      <c r="JC38">
        <v>5.5500000000000002E-3</v>
      </c>
      <c r="JD38">
        <v>5.94E-3</v>
      </c>
      <c r="JE38">
        <v>4.9500000000000004E-3</v>
      </c>
      <c r="JF38">
        <v>6.0699999999999999E-3</v>
      </c>
      <c r="JG38">
        <v>8.5199999999999998E-3</v>
      </c>
      <c r="JH38">
        <v>1.1769999999999999E-2</v>
      </c>
      <c r="JI38">
        <v>7.7000000000000002E-3</v>
      </c>
      <c r="JJ38">
        <v>6.5599999999999999E-3</v>
      </c>
      <c r="JK38">
        <v>9.4400000000000005E-3</v>
      </c>
      <c r="JL38">
        <v>9.4199999999999996E-3</v>
      </c>
      <c r="JM38">
        <v>6.5599999999999999E-3</v>
      </c>
      <c r="JN38">
        <v>8.9200000000000008E-3</v>
      </c>
      <c r="JO38">
        <v>1.8679999999999999E-2</v>
      </c>
      <c r="JP38">
        <v>6.6299999999999996E-3</v>
      </c>
      <c r="JQ38">
        <v>5.9199999999999999E-3</v>
      </c>
      <c r="JR38">
        <v>6.4400000000000004E-3</v>
      </c>
      <c r="JS38">
        <v>5.79E-3</v>
      </c>
      <c r="JT38">
        <v>6.6899999999999998E-3</v>
      </c>
      <c r="JU38">
        <v>7.5500000000000003E-3</v>
      </c>
      <c r="JV38">
        <v>6.11E-3</v>
      </c>
      <c r="JW38">
        <v>6.9100000000000003E-3</v>
      </c>
      <c r="JX38">
        <v>6.3099999999999996E-3</v>
      </c>
      <c r="JY38">
        <v>7.4400000000000004E-3</v>
      </c>
      <c r="JZ38">
        <v>8.0000000000000002E-3</v>
      </c>
      <c r="KA38">
        <v>7.8399999999999997E-3</v>
      </c>
      <c r="KB38">
        <v>6.0499999999999998E-3</v>
      </c>
      <c r="KC38">
        <v>6.3200000000000001E-3</v>
      </c>
      <c r="KD38">
        <v>6.8900000000000003E-3</v>
      </c>
      <c r="KE38">
        <v>8.1700000000000002E-3</v>
      </c>
      <c r="KF38">
        <v>1.0959999999999999E-2</v>
      </c>
      <c r="KG38">
        <v>1.2149999999999999E-2</v>
      </c>
      <c r="KH38">
        <v>1.0370000000000001E-2</v>
      </c>
      <c r="KI38">
        <v>8.5500000000000003E-3</v>
      </c>
      <c r="KJ38">
        <v>8.6899999999999998E-3</v>
      </c>
      <c r="KK38">
        <v>8.6899999999999998E-3</v>
      </c>
      <c r="KL38">
        <v>8.8800000000000007E-3</v>
      </c>
      <c r="KM38">
        <v>9.0200000000000002E-3</v>
      </c>
      <c r="KO38">
        <v>5.5100000000000001E-3</v>
      </c>
      <c r="KP38">
        <v>8.1499999999999993E-3</v>
      </c>
      <c r="KQ38">
        <v>8.3300000000000006E-3</v>
      </c>
      <c r="KR38">
        <v>8.94E-3</v>
      </c>
      <c r="KS38">
        <v>6.7600000000000004E-3</v>
      </c>
      <c r="KT38">
        <v>7.1900000000000002E-3</v>
      </c>
      <c r="KU38">
        <v>5.96E-3</v>
      </c>
      <c r="KV38">
        <v>4.6800000000000001E-3</v>
      </c>
      <c r="KW38">
        <v>5.2900000000000004E-3</v>
      </c>
      <c r="KX38">
        <v>1.2460000000000001E-2</v>
      </c>
      <c r="KY38">
        <v>6.2399999999999999E-3</v>
      </c>
      <c r="KZ38">
        <v>7.5300000000000002E-3</v>
      </c>
      <c r="LA38">
        <v>6.8399999999999997E-3</v>
      </c>
      <c r="LB38">
        <v>6.4799999999999996E-3</v>
      </c>
      <c r="LC38">
        <v>6.6E-3</v>
      </c>
      <c r="LD38">
        <v>6.6E-3</v>
      </c>
      <c r="LE38">
        <v>1.0200000000000001E-2</v>
      </c>
      <c r="LF38">
        <v>9.5999999999999992E-3</v>
      </c>
      <c r="LG38">
        <v>8.7399999999999995E-3</v>
      </c>
      <c r="LI38">
        <v>1.01E-2</v>
      </c>
      <c r="LJ38">
        <v>1.0449999999999999E-2</v>
      </c>
      <c r="LK38">
        <v>1.0630000000000001E-2</v>
      </c>
      <c r="LL38">
        <v>7.4700000000000001E-3</v>
      </c>
      <c r="LM38">
        <v>5.4799999999999996E-3</v>
      </c>
      <c r="LN38">
        <v>7.8300000000000002E-3</v>
      </c>
      <c r="LO38">
        <v>8.0999999999999996E-3</v>
      </c>
      <c r="LP38">
        <v>6.7799999999999996E-3</v>
      </c>
      <c r="LR38">
        <v>1.0120000000000001E-2</v>
      </c>
      <c r="LS38">
        <v>1.1310000000000001E-2</v>
      </c>
      <c r="LT38">
        <v>6.6899999999999998E-3</v>
      </c>
      <c r="LU38">
        <v>9.7599999999999996E-3</v>
      </c>
      <c r="LV38">
        <v>1.1270000000000001E-2</v>
      </c>
      <c r="LW38">
        <v>4.7800000000000004E-3</v>
      </c>
      <c r="LX38">
        <v>5.6100000000000004E-3</v>
      </c>
      <c r="LZ38">
        <v>7.9500000000000005E-3</v>
      </c>
      <c r="MA38">
        <v>7.9600000000000001E-3</v>
      </c>
      <c r="MB38">
        <v>4.1900000000000001E-3</v>
      </c>
      <c r="MC38">
        <v>9.2599999999999991E-3</v>
      </c>
      <c r="MD38">
        <v>1.064E-2</v>
      </c>
      <c r="ME38">
        <v>1.38E-2</v>
      </c>
      <c r="MF38">
        <v>1.61E-2</v>
      </c>
      <c r="MG38">
        <v>1.533E-2</v>
      </c>
      <c r="MH38">
        <v>6.7600000000000004E-3</v>
      </c>
      <c r="MI38">
        <v>7.7299999999999999E-3</v>
      </c>
      <c r="MJ38">
        <v>7.7200000000000003E-3</v>
      </c>
      <c r="MK38">
        <v>7.43E-3</v>
      </c>
      <c r="ML38">
        <v>8.9700000000000005E-3</v>
      </c>
      <c r="MM38">
        <v>8.0099999999999998E-3</v>
      </c>
      <c r="MN38">
        <v>5.79E-3</v>
      </c>
      <c r="MO38">
        <v>6.3099999999999996E-3</v>
      </c>
      <c r="MP38">
        <v>6.7200000000000003E-3</v>
      </c>
      <c r="MQ38">
        <v>5.0400000000000002E-3</v>
      </c>
      <c r="MR38">
        <v>6.45E-3</v>
      </c>
      <c r="MT38">
        <v>8.0000000000000002E-3</v>
      </c>
      <c r="MU38">
        <v>5.1000000000000004E-3</v>
      </c>
      <c r="MV38">
        <v>5.8900000000000003E-3</v>
      </c>
      <c r="MW38">
        <v>6.1999999999999998E-3</v>
      </c>
      <c r="MX38">
        <v>6.3899999999999998E-3</v>
      </c>
      <c r="MZ38">
        <v>7.7799999999999996E-3</v>
      </c>
      <c r="NA38">
        <v>7.11E-3</v>
      </c>
      <c r="NB38">
        <v>6.9800000000000001E-3</v>
      </c>
      <c r="NC38">
        <v>4.6100000000000004E-3</v>
      </c>
      <c r="ND38">
        <v>1.329E-2</v>
      </c>
      <c r="NE38">
        <v>8.0700000000000008E-3</v>
      </c>
      <c r="NF38">
        <v>8.3999999999999995E-3</v>
      </c>
      <c r="NG38">
        <v>5.3200000000000001E-3</v>
      </c>
      <c r="NH38">
        <v>4.4000000000000003E-3</v>
      </c>
      <c r="NI38">
        <v>4.79E-3</v>
      </c>
      <c r="NJ38">
        <v>5.28E-3</v>
      </c>
      <c r="NK38">
        <v>4.7400000000000003E-3</v>
      </c>
      <c r="NL38">
        <v>5.0099999999999997E-3</v>
      </c>
      <c r="NM38">
        <v>5.3E-3</v>
      </c>
      <c r="NN38">
        <v>5.5999999999999999E-3</v>
      </c>
      <c r="NQ38">
        <v>5.0400000000000002E-3</v>
      </c>
      <c r="NR38">
        <v>5.1000000000000004E-3</v>
      </c>
      <c r="NS38">
        <v>5.3200000000000001E-3</v>
      </c>
      <c r="NT38">
        <v>5.8199999999999997E-3</v>
      </c>
      <c r="NU38">
        <v>4.79E-3</v>
      </c>
      <c r="NV38">
        <v>5.0600000000000003E-3</v>
      </c>
      <c r="NW38">
        <v>5.11E-3</v>
      </c>
      <c r="NX38">
        <v>5.28E-3</v>
      </c>
      <c r="NY38">
        <v>5.3800000000000002E-3</v>
      </c>
      <c r="NZ38">
        <v>5.6499999999999996E-3</v>
      </c>
      <c r="OA38">
        <v>5.8599999999999998E-3</v>
      </c>
      <c r="OB38">
        <v>4.8199999999999996E-3</v>
      </c>
      <c r="OC38">
        <v>5.11E-3</v>
      </c>
      <c r="OE38">
        <v>5.2500000000000003E-3</v>
      </c>
      <c r="OF38">
        <v>7.3600000000000002E-3</v>
      </c>
      <c r="OG38">
        <v>5.4400000000000004E-3</v>
      </c>
      <c r="OI38">
        <v>5.96E-3</v>
      </c>
      <c r="OJ38">
        <v>6.1599999999999997E-3</v>
      </c>
      <c r="OK38">
        <v>6.3299999999999997E-3</v>
      </c>
      <c r="OL38">
        <v>6.5700000000000003E-3</v>
      </c>
      <c r="OM38">
        <v>5.0000000000000001E-3</v>
      </c>
      <c r="ON38">
        <v>5.2399999999999999E-3</v>
      </c>
      <c r="OO38">
        <v>5.4999999999999997E-3</v>
      </c>
      <c r="OP38">
        <v>5.9800000000000001E-3</v>
      </c>
      <c r="OQ38">
        <v>6.2300000000000003E-3</v>
      </c>
      <c r="OR38">
        <v>6.4799999999999996E-3</v>
      </c>
      <c r="OS38">
        <v>7.2399999999999999E-3</v>
      </c>
      <c r="OT38">
        <v>6.7400000000000003E-3</v>
      </c>
      <c r="OU38">
        <v>5.4299999999999999E-3</v>
      </c>
      <c r="OV38">
        <v>6.1399999999999996E-3</v>
      </c>
      <c r="OW38">
        <v>3.3999999999999998E-3</v>
      </c>
      <c r="OX38">
        <v>3.2799999999999999E-3</v>
      </c>
      <c r="OY38">
        <v>4.1700000000000001E-3</v>
      </c>
      <c r="OZ38">
        <v>4.8300000000000001E-3</v>
      </c>
      <c r="PA38">
        <v>9.7099999999999999E-3</v>
      </c>
      <c r="PB38">
        <v>1.0529999999999999E-2</v>
      </c>
      <c r="PC38">
        <v>8.3599999999999994E-3</v>
      </c>
      <c r="PD38">
        <v>7.2399999999999999E-3</v>
      </c>
      <c r="PE38">
        <v>6.7000000000000002E-3</v>
      </c>
      <c r="PF38">
        <v>6.3499999999999997E-3</v>
      </c>
      <c r="PG38">
        <v>5.5999999999999999E-3</v>
      </c>
      <c r="PH38">
        <v>5.96E-3</v>
      </c>
      <c r="PI38">
        <v>7.6400000000000001E-3</v>
      </c>
      <c r="PJ38">
        <v>7.0899999999999999E-3</v>
      </c>
      <c r="PK38">
        <v>6.5199999999999998E-3</v>
      </c>
      <c r="PL38">
        <v>6.1199999999999996E-3</v>
      </c>
      <c r="PM38">
        <v>5.5700000000000003E-3</v>
      </c>
      <c r="PN38">
        <v>5.2399999999999999E-3</v>
      </c>
      <c r="PO38">
        <v>5.3600000000000002E-3</v>
      </c>
      <c r="PQ38">
        <v>5.4999999999999997E-3</v>
      </c>
      <c r="PR38">
        <v>5.0600000000000003E-3</v>
      </c>
      <c r="PS38">
        <v>6.0400000000000002E-3</v>
      </c>
      <c r="PT38">
        <v>5.8799999999999998E-3</v>
      </c>
      <c r="PU38">
        <v>4.6699999999999997E-3</v>
      </c>
      <c r="PV38">
        <v>4.8500000000000001E-3</v>
      </c>
      <c r="PW38">
        <v>5.11E-3</v>
      </c>
      <c r="PX38">
        <v>5.6899999999999997E-3</v>
      </c>
      <c r="PY38">
        <v>6.4799999999999996E-3</v>
      </c>
      <c r="PZ38">
        <v>7.3800000000000003E-3</v>
      </c>
      <c r="QA38">
        <v>4.0899999999999999E-3</v>
      </c>
      <c r="QB38">
        <v>4.4000000000000003E-3</v>
      </c>
      <c r="QC38">
        <v>5.8500000000000002E-3</v>
      </c>
      <c r="QD38">
        <v>5.1399999999999996E-3</v>
      </c>
      <c r="QE38">
        <v>4.7000000000000002E-3</v>
      </c>
      <c r="QF38">
        <v>4.7099999999999998E-3</v>
      </c>
      <c r="QG38">
        <v>6.62E-3</v>
      </c>
      <c r="QH38">
        <v>4.6499999999999996E-3</v>
      </c>
      <c r="QI38">
        <v>5.1999999999999998E-3</v>
      </c>
      <c r="QJ38">
        <v>5.0899999999999999E-3</v>
      </c>
      <c r="QK38">
        <v>4.9899999999999996E-3</v>
      </c>
      <c r="QL38">
        <v>4.7800000000000004E-3</v>
      </c>
      <c r="QM38">
        <v>5.47E-3</v>
      </c>
      <c r="QO38">
        <v>6.3899999999999998E-3</v>
      </c>
      <c r="QP38">
        <v>7.0099999999999997E-3</v>
      </c>
      <c r="QQ38">
        <v>7.5799999999999999E-3</v>
      </c>
      <c r="QR38">
        <v>8.6700000000000006E-3</v>
      </c>
      <c r="QS38">
        <v>8.6300000000000005E-3</v>
      </c>
      <c r="QT38">
        <v>6.4700000000000001E-3</v>
      </c>
      <c r="QU38">
        <v>6.5500000000000003E-3</v>
      </c>
      <c r="QV38">
        <v>6.6299999999999996E-3</v>
      </c>
      <c r="QW38">
        <v>6.4000000000000003E-3</v>
      </c>
      <c r="QX38">
        <v>6.1199999999999996E-3</v>
      </c>
      <c r="QY38">
        <v>5.7499999999999999E-3</v>
      </c>
      <c r="QZ38">
        <v>6.1900000000000002E-3</v>
      </c>
      <c r="RA38">
        <v>7.28E-3</v>
      </c>
      <c r="RB38">
        <v>8.8699999999999994E-3</v>
      </c>
      <c r="RC38">
        <v>7.2500000000000004E-3</v>
      </c>
      <c r="RD38">
        <v>1.247E-2</v>
      </c>
      <c r="RE38">
        <v>9.5499999999999995E-3</v>
      </c>
      <c r="RF38">
        <v>8.3000000000000001E-3</v>
      </c>
      <c r="RG38">
        <v>5.8199999999999997E-3</v>
      </c>
      <c r="RH38">
        <v>5.5900000000000004E-3</v>
      </c>
      <c r="RI38">
        <v>8.6099999999999996E-3</v>
      </c>
      <c r="RJ38">
        <v>8.3199999999999993E-3</v>
      </c>
      <c r="RK38">
        <v>8.0599999999999995E-3</v>
      </c>
      <c r="RL38">
        <v>7.5100000000000002E-3</v>
      </c>
      <c r="RM38">
        <v>4.8500000000000001E-3</v>
      </c>
      <c r="RN38">
        <v>4.9100000000000003E-3</v>
      </c>
      <c r="RO38">
        <v>4.9100000000000003E-3</v>
      </c>
      <c r="RP38">
        <v>4.5199999999999997E-3</v>
      </c>
      <c r="RQ38">
        <v>4.9300000000000004E-3</v>
      </c>
      <c r="RR38">
        <v>4.6800000000000001E-3</v>
      </c>
      <c r="RS38">
        <v>4.81E-3</v>
      </c>
      <c r="RT38">
        <v>4.0400000000000002E-3</v>
      </c>
      <c r="RU38">
        <v>4.8599999999999997E-3</v>
      </c>
      <c r="RV38">
        <v>5.45E-3</v>
      </c>
      <c r="RX38">
        <v>5.4999999999999997E-3</v>
      </c>
      <c r="RY38">
        <v>3.82E-3</v>
      </c>
      <c r="RZ38">
        <v>5.7600000000000004E-3</v>
      </c>
      <c r="SA38">
        <v>8.8800000000000007E-3</v>
      </c>
      <c r="SB38">
        <v>8.1099999999999992E-3</v>
      </c>
      <c r="SC38">
        <v>7.0200000000000002E-3</v>
      </c>
      <c r="SD38">
        <v>7.3099999999999997E-3</v>
      </c>
      <c r="SE38">
        <v>6.6499999999999997E-3</v>
      </c>
      <c r="SF38">
        <v>7.6099999999999996E-3</v>
      </c>
      <c r="SG38">
        <v>9.5499999999999995E-3</v>
      </c>
      <c r="SH38">
        <v>1.196E-2</v>
      </c>
      <c r="SI38">
        <v>6.6499999999999997E-3</v>
      </c>
      <c r="SJ38">
        <v>5.3E-3</v>
      </c>
      <c r="SK38">
        <v>4.7499999999999999E-3</v>
      </c>
      <c r="SL38">
        <v>5.0499999999999998E-3</v>
      </c>
      <c r="SM38">
        <v>4.3200000000000001E-3</v>
      </c>
      <c r="SN38">
        <v>4.4400000000000004E-3</v>
      </c>
      <c r="SO38">
        <v>4.3299999999999996E-3</v>
      </c>
      <c r="SP38">
        <v>6.1900000000000002E-3</v>
      </c>
      <c r="SQ38">
        <v>5.4599999999999996E-3</v>
      </c>
      <c r="SR38">
        <v>5.7200000000000003E-3</v>
      </c>
      <c r="SS38">
        <v>4.6100000000000004E-3</v>
      </c>
      <c r="ST38">
        <v>4.6899999999999997E-3</v>
      </c>
      <c r="SU38">
        <v>5.0699999999999999E-3</v>
      </c>
      <c r="SV38">
        <v>4.7499999999999999E-3</v>
      </c>
      <c r="SW38">
        <v>5.0899999999999999E-3</v>
      </c>
      <c r="SX38">
        <v>6.0099999999999997E-3</v>
      </c>
      <c r="SY38">
        <v>4.8300000000000001E-3</v>
      </c>
      <c r="SZ38">
        <v>5.8599999999999998E-3</v>
      </c>
      <c r="TA38">
        <v>5.5999999999999999E-3</v>
      </c>
      <c r="TC38">
        <v>5.0699999999999999E-3</v>
      </c>
      <c r="TD38">
        <v>5.2700000000000004E-3</v>
      </c>
      <c r="TE38">
        <v>7.3200000000000001E-3</v>
      </c>
      <c r="TF38">
        <v>6.2899999999999996E-3</v>
      </c>
      <c r="TG38">
        <v>6.3099999999999996E-3</v>
      </c>
      <c r="TH38">
        <v>7.7400000000000004E-3</v>
      </c>
      <c r="TI38">
        <v>5.0699999999999999E-3</v>
      </c>
      <c r="TJ38">
        <v>6.7299999999999999E-3</v>
      </c>
      <c r="TK38">
        <v>4.7200000000000002E-3</v>
      </c>
      <c r="TL38">
        <v>4.3499999999999997E-3</v>
      </c>
      <c r="TM38">
        <v>3.98E-3</v>
      </c>
      <c r="TN38">
        <v>5.3400000000000001E-3</v>
      </c>
      <c r="TO38">
        <v>5.1500000000000001E-3</v>
      </c>
      <c r="TP38">
        <v>4.6499999999999996E-3</v>
      </c>
      <c r="TQ38">
        <v>5.3299999999999997E-3</v>
      </c>
      <c r="TR38">
        <v>6.3499999999999997E-3</v>
      </c>
      <c r="TS38">
        <v>6.6800000000000002E-3</v>
      </c>
      <c r="TT38">
        <v>6.5700000000000003E-3</v>
      </c>
      <c r="TU38">
        <v>6.0600000000000003E-3</v>
      </c>
      <c r="TV38">
        <v>5.3200000000000001E-3</v>
      </c>
      <c r="TW38">
        <v>4.96E-3</v>
      </c>
      <c r="TX38">
        <v>5.0899999999999999E-3</v>
      </c>
      <c r="TY38">
        <v>4.7499999999999999E-3</v>
      </c>
      <c r="UA38">
        <v>4.9500000000000004E-3</v>
      </c>
      <c r="UB38">
        <v>4.7699999999999999E-3</v>
      </c>
      <c r="UC38">
        <v>4.81E-3</v>
      </c>
      <c r="UE38">
        <v>4.9100000000000003E-3</v>
      </c>
      <c r="UF38">
        <v>4.4200000000000003E-3</v>
      </c>
      <c r="UG38">
        <v>4.5100000000000001E-3</v>
      </c>
      <c r="UH38">
        <v>5.5900000000000004E-3</v>
      </c>
      <c r="UI38">
        <v>5.0299999999999997E-3</v>
      </c>
      <c r="UJ38">
        <v>5.1700000000000001E-3</v>
      </c>
      <c r="UK38">
        <v>5.1900000000000002E-3</v>
      </c>
      <c r="UL38">
        <v>5.4400000000000004E-3</v>
      </c>
      <c r="UM38">
        <v>6.13E-3</v>
      </c>
      <c r="UN38">
        <v>4.9300000000000004E-3</v>
      </c>
      <c r="UO38">
        <v>5.1900000000000002E-3</v>
      </c>
      <c r="UP38">
        <v>7.0400000000000003E-3</v>
      </c>
      <c r="UQ38">
        <v>4.7699999999999999E-3</v>
      </c>
      <c r="UR38">
        <v>4.64E-3</v>
      </c>
      <c r="UT38">
        <v>4.7400000000000003E-3</v>
      </c>
      <c r="UU38">
        <v>4.9699999999999996E-3</v>
      </c>
      <c r="UV38">
        <v>5.1900000000000002E-3</v>
      </c>
      <c r="UW38">
        <v>6.8399999999999997E-3</v>
      </c>
      <c r="UX38">
        <v>4.8999999999999998E-3</v>
      </c>
      <c r="UY38">
        <v>5.2399999999999999E-3</v>
      </c>
      <c r="UZ38">
        <v>5.9699999999999996E-3</v>
      </c>
      <c r="VA38">
        <v>7.8100000000000001E-3</v>
      </c>
      <c r="VB38">
        <v>5.7000000000000002E-3</v>
      </c>
      <c r="VC38">
        <v>6.8999999999999999E-3</v>
      </c>
      <c r="VD38">
        <v>1.0659999999999999E-2</v>
      </c>
      <c r="VE38">
        <v>7.0200000000000002E-3</v>
      </c>
      <c r="VF38">
        <v>1.014E-2</v>
      </c>
      <c r="VG38">
        <v>9.4299999999999991E-3</v>
      </c>
      <c r="VH38">
        <v>6.1799999999999997E-3</v>
      </c>
      <c r="VI38">
        <v>6.2700000000000004E-3</v>
      </c>
    </row>
    <row r="39" spans="1:581" x14ac:dyDescent="0.25">
      <c r="A39">
        <v>900000</v>
      </c>
      <c r="B39">
        <v>4.1399999999999996E-3</v>
      </c>
      <c r="C39">
        <v>4.1000000000000003E-3</v>
      </c>
      <c r="D39">
        <v>3.8700000000000002E-3</v>
      </c>
      <c r="E39">
        <v>5.0600000000000003E-3</v>
      </c>
      <c r="F39">
        <v>5.5399999999999998E-3</v>
      </c>
      <c r="H39">
        <v>4.7099999999999998E-3</v>
      </c>
      <c r="I39">
        <v>4.2100000000000002E-3</v>
      </c>
      <c r="J39">
        <v>3.8999999999999998E-3</v>
      </c>
      <c r="K39">
        <v>5.1500000000000001E-3</v>
      </c>
      <c r="L39">
        <v>4.79E-3</v>
      </c>
      <c r="M39">
        <v>4.1200000000000004E-3</v>
      </c>
      <c r="N39">
        <v>3.8899999999999998E-3</v>
      </c>
      <c r="O39">
        <v>5.62E-3</v>
      </c>
      <c r="Q39">
        <v>5.4599999999999996E-3</v>
      </c>
      <c r="S39">
        <v>4.5399999999999998E-3</v>
      </c>
      <c r="T39">
        <v>4.4799999999999996E-3</v>
      </c>
      <c r="U39">
        <v>6.1399999999999996E-3</v>
      </c>
      <c r="V39">
        <v>4.4999999999999997E-3</v>
      </c>
      <c r="W39">
        <v>6.0000000000000001E-3</v>
      </c>
      <c r="X39">
        <v>4.3899999999999998E-3</v>
      </c>
      <c r="Y39">
        <v>5.7999999999999996E-3</v>
      </c>
      <c r="Z39">
        <v>4.1200000000000004E-3</v>
      </c>
      <c r="AA39">
        <v>7.0200000000000002E-3</v>
      </c>
      <c r="AB39">
        <v>7.11E-3</v>
      </c>
      <c r="AC39">
        <v>7.4200000000000004E-3</v>
      </c>
      <c r="AD39">
        <v>5.77E-3</v>
      </c>
      <c r="AE39">
        <v>6.6400000000000001E-3</v>
      </c>
      <c r="AF39">
        <v>6.7499999999999999E-3</v>
      </c>
      <c r="AG39">
        <v>6.4799999999999996E-3</v>
      </c>
      <c r="AH39">
        <v>6.4200000000000004E-3</v>
      </c>
      <c r="AI39">
        <v>7.3099999999999997E-3</v>
      </c>
      <c r="AJ39">
        <v>5.5599999999999998E-3</v>
      </c>
      <c r="AK39">
        <v>6.3400000000000001E-3</v>
      </c>
      <c r="AL39">
        <v>8.1600000000000006E-3</v>
      </c>
      <c r="AN39">
        <v>7.11E-3</v>
      </c>
      <c r="AO39">
        <v>1.2999999999999999E-2</v>
      </c>
      <c r="AP39">
        <v>7.2399999999999999E-3</v>
      </c>
      <c r="AQ39">
        <v>8.6599999999999993E-3</v>
      </c>
      <c r="AR39">
        <v>7.6E-3</v>
      </c>
      <c r="AS39">
        <v>7.9699999999999997E-3</v>
      </c>
      <c r="AT39">
        <v>6.2399999999999999E-3</v>
      </c>
      <c r="AU39">
        <v>6.8999999999999999E-3</v>
      </c>
      <c r="AV39">
        <v>7.5399999999999998E-3</v>
      </c>
      <c r="AW39">
        <v>7.1700000000000002E-3</v>
      </c>
      <c r="AX39">
        <v>6.9699999999999996E-3</v>
      </c>
      <c r="AY39">
        <v>6.7200000000000003E-3</v>
      </c>
      <c r="BA39">
        <v>7.4700000000000001E-3</v>
      </c>
      <c r="BB39">
        <v>7.0499999999999998E-3</v>
      </c>
      <c r="BC39">
        <v>7.6699999999999997E-3</v>
      </c>
      <c r="BD39">
        <v>8.0999999999999996E-3</v>
      </c>
      <c r="BE39">
        <v>9.6299999999999997E-3</v>
      </c>
      <c r="BF39">
        <v>1.086E-2</v>
      </c>
      <c r="BG39">
        <v>7.2500000000000004E-3</v>
      </c>
      <c r="BH39">
        <v>7.4599999999999996E-3</v>
      </c>
      <c r="BI39">
        <v>1.098E-2</v>
      </c>
      <c r="BJ39">
        <v>7.5399999999999998E-3</v>
      </c>
      <c r="BK39">
        <v>8.0199999999999994E-3</v>
      </c>
      <c r="BL39">
        <v>8.1499999999999993E-3</v>
      </c>
      <c r="BM39">
        <v>7.6699999999999997E-3</v>
      </c>
      <c r="BN39">
        <v>6.0099999999999997E-3</v>
      </c>
      <c r="BO39">
        <v>8.8800000000000007E-3</v>
      </c>
      <c r="BP39">
        <v>6.9899999999999997E-3</v>
      </c>
      <c r="BQ39">
        <v>6.1900000000000002E-3</v>
      </c>
      <c r="BR39">
        <v>6.3099999999999996E-3</v>
      </c>
      <c r="BS39">
        <v>1.3270000000000001E-2</v>
      </c>
      <c r="BT39">
        <v>8.6800000000000002E-3</v>
      </c>
      <c r="BU39">
        <v>9.6200000000000001E-3</v>
      </c>
      <c r="BV39">
        <v>9.7199999999999995E-3</v>
      </c>
      <c r="BW39">
        <v>9.3100000000000006E-3</v>
      </c>
      <c r="BX39">
        <v>9.0399999999999994E-3</v>
      </c>
      <c r="BY39">
        <v>9.2999999999999992E-3</v>
      </c>
      <c r="BZ39">
        <v>8.3599999999999994E-3</v>
      </c>
      <c r="CA39">
        <v>8.4899999999999993E-3</v>
      </c>
      <c r="CB39">
        <v>6.7499999999999999E-3</v>
      </c>
      <c r="CC39">
        <v>7.3499999999999998E-3</v>
      </c>
      <c r="CD39">
        <v>6.1199999999999996E-3</v>
      </c>
      <c r="CE39">
        <v>5.3299999999999997E-3</v>
      </c>
      <c r="CF39">
        <v>5.0400000000000002E-3</v>
      </c>
      <c r="CG39">
        <v>4.8799999999999998E-3</v>
      </c>
      <c r="CH39">
        <v>4.8300000000000001E-3</v>
      </c>
      <c r="CI39">
        <v>4.7999999999999996E-3</v>
      </c>
      <c r="CK39">
        <v>5.5900000000000004E-3</v>
      </c>
      <c r="CL39">
        <v>5.47E-3</v>
      </c>
      <c r="CM39">
        <v>6.13E-3</v>
      </c>
      <c r="CN39">
        <v>6.6600000000000001E-3</v>
      </c>
      <c r="CO39">
        <v>6.3E-3</v>
      </c>
      <c r="CP39">
        <v>6.8500000000000002E-3</v>
      </c>
      <c r="CQ39">
        <v>5.47E-3</v>
      </c>
      <c r="CR39">
        <v>6.2300000000000003E-3</v>
      </c>
      <c r="CS39">
        <v>6.8700000000000002E-3</v>
      </c>
      <c r="CT39">
        <v>7.28E-3</v>
      </c>
      <c r="CU39">
        <v>5.7400000000000003E-3</v>
      </c>
      <c r="CV39">
        <v>5.4599999999999996E-3</v>
      </c>
      <c r="CW39">
        <v>6.0099999999999997E-3</v>
      </c>
      <c r="CX39">
        <v>5.8399999999999997E-3</v>
      </c>
      <c r="CZ39">
        <v>5.0800000000000003E-3</v>
      </c>
      <c r="DA39">
        <v>5.2199999999999998E-3</v>
      </c>
      <c r="DB39">
        <v>5.1200000000000004E-3</v>
      </c>
      <c r="DC39">
        <v>5.0499999999999998E-3</v>
      </c>
      <c r="DD39">
        <v>4.9500000000000004E-3</v>
      </c>
      <c r="DE39">
        <v>4.8700000000000002E-3</v>
      </c>
      <c r="DF39">
        <v>8.4200000000000004E-3</v>
      </c>
      <c r="DG39">
        <v>5.4000000000000003E-3</v>
      </c>
      <c r="DH39">
        <v>7.3099999999999997E-3</v>
      </c>
      <c r="DI39">
        <v>7.0499999999999998E-3</v>
      </c>
      <c r="DJ39">
        <v>7.1000000000000004E-3</v>
      </c>
      <c r="DK39">
        <v>7.0400000000000003E-3</v>
      </c>
      <c r="DL39">
        <v>7.0499999999999998E-3</v>
      </c>
      <c r="DN39">
        <v>6.4099999999999999E-3</v>
      </c>
      <c r="DO39">
        <v>6.1700000000000001E-3</v>
      </c>
      <c r="DP39">
        <v>8.8999999999999999E-3</v>
      </c>
      <c r="DQ39">
        <v>8.7299999999999999E-3</v>
      </c>
      <c r="DR39">
        <v>6.7400000000000003E-3</v>
      </c>
      <c r="DS39">
        <v>7.3800000000000003E-3</v>
      </c>
      <c r="DT39">
        <v>7.0200000000000002E-3</v>
      </c>
      <c r="DU39">
        <v>6.7799999999999996E-3</v>
      </c>
      <c r="DV39">
        <v>9.2099999999999994E-3</v>
      </c>
      <c r="DW39">
        <v>7.3899999999999999E-3</v>
      </c>
      <c r="DX39">
        <v>7.2199999999999999E-3</v>
      </c>
      <c r="DY39">
        <v>1.001E-2</v>
      </c>
      <c r="EA39">
        <v>5.8100000000000001E-3</v>
      </c>
      <c r="EB39">
        <v>5.7299999999999999E-3</v>
      </c>
      <c r="EC39">
        <v>5.2399999999999999E-3</v>
      </c>
      <c r="EF39">
        <v>2.2179999999999998E-2</v>
      </c>
      <c r="EH39">
        <v>2.359E-2</v>
      </c>
      <c r="EI39">
        <v>6.4200000000000004E-3</v>
      </c>
      <c r="EJ39">
        <v>5.3600000000000002E-3</v>
      </c>
      <c r="EK39">
        <v>5.96E-3</v>
      </c>
      <c r="EL39">
        <v>6.4700000000000001E-3</v>
      </c>
      <c r="EM39">
        <v>6.8199999999999997E-3</v>
      </c>
      <c r="EN39">
        <v>7.0299999999999998E-3</v>
      </c>
      <c r="EO39">
        <v>7.1199999999999996E-3</v>
      </c>
      <c r="EP39">
        <v>7.4400000000000004E-3</v>
      </c>
      <c r="EQ39">
        <v>7.5199999999999998E-3</v>
      </c>
      <c r="ER39">
        <v>6.6600000000000001E-3</v>
      </c>
      <c r="ES39">
        <v>6.3499999999999997E-3</v>
      </c>
      <c r="EU39">
        <v>1.081E-2</v>
      </c>
      <c r="EV39">
        <v>1.005E-2</v>
      </c>
      <c r="EW39">
        <v>9.4000000000000004E-3</v>
      </c>
      <c r="EX39">
        <v>9.7300000000000008E-3</v>
      </c>
      <c r="EY39">
        <v>6.79E-3</v>
      </c>
      <c r="EZ39">
        <v>7.1199999999999996E-3</v>
      </c>
      <c r="FA39">
        <v>6.8900000000000003E-3</v>
      </c>
      <c r="FC39">
        <v>6.4200000000000004E-3</v>
      </c>
      <c r="FD39">
        <v>6.2100000000000002E-3</v>
      </c>
      <c r="FE39">
        <v>7.28E-3</v>
      </c>
      <c r="FF39">
        <v>4.5199999999999997E-3</v>
      </c>
      <c r="FG39">
        <v>8.8000000000000005E-3</v>
      </c>
      <c r="FH39">
        <v>9.3699999999999999E-3</v>
      </c>
      <c r="FI39">
        <v>8.8299999999999993E-3</v>
      </c>
      <c r="FJ39">
        <v>8.8000000000000005E-3</v>
      </c>
      <c r="FK39">
        <v>8.1099999999999992E-3</v>
      </c>
      <c r="FL39">
        <v>5.4400000000000004E-3</v>
      </c>
      <c r="FN39">
        <v>7.3699999999999998E-3</v>
      </c>
      <c r="FO39">
        <v>6.4000000000000003E-3</v>
      </c>
      <c r="FP39">
        <v>5.8799999999999998E-3</v>
      </c>
      <c r="FQ39">
        <v>8.0099999999999998E-3</v>
      </c>
      <c r="FR39">
        <v>8.3400000000000002E-3</v>
      </c>
      <c r="FS39">
        <v>8.6999999999999994E-3</v>
      </c>
      <c r="FT39">
        <v>8.09E-3</v>
      </c>
      <c r="FU39">
        <v>7.7499999999999999E-3</v>
      </c>
      <c r="FV39">
        <v>7.6E-3</v>
      </c>
      <c r="FW39">
        <v>7.4900000000000001E-3</v>
      </c>
      <c r="FX39">
        <v>7.7400000000000004E-3</v>
      </c>
      <c r="FY39">
        <v>8.26E-3</v>
      </c>
      <c r="FZ39">
        <v>7.7999999999999996E-3</v>
      </c>
      <c r="GA39">
        <v>8.3300000000000006E-3</v>
      </c>
      <c r="GB39">
        <v>7.8799999999999999E-3</v>
      </c>
      <c r="GC39">
        <v>8.4700000000000001E-3</v>
      </c>
      <c r="GD39">
        <v>7.8600000000000007E-3</v>
      </c>
      <c r="GE39">
        <v>8.5000000000000006E-3</v>
      </c>
      <c r="GF39">
        <v>7.26E-3</v>
      </c>
      <c r="GH39">
        <v>7.45E-3</v>
      </c>
      <c r="GI39">
        <v>8.1600000000000006E-3</v>
      </c>
      <c r="GJ39">
        <v>8.2900000000000005E-3</v>
      </c>
      <c r="GK39">
        <v>8.4700000000000001E-3</v>
      </c>
      <c r="GL39">
        <v>8.77E-3</v>
      </c>
      <c r="GM39">
        <v>7.7099999999999998E-3</v>
      </c>
      <c r="GO39">
        <v>7.6299999999999996E-3</v>
      </c>
      <c r="GP39">
        <v>7.0800000000000004E-3</v>
      </c>
      <c r="GQ39">
        <v>7.4799999999999997E-3</v>
      </c>
      <c r="GR39">
        <v>8.3800000000000003E-3</v>
      </c>
      <c r="GS39">
        <v>6.77E-3</v>
      </c>
      <c r="GT39">
        <v>7.3699999999999998E-3</v>
      </c>
      <c r="GU39">
        <v>5.3099999999999996E-3</v>
      </c>
      <c r="GV39">
        <v>8.8699999999999994E-3</v>
      </c>
      <c r="GW39">
        <v>8.8900000000000003E-3</v>
      </c>
      <c r="GX39">
        <v>8.2000000000000007E-3</v>
      </c>
      <c r="GY39">
        <v>8.9300000000000004E-3</v>
      </c>
      <c r="GZ39">
        <v>7.7600000000000004E-3</v>
      </c>
      <c r="HB39">
        <v>4.62E-3</v>
      </c>
      <c r="HC39">
        <v>6.1900000000000002E-3</v>
      </c>
      <c r="HE39">
        <v>6.2700000000000004E-3</v>
      </c>
      <c r="HF39">
        <v>6.4200000000000004E-3</v>
      </c>
      <c r="HG39">
        <v>8.8599999999999998E-3</v>
      </c>
      <c r="HH39">
        <v>8.9899999999999997E-3</v>
      </c>
      <c r="HI39">
        <v>9.3699999999999999E-3</v>
      </c>
      <c r="HK39">
        <v>7.7299999999999999E-3</v>
      </c>
      <c r="HL39">
        <v>7.6499999999999997E-3</v>
      </c>
      <c r="HM39">
        <v>7.5900000000000004E-3</v>
      </c>
      <c r="HN39">
        <v>7.3099999999999997E-3</v>
      </c>
      <c r="HO39">
        <v>7.0800000000000004E-3</v>
      </c>
      <c r="HQ39">
        <v>7.26E-3</v>
      </c>
      <c r="HR39">
        <v>8.8800000000000007E-3</v>
      </c>
      <c r="HS39">
        <v>1.146E-2</v>
      </c>
      <c r="HT39">
        <v>6.6600000000000001E-3</v>
      </c>
      <c r="HU39">
        <v>5.6100000000000004E-3</v>
      </c>
      <c r="HV39">
        <v>7.62E-3</v>
      </c>
      <c r="HW39">
        <v>5.8599999999999998E-3</v>
      </c>
      <c r="HX39">
        <v>8.3700000000000007E-3</v>
      </c>
      <c r="HY39">
        <v>6.7000000000000002E-3</v>
      </c>
      <c r="HZ39">
        <v>4.3299999999999996E-3</v>
      </c>
      <c r="IA39">
        <v>8.0400000000000003E-3</v>
      </c>
      <c r="IB39">
        <v>9.6500000000000006E-3</v>
      </c>
      <c r="IC39">
        <v>7.9699999999999997E-3</v>
      </c>
      <c r="ID39">
        <v>6.0499999999999998E-3</v>
      </c>
      <c r="IF39">
        <v>5.6699999999999997E-3</v>
      </c>
      <c r="IG39">
        <v>6.6800000000000002E-3</v>
      </c>
      <c r="IH39">
        <v>7.26E-3</v>
      </c>
      <c r="II39">
        <v>5.2100000000000002E-3</v>
      </c>
      <c r="IJ39">
        <v>6.3E-3</v>
      </c>
      <c r="IL39">
        <v>7.6899999999999998E-3</v>
      </c>
      <c r="IM39">
        <v>8.4899999999999993E-3</v>
      </c>
      <c r="IN39">
        <v>9.2200000000000008E-3</v>
      </c>
      <c r="IO39">
        <v>1.017E-2</v>
      </c>
      <c r="IP39">
        <v>1.184E-2</v>
      </c>
      <c r="IQ39">
        <v>1.3220000000000001E-2</v>
      </c>
      <c r="IR39">
        <v>1.448E-2</v>
      </c>
      <c r="IS39">
        <v>4.6100000000000004E-3</v>
      </c>
      <c r="IT39">
        <v>5.2199999999999998E-3</v>
      </c>
      <c r="IU39">
        <v>5.8399999999999997E-3</v>
      </c>
      <c r="IV39">
        <v>4.9199999999999999E-3</v>
      </c>
      <c r="IW39">
        <v>5.7099999999999998E-3</v>
      </c>
      <c r="IX39">
        <v>3.79E-3</v>
      </c>
      <c r="IY39">
        <v>4.62E-3</v>
      </c>
      <c r="IZ39">
        <v>4.3699999999999998E-3</v>
      </c>
      <c r="JA39">
        <v>4.9100000000000003E-3</v>
      </c>
      <c r="JB39">
        <v>5.1200000000000004E-3</v>
      </c>
      <c r="JC39">
        <v>5.5100000000000001E-3</v>
      </c>
      <c r="JF39">
        <v>6.0499999999999998E-3</v>
      </c>
      <c r="JG39">
        <v>8.5000000000000006E-3</v>
      </c>
      <c r="JH39">
        <v>1.171E-2</v>
      </c>
      <c r="JI39">
        <v>7.5799999999999999E-3</v>
      </c>
      <c r="JJ39">
        <v>6.4700000000000001E-3</v>
      </c>
      <c r="JK39">
        <v>9.2200000000000008E-3</v>
      </c>
      <c r="JL39">
        <v>9.3100000000000006E-3</v>
      </c>
      <c r="JM39">
        <v>6.4700000000000001E-3</v>
      </c>
      <c r="JN39">
        <v>8.7399999999999995E-3</v>
      </c>
      <c r="JO39">
        <v>1.83E-2</v>
      </c>
      <c r="JP39">
        <v>6.4599999999999996E-3</v>
      </c>
      <c r="JQ39">
        <v>5.8999999999999999E-3</v>
      </c>
      <c r="JR39">
        <v>6.3699999999999998E-3</v>
      </c>
      <c r="JT39">
        <v>6.6600000000000001E-3</v>
      </c>
      <c r="JU39">
        <v>7.6099999999999996E-3</v>
      </c>
      <c r="JV39">
        <v>6.0499999999999998E-3</v>
      </c>
      <c r="JW39">
        <v>6.8199999999999997E-3</v>
      </c>
      <c r="JX39">
        <v>6.2399999999999999E-3</v>
      </c>
      <c r="JY39">
        <v>7.3800000000000003E-3</v>
      </c>
      <c r="JZ39">
        <v>7.8899999999999994E-3</v>
      </c>
      <c r="KA39">
        <v>7.7200000000000003E-3</v>
      </c>
      <c r="KB39">
        <v>6.0099999999999997E-3</v>
      </c>
      <c r="KC39">
        <v>6.2700000000000004E-3</v>
      </c>
      <c r="KD39">
        <v>6.8300000000000001E-3</v>
      </c>
      <c r="KE39">
        <v>8.2000000000000007E-3</v>
      </c>
      <c r="KF39">
        <v>1.1050000000000001E-2</v>
      </c>
      <c r="KG39">
        <v>1.2120000000000001E-2</v>
      </c>
      <c r="KH39">
        <v>1.044E-2</v>
      </c>
      <c r="KI39">
        <v>8.4600000000000005E-3</v>
      </c>
      <c r="KJ39">
        <v>8.5800000000000008E-3</v>
      </c>
      <c r="KK39">
        <v>8.5599999999999999E-3</v>
      </c>
      <c r="KL39">
        <v>8.7899999999999992E-3</v>
      </c>
      <c r="KM39">
        <v>8.9099999999999995E-3</v>
      </c>
      <c r="KN39">
        <v>5.4099999999999999E-3</v>
      </c>
      <c r="KO39">
        <v>5.4799999999999996E-3</v>
      </c>
      <c r="KP39">
        <v>8.0599999999999995E-3</v>
      </c>
      <c r="KQ39">
        <v>8.2500000000000004E-3</v>
      </c>
      <c r="KR39">
        <v>8.8199999999999997E-3</v>
      </c>
      <c r="KS39">
        <v>6.6699999999999997E-3</v>
      </c>
      <c r="KT39">
        <v>7.0800000000000004E-3</v>
      </c>
      <c r="KU39">
        <v>6.0000000000000001E-3</v>
      </c>
      <c r="KV39">
        <v>4.64E-3</v>
      </c>
      <c r="KW39">
        <v>5.2399999999999999E-3</v>
      </c>
      <c r="KX39">
        <v>1.235E-2</v>
      </c>
      <c r="KY39">
        <v>6.28E-3</v>
      </c>
      <c r="KZ39">
        <v>7.5399999999999998E-3</v>
      </c>
      <c r="LA39">
        <v>6.7400000000000003E-3</v>
      </c>
      <c r="LB39">
        <v>6.4000000000000003E-3</v>
      </c>
      <c r="LC39">
        <v>6.5199999999999998E-3</v>
      </c>
      <c r="LD39">
        <v>6.5199999999999998E-3</v>
      </c>
      <c r="LE39">
        <v>1.0109999999999999E-2</v>
      </c>
      <c r="LG39">
        <v>8.5599999999999999E-3</v>
      </c>
      <c r="LI39">
        <v>1.001E-2</v>
      </c>
      <c r="LJ39">
        <v>1.0370000000000001E-2</v>
      </c>
      <c r="LK39">
        <v>1.0529999999999999E-2</v>
      </c>
      <c r="LL39">
        <v>7.3699999999999998E-3</v>
      </c>
      <c r="LM39">
        <v>5.4099999999999999E-3</v>
      </c>
      <c r="LN39">
        <v>7.7000000000000002E-3</v>
      </c>
      <c r="LO39">
        <v>7.9299999999999995E-3</v>
      </c>
      <c r="LP39">
        <v>6.6600000000000001E-3</v>
      </c>
      <c r="LR39">
        <v>1.001E-2</v>
      </c>
      <c r="LS39">
        <v>1.1180000000000001E-2</v>
      </c>
      <c r="LT39">
        <v>6.62E-3</v>
      </c>
      <c r="LU39">
        <v>9.5399999999999999E-3</v>
      </c>
      <c r="LV39">
        <v>1.099E-2</v>
      </c>
      <c r="LW39">
        <v>4.7699999999999999E-3</v>
      </c>
      <c r="LX39">
        <v>5.5999999999999999E-3</v>
      </c>
      <c r="LY39">
        <v>7.8100000000000001E-3</v>
      </c>
      <c r="LZ39">
        <v>7.8799999999999999E-3</v>
      </c>
      <c r="MA39">
        <v>7.8799999999999999E-3</v>
      </c>
      <c r="MB39">
        <v>4.1799999999999997E-3</v>
      </c>
      <c r="MC39">
        <v>9.1999999999999998E-3</v>
      </c>
      <c r="MD39">
        <v>1.056E-2</v>
      </c>
      <c r="ME39">
        <v>1.367E-2</v>
      </c>
      <c r="MF39">
        <v>1.5949999999999999E-2</v>
      </c>
      <c r="MG39">
        <v>1.507E-2</v>
      </c>
      <c r="MH39">
        <v>6.6299999999999996E-3</v>
      </c>
      <c r="MI39">
        <v>7.5700000000000003E-3</v>
      </c>
      <c r="MJ39">
        <v>7.5700000000000003E-3</v>
      </c>
      <c r="MK39">
        <v>7.26E-3</v>
      </c>
      <c r="ML39">
        <v>8.8199999999999997E-3</v>
      </c>
      <c r="MM39">
        <v>7.8300000000000002E-3</v>
      </c>
      <c r="MN39">
        <v>5.7499999999999999E-3</v>
      </c>
      <c r="MO39">
        <v>6.2500000000000003E-3</v>
      </c>
      <c r="MP39">
        <v>6.7000000000000002E-3</v>
      </c>
      <c r="MQ39">
        <v>4.9800000000000001E-3</v>
      </c>
      <c r="MR39">
        <v>6.3899999999999998E-3</v>
      </c>
      <c r="MS39">
        <v>6.9100000000000003E-3</v>
      </c>
      <c r="MT39">
        <v>7.9399999999999991E-3</v>
      </c>
      <c r="MU39">
        <v>5.0699999999999999E-3</v>
      </c>
      <c r="MV39">
        <v>5.8300000000000001E-3</v>
      </c>
      <c r="MW39">
        <v>6.1599999999999997E-3</v>
      </c>
      <c r="MX39">
        <v>6.3400000000000001E-3</v>
      </c>
      <c r="MY39">
        <v>6.9100000000000003E-3</v>
      </c>
      <c r="MZ39">
        <v>7.7000000000000002E-3</v>
      </c>
      <c r="NA39">
        <v>7.0099999999999997E-3</v>
      </c>
      <c r="NB39">
        <v>6.9199999999999999E-3</v>
      </c>
      <c r="NC39">
        <v>4.5599999999999998E-3</v>
      </c>
      <c r="ND39">
        <v>1.324E-2</v>
      </c>
      <c r="NE39">
        <v>7.9399999999999991E-3</v>
      </c>
      <c r="NF39">
        <v>8.3099999999999997E-3</v>
      </c>
      <c r="NG39">
        <v>5.28E-3</v>
      </c>
      <c r="NH39">
        <v>4.3800000000000002E-3</v>
      </c>
      <c r="NI39">
        <v>4.7499999999999999E-3</v>
      </c>
      <c r="NJ39">
        <v>5.2300000000000003E-3</v>
      </c>
      <c r="NK39">
        <v>4.7000000000000002E-3</v>
      </c>
      <c r="NL39">
        <v>4.9699999999999996E-3</v>
      </c>
      <c r="NM39">
        <v>5.2500000000000003E-3</v>
      </c>
      <c r="NN39">
        <v>5.5500000000000002E-3</v>
      </c>
      <c r="NO39">
        <v>5.7400000000000003E-3</v>
      </c>
      <c r="NP39">
        <v>4.7999999999999996E-3</v>
      </c>
      <c r="NQ39">
        <v>4.9899999999999996E-3</v>
      </c>
      <c r="NR39">
        <v>5.0600000000000003E-3</v>
      </c>
      <c r="NS39">
        <v>5.28E-3</v>
      </c>
      <c r="NT39">
        <v>5.7600000000000004E-3</v>
      </c>
      <c r="NU39">
        <v>4.7499999999999999E-3</v>
      </c>
      <c r="NV39">
        <v>5.0200000000000002E-3</v>
      </c>
      <c r="NW39">
        <v>5.0600000000000003E-3</v>
      </c>
      <c r="NX39">
        <v>5.2300000000000003E-3</v>
      </c>
      <c r="NY39">
        <v>5.3400000000000001E-3</v>
      </c>
      <c r="NZ39">
        <v>5.6100000000000004E-3</v>
      </c>
      <c r="OA39">
        <v>5.8100000000000001E-3</v>
      </c>
      <c r="OB39">
        <v>4.7800000000000004E-3</v>
      </c>
      <c r="OC39">
        <v>5.0600000000000003E-3</v>
      </c>
      <c r="OD39">
        <v>5.1999999999999998E-3</v>
      </c>
      <c r="OE39">
        <v>5.1999999999999998E-3</v>
      </c>
      <c r="OF39">
        <v>7.2899999999999996E-3</v>
      </c>
      <c r="OG39">
        <v>5.3800000000000002E-3</v>
      </c>
      <c r="OH39">
        <v>5.6800000000000002E-3</v>
      </c>
      <c r="OI39">
        <v>5.8999999999999999E-3</v>
      </c>
      <c r="OJ39">
        <v>6.1000000000000004E-3</v>
      </c>
      <c r="OK39">
        <v>6.28E-3</v>
      </c>
      <c r="OL39">
        <v>6.4999999999999997E-3</v>
      </c>
      <c r="OM39">
        <v>4.9699999999999996E-3</v>
      </c>
      <c r="ON39">
        <v>5.2100000000000002E-3</v>
      </c>
      <c r="OO39">
        <v>5.45E-3</v>
      </c>
      <c r="OP39">
        <v>5.9300000000000004E-3</v>
      </c>
      <c r="OQ39">
        <v>6.1700000000000001E-3</v>
      </c>
      <c r="OR39">
        <v>6.4099999999999999E-3</v>
      </c>
      <c r="OS39">
        <v>7.1599999999999997E-3</v>
      </c>
      <c r="OT39">
        <v>6.6899999999999998E-3</v>
      </c>
      <c r="OU39">
        <v>5.4099999999999999E-3</v>
      </c>
      <c r="OV39">
        <v>6.13E-3</v>
      </c>
      <c r="OW39">
        <v>3.3500000000000001E-3</v>
      </c>
      <c r="OX39">
        <v>3.2599999999999999E-3</v>
      </c>
      <c r="OY39">
        <v>4.1700000000000001E-3</v>
      </c>
      <c r="OZ39">
        <v>4.81E-3</v>
      </c>
      <c r="PA39">
        <v>9.6200000000000001E-3</v>
      </c>
      <c r="PB39">
        <v>1.043E-2</v>
      </c>
      <c r="PC39">
        <v>8.3099999999999997E-3</v>
      </c>
      <c r="PD39">
        <v>7.1900000000000002E-3</v>
      </c>
      <c r="PE39">
        <v>6.6699999999999997E-3</v>
      </c>
      <c r="PF39">
        <v>6.3299999999999997E-3</v>
      </c>
      <c r="PG39">
        <v>5.5599999999999998E-3</v>
      </c>
      <c r="PH39">
        <v>5.9199999999999999E-3</v>
      </c>
      <c r="PI39">
        <v>7.5900000000000004E-3</v>
      </c>
      <c r="PJ39">
        <v>7.0600000000000003E-3</v>
      </c>
      <c r="PK39">
        <v>6.4900000000000001E-3</v>
      </c>
      <c r="PL39">
        <v>6.11E-3</v>
      </c>
      <c r="PM39">
        <v>5.5500000000000002E-3</v>
      </c>
      <c r="PN39">
        <v>5.1799999999999997E-3</v>
      </c>
      <c r="PO39">
        <v>5.3E-3</v>
      </c>
      <c r="PP39">
        <v>5.5399999999999998E-3</v>
      </c>
      <c r="PQ39">
        <v>5.4200000000000003E-3</v>
      </c>
      <c r="PR39">
        <v>5.0000000000000001E-3</v>
      </c>
      <c r="PS39">
        <v>5.9500000000000004E-3</v>
      </c>
      <c r="PU39">
        <v>4.62E-3</v>
      </c>
      <c r="PV39">
        <v>4.7400000000000003E-3</v>
      </c>
      <c r="PW39">
        <v>4.9899999999999996E-3</v>
      </c>
      <c r="PX39">
        <v>5.5399999999999998E-3</v>
      </c>
      <c r="PY39">
        <v>6.2700000000000004E-3</v>
      </c>
      <c r="PZ39">
        <v>7.1399999999999996E-3</v>
      </c>
      <c r="QB39">
        <v>4.3800000000000002E-3</v>
      </c>
      <c r="QC39">
        <v>5.8300000000000001E-3</v>
      </c>
      <c r="QD39">
        <v>5.1399999999999996E-3</v>
      </c>
      <c r="QE39">
        <v>4.6699999999999997E-3</v>
      </c>
      <c r="QF39">
        <v>4.7200000000000002E-3</v>
      </c>
      <c r="QG39">
        <v>6.6400000000000001E-3</v>
      </c>
      <c r="QH39">
        <v>4.6499999999999996E-3</v>
      </c>
      <c r="QI39">
        <v>5.1900000000000002E-3</v>
      </c>
      <c r="QJ39">
        <v>5.0800000000000003E-3</v>
      </c>
      <c r="QK39">
        <v>4.9800000000000001E-3</v>
      </c>
      <c r="QL39">
        <v>4.7800000000000004E-3</v>
      </c>
      <c r="QM39">
        <v>5.4599999999999996E-3</v>
      </c>
      <c r="QN39">
        <v>8.0400000000000003E-3</v>
      </c>
      <c r="QO39">
        <v>6.3299999999999997E-3</v>
      </c>
      <c r="QP39">
        <v>7.0299999999999998E-3</v>
      </c>
      <c r="QQ39">
        <v>7.6099999999999996E-3</v>
      </c>
      <c r="QR39">
        <v>8.6199999999999992E-3</v>
      </c>
      <c r="QS39">
        <v>8.5800000000000008E-3</v>
      </c>
      <c r="QT39">
        <v>6.4200000000000004E-3</v>
      </c>
      <c r="QU39">
        <v>6.4999999999999997E-3</v>
      </c>
      <c r="QV39">
        <v>6.5799999999999999E-3</v>
      </c>
      <c r="QW39">
        <v>6.3499999999999997E-3</v>
      </c>
      <c r="QX39">
        <v>6.0600000000000003E-3</v>
      </c>
      <c r="QZ39">
        <v>6.1500000000000001E-3</v>
      </c>
      <c r="RA39">
        <v>7.1799999999999998E-3</v>
      </c>
      <c r="RB39">
        <v>8.7399999999999995E-3</v>
      </c>
      <c r="RC39">
        <v>7.1500000000000001E-3</v>
      </c>
      <c r="RD39">
        <v>1.217E-2</v>
      </c>
      <c r="RE39">
        <v>9.2999999999999992E-3</v>
      </c>
      <c r="RF39">
        <v>8.2000000000000007E-3</v>
      </c>
      <c r="RG39">
        <v>5.7600000000000004E-3</v>
      </c>
      <c r="RH39">
        <v>5.5599999999999998E-3</v>
      </c>
      <c r="RI39">
        <v>8.5100000000000002E-3</v>
      </c>
      <c r="RJ39">
        <v>8.2699999999999996E-3</v>
      </c>
      <c r="RK39">
        <v>7.9299999999999995E-3</v>
      </c>
      <c r="RL39">
        <v>7.3800000000000003E-3</v>
      </c>
      <c r="RM39">
        <v>4.81E-3</v>
      </c>
      <c r="RN39">
        <v>4.8700000000000002E-3</v>
      </c>
      <c r="RO39">
        <v>4.8700000000000002E-3</v>
      </c>
      <c r="RQ39">
        <v>4.8900000000000002E-3</v>
      </c>
      <c r="RR39">
        <v>4.6499999999999996E-3</v>
      </c>
      <c r="RS39">
        <v>4.7800000000000004E-3</v>
      </c>
      <c r="RT39">
        <v>4.0099999999999997E-3</v>
      </c>
      <c r="RU39">
        <v>4.8300000000000001E-3</v>
      </c>
      <c r="RV39">
        <v>5.4099999999999999E-3</v>
      </c>
      <c r="RW39">
        <v>6.0400000000000002E-3</v>
      </c>
      <c r="RX39">
        <v>5.4599999999999996E-3</v>
      </c>
      <c r="RY39">
        <v>3.79E-3</v>
      </c>
      <c r="RZ39">
        <v>5.6699999999999997E-3</v>
      </c>
      <c r="SA39">
        <v>8.6199999999999992E-3</v>
      </c>
      <c r="SB39">
        <v>7.9000000000000008E-3</v>
      </c>
      <c r="SC39">
        <v>6.9699999999999996E-3</v>
      </c>
      <c r="SD39">
        <v>7.26E-3</v>
      </c>
      <c r="SE39">
        <v>6.6E-3</v>
      </c>
      <c r="SG39">
        <v>9.4599999999999997E-3</v>
      </c>
      <c r="SH39">
        <v>1.188E-2</v>
      </c>
      <c r="SI39">
        <v>6.6E-3</v>
      </c>
      <c r="SJ39">
        <v>5.2599999999999999E-3</v>
      </c>
      <c r="SK39">
        <v>4.7200000000000002E-3</v>
      </c>
      <c r="SL39">
        <v>5.0200000000000002E-3</v>
      </c>
      <c r="SM39">
        <v>4.2900000000000004E-3</v>
      </c>
      <c r="SN39">
        <v>4.4200000000000003E-3</v>
      </c>
      <c r="SO39">
        <v>4.3E-3</v>
      </c>
      <c r="SP39">
        <v>6.1700000000000001E-3</v>
      </c>
      <c r="SQ39">
        <v>5.4099999999999999E-3</v>
      </c>
      <c r="SR39">
        <v>5.6899999999999997E-3</v>
      </c>
      <c r="SS39">
        <v>4.5700000000000003E-3</v>
      </c>
      <c r="ST39">
        <v>4.6699999999999997E-3</v>
      </c>
      <c r="SU39">
        <v>5.0200000000000002E-3</v>
      </c>
      <c r="SV39">
        <v>4.7099999999999998E-3</v>
      </c>
      <c r="SW39">
        <v>5.0499999999999998E-3</v>
      </c>
      <c r="SY39">
        <v>4.79E-3</v>
      </c>
      <c r="SZ39">
        <v>5.8300000000000001E-3</v>
      </c>
      <c r="TA39">
        <v>5.5799999999999999E-3</v>
      </c>
      <c r="TB39">
        <v>6.2500000000000003E-3</v>
      </c>
      <c r="TC39">
        <v>5.0600000000000003E-3</v>
      </c>
      <c r="TD39">
        <v>5.2199999999999998E-3</v>
      </c>
      <c r="TE39">
        <v>7.28E-3</v>
      </c>
      <c r="TF39">
        <v>6.2399999999999999E-3</v>
      </c>
      <c r="TG39">
        <v>6.3E-3</v>
      </c>
      <c r="TH39">
        <v>7.6899999999999998E-3</v>
      </c>
      <c r="TI39">
        <v>5.0200000000000002E-3</v>
      </c>
      <c r="TJ39">
        <v>6.7499999999999999E-3</v>
      </c>
      <c r="TK39">
        <v>4.6899999999999997E-3</v>
      </c>
      <c r="TL39">
        <v>4.3200000000000001E-3</v>
      </c>
      <c r="TM39">
        <v>3.96E-3</v>
      </c>
      <c r="TN39">
        <v>5.3099999999999996E-3</v>
      </c>
      <c r="TO39">
        <v>5.13E-3</v>
      </c>
      <c r="TP39">
        <v>4.5999999999999999E-3</v>
      </c>
      <c r="TQ39">
        <v>5.3200000000000001E-3</v>
      </c>
      <c r="TR39">
        <v>6.3299999999999997E-3</v>
      </c>
      <c r="TS39">
        <v>6.62E-3</v>
      </c>
      <c r="TT39">
        <v>6.5100000000000002E-3</v>
      </c>
      <c r="TU39">
        <v>6.0099999999999997E-3</v>
      </c>
      <c r="TV39">
        <v>5.2500000000000003E-3</v>
      </c>
      <c r="TW39">
        <v>4.9300000000000004E-3</v>
      </c>
      <c r="TX39">
        <v>5.0800000000000003E-3</v>
      </c>
      <c r="TY39">
        <v>4.7499999999999999E-3</v>
      </c>
      <c r="TZ39">
        <v>5.1700000000000001E-3</v>
      </c>
      <c r="UA39">
        <v>4.96E-3</v>
      </c>
      <c r="UB39">
        <v>4.7499999999999999E-3</v>
      </c>
      <c r="UC39">
        <v>4.7999999999999996E-3</v>
      </c>
      <c r="UD39">
        <v>4.8199999999999996E-3</v>
      </c>
      <c r="UE39">
        <v>4.8999999999999998E-3</v>
      </c>
      <c r="UF39">
        <v>4.3699999999999998E-3</v>
      </c>
      <c r="UG39">
        <v>4.4600000000000004E-3</v>
      </c>
      <c r="UH39">
        <v>5.5700000000000003E-3</v>
      </c>
      <c r="UI39">
        <v>4.9899999999999996E-3</v>
      </c>
      <c r="UJ39">
        <v>5.1700000000000001E-3</v>
      </c>
      <c r="UK39">
        <v>5.1700000000000001E-3</v>
      </c>
      <c r="UL39">
        <v>5.4200000000000003E-3</v>
      </c>
      <c r="UM39">
        <v>6.11E-3</v>
      </c>
      <c r="UO39">
        <v>5.1599999999999997E-3</v>
      </c>
      <c r="UP39">
        <v>6.9899999999999997E-3</v>
      </c>
      <c r="UQ39">
        <v>4.7600000000000003E-3</v>
      </c>
      <c r="UR39">
        <v>4.6299999999999996E-3</v>
      </c>
      <c r="US39">
        <v>5.2100000000000002E-3</v>
      </c>
      <c r="UT39">
        <v>4.7400000000000003E-3</v>
      </c>
      <c r="UU39">
        <v>4.96E-3</v>
      </c>
      <c r="UV39">
        <v>5.1700000000000001E-3</v>
      </c>
      <c r="UW39">
        <v>6.7799999999999996E-3</v>
      </c>
      <c r="UX39">
        <v>4.8500000000000001E-3</v>
      </c>
      <c r="UY39">
        <v>5.1999999999999998E-3</v>
      </c>
      <c r="UZ39">
        <v>5.9199999999999999E-3</v>
      </c>
      <c r="VA39">
        <v>7.7400000000000004E-3</v>
      </c>
      <c r="VB39">
        <v>5.6699999999999997E-3</v>
      </c>
      <c r="VC39">
        <v>6.8500000000000002E-3</v>
      </c>
      <c r="VD39">
        <v>1.031E-2</v>
      </c>
      <c r="VE39">
        <v>6.8399999999999997E-3</v>
      </c>
      <c r="VF39">
        <v>9.8600000000000007E-3</v>
      </c>
      <c r="VG39">
        <v>9.3500000000000007E-3</v>
      </c>
      <c r="VH39">
        <v>6.0800000000000003E-3</v>
      </c>
      <c r="VI39">
        <v>6.2100000000000002E-3</v>
      </c>
    </row>
    <row r="40" spans="1:581" x14ac:dyDescent="0.25">
      <c r="A40">
        <v>925000</v>
      </c>
      <c r="B40">
        <v>4.1200000000000004E-3</v>
      </c>
      <c r="C40">
        <v>4.0899999999999999E-3</v>
      </c>
      <c r="D40">
        <v>3.8899999999999998E-3</v>
      </c>
      <c r="E40">
        <v>5.1700000000000001E-3</v>
      </c>
      <c r="F40">
        <v>5.5999999999999999E-3</v>
      </c>
      <c r="G40">
        <v>6.2899999999999996E-3</v>
      </c>
      <c r="H40">
        <v>4.7499999999999999E-3</v>
      </c>
      <c r="I40">
        <v>4.3299999999999996E-3</v>
      </c>
      <c r="J40">
        <v>3.8899999999999998E-3</v>
      </c>
      <c r="K40">
        <v>5.1399999999999996E-3</v>
      </c>
      <c r="L40">
        <v>4.81E-3</v>
      </c>
      <c r="M40">
        <v>4.2700000000000004E-3</v>
      </c>
      <c r="N40">
        <v>3.8700000000000002E-3</v>
      </c>
      <c r="O40">
        <v>5.5700000000000003E-3</v>
      </c>
      <c r="P40">
        <v>5.45E-3</v>
      </c>
      <c r="Q40">
        <v>5.4200000000000003E-3</v>
      </c>
      <c r="R40">
        <v>5.2300000000000003E-3</v>
      </c>
      <c r="S40">
        <v>4.4999999999999997E-3</v>
      </c>
      <c r="T40">
        <v>4.4400000000000004E-3</v>
      </c>
      <c r="U40">
        <v>6.1399999999999996E-3</v>
      </c>
      <c r="V40">
        <v>4.47E-3</v>
      </c>
      <c r="W40">
        <v>5.9899999999999997E-3</v>
      </c>
      <c r="X40">
        <v>4.3600000000000002E-3</v>
      </c>
      <c r="Y40">
        <v>5.8199999999999997E-3</v>
      </c>
      <c r="Z40">
        <v>4.0899999999999999E-3</v>
      </c>
      <c r="AA40">
        <v>6.8900000000000003E-3</v>
      </c>
      <c r="AB40">
        <v>7.1000000000000004E-3</v>
      </c>
      <c r="AC40">
        <v>7.3800000000000003E-3</v>
      </c>
      <c r="AD40">
        <v>5.7400000000000003E-3</v>
      </c>
      <c r="AE40">
        <v>6.5799999999999999E-3</v>
      </c>
      <c r="AF40">
        <v>6.7000000000000002E-3</v>
      </c>
      <c r="AG40">
        <v>6.3699999999999998E-3</v>
      </c>
      <c r="AH40">
        <v>6.3E-3</v>
      </c>
      <c r="AI40">
        <v>7.1300000000000001E-3</v>
      </c>
      <c r="AJ40">
        <v>5.4799999999999996E-3</v>
      </c>
      <c r="AK40">
        <v>6.28E-3</v>
      </c>
      <c r="AL40">
        <v>8.1700000000000002E-3</v>
      </c>
      <c r="AM40">
        <v>6.1999999999999998E-3</v>
      </c>
      <c r="AN40">
        <v>7.0000000000000001E-3</v>
      </c>
      <c r="AO40">
        <v>1.277E-2</v>
      </c>
      <c r="AP40">
        <v>7.1599999999999997E-3</v>
      </c>
      <c r="AQ40">
        <v>8.5199999999999998E-3</v>
      </c>
      <c r="AR40">
        <v>7.45E-3</v>
      </c>
      <c r="AS40">
        <v>7.8100000000000001E-3</v>
      </c>
      <c r="AT40">
        <v>6.1199999999999996E-3</v>
      </c>
      <c r="AU40">
        <v>6.79E-3</v>
      </c>
      <c r="AV40">
        <v>7.2899999999999996E-3</v>
      </c>
      <c r="AW40">
        <v>7.0400000000000003E-3</v>
      </c>
      <c r="AX40">
        <v>6.8399999999999997E-3</v>
      </c>
      <c r="AY40">
        <v>6.5500000000000003E-3</v>
      </c>
      <c r="AZ40">
        <v>6.0299999999999998E-3</v>
      </c>
      <c r="BA40">
        <v>7.26E-3</v>
      </c>
      <c r="BB40">
        <v>6.9800000000000001E-3</v>
      </c>
      <c r="BC40">
        <v>7.5900000000000004E-3</v>
      </c>
      <c r="BD40">
        <v>8.0099999999999998E-3</v>
      </c>
      <c r="BE40">
        <v>9.5200000000000007E-3</v>
      </c>
      <c r="BF40">
        <v>1.076E-2</v>
      </c>
      <c r="BG40">
        <v>7.1700000000000002E-3</v>
      </c>
      <c r="BH40">
        <v>7.3299999999999997E-3</v>
      </c>
      <c r="BI40">
        <v>1.0880000000000001E-2</v>
      </c>
      <c r="BJ40">
        <v>7.4700000000000001E-3</v>
      </c>
      <c r="BK40">
        <v>7.9399999999999991E-3</v>
      </c>
      <c r="BL40">
        <v>8.0599999999999995E-3</v>
      </c>
      <c r="BM40">
        <v>7.6099999999999996E-3</v>
      </c>
      <c r="BN40">
        <v>6.0099999999999997E-3</v>
      </c>
      <c r="BO40">
        <v>8.8000000000000005E-3</v>
      </c>
      <c r="BP40">
        <v>6.9699999999999996E-3</v>
      </c>
      <c r="BR40">
        <v>6.2199999999999998E-3</v>
      </c>
      <c r="BS40">
        <v>1.349E-2</v>
      </c>
      <c r="BT40">
        <v>8.5599999999999999E-3</v>
      </c>
      <c r="BU40">
        <v>9.5399999999999999E-3</v>
      </c>
      <c r="BV40">
        <v>9.6600000000000002E-3</v>
      </c>
      <c r="BW40">
        <v>9.2499999999999995E-3</v>
      </c>
      <c r="BX40">
        <v>8.9800000000000001E-3</v>
      </c>
      <c r="BY40">
        <v>9.2200000000000008E-3</v>
      </c>
      <c r="BZ40">
        <v>8.2799999999999992E-3</v>
      </c>
      <c r="CA40">
        <v>8.4100000000000008E-3</v>
      </c>
      <c r="CC40">
        <v>7.3099999999999997E-3</v>
      </c>
      <c r="CD40">
        <v>6.0699999999999999E-3</v>
      </c>
      <c r="CE40">
        <v>5.3299999999999997E-3</v>
      </c>
      <c r="CF40">
        <v>5.0200000000000002E-3</v>
      </c>
      <c r="CG40">
        <v>4.8300000000000001E-3</v>
      </c>
      <c r="CH40">
        <v>4.7699999999999999E-3</v>
      </c>
      <c r="CI40">
        <v>4.7499999999999999E-3</v>
      </c>
      <c r="CJ40">
        <v>4.7800000000000004E-3</v>
      </c>
      <c r="CK40">
        <v>5.4999999999999997E-3</v>
      </c>
      <c r="CL40">
        <v>5.4599999999999996E-3</v>
      </c>
      <c r="CM40">
        <v>6.0899999999999999E-3</v>
      </c>
      <c r="CN40">
        <v>6.6E-3</v>
      </c>
      <c r="CO40">
        <v>6.2700000000000004E-3</v>
      </c>
      <c r="CP40">
        <v>6.79E-3</v>
      </c>
      <c r="CQ40">
        <v>5.4099999999999999E-3</v>
      </c>
      <c r="CR40">
        <v>6.1999999999999998E-3</v>
      </c>
      <c r="CS40">
        <v>6.8300000000000001E-3</v>
      </c>
      <c r="CT40">
        <v>7.2300000000000003E-3</v>
      </c>
      <c r="CU40">
        <v>5.7099999999999998E-3</v>
      </c>
      <c r="CV40">
        <v>5.4400000000000004E-3</v>
      </c>
      <c r="CW40">
        <v>5.9699999999999996E-3</v>
      </c>
      <c r="CX40">
        <v>5.7999999999999996E-3</v>
      </c>
      <c r="CY40">
        <v>5.6299999999999996E-3</v>
      </c>
      <c r="CZ40">
        <v>5.0200000000000002E-3</v>
      </c>
      <c r="DA40">
        <v>5.1900000000000002E-3</v>
      </c>
      <c r="DC40">
        <v>5.0200000000000002E-3</v>
      </c>
      <c r="DD40">
        <v>4.9300000000000004E-3</v>
      </c>
      <c r="DE40">
        <v>4.8399999999999997E-3</v>
      </c>
      <c r="DF40">
        <v>8.2699999999999996E-3</v>
      </c>
      <c r="DG40">
        <v>5.3200000000000001E-3</v>
      </c>
      <c r="DH40">
        <v>7.1799999999999998E-3</v>
      </c>
      <c r="DI40">
        <v>6.9499999999999996E-3</v>
      </c>
      <c r="DJ40">
        <v>7.0000000000000001E-3</v>
      </c>
      <c r="DK40">
        <v>6.9499999999999996E-3</v>
      </c>
      <c r="DL40">
        <v>6.9699999999999996E-3</v>
      </c>
      <c r="DM40">
        <v>5.9199999999999999E-3</v>
      </c>
      <c r="DN40">
        <v>6.3200000000000001E-3</v>
      </c>
      <c r="DO40">
        <v>6.0899999999999999E-3</v>
      </c>
      <c r="DP40">
        <v>8.8599999999999998E-3</v>
      </c>
      <c r="DQ40">
        <v>8.6899999999999998E-3</v>
      </c>
      <c r="DR40">
        <v>6.6499999999999997E-3</v>
      </c>
      <c r="DS40">
        <v>7.2700000000000004E-3</v>
      </c>
      <c r="DT40">
        <v>6.8799999999999998E-3</v>
      </c>
      <c r="DU40">
        <v>6.7000000000000002E-3</v>
      </c>
      <c r="DV40">
        <v>9.1699999999999993E-3</v>
      </c>
      <c r="DW40">
        <v>7.2700000000000004E-3</v>
      </c>
      <c r="DX40">
        <v>7.1000000000000004E-3</v>
      </c>
      <c r="DY40">
        <v>9.9500000000000005E-3</v>
      </c>
      <c r="EA40">
        <v>5.7499999999999999E-3</v>
      </c>
      <c r="EB40">
        <v>5.6800000000000002E-3</v>
      </c>
      <c r="EC40">
        <v>5.1999999999999998E-3</v>
      </c>
      <c r="EF40">
        <v>2.2030000000000001E-2</v>
      </c>
      <c r="EH40">
        <v>2.3619999999999999E-2</v>
      </c>
      <c r="EI40">
        <v>6.4000000000000003E-3</v>
      </c>
      <c r="EJ40">
        <v>5.3600000000000002E-3</v>
      </c>
      <c r="EK40">
        <v>5.9199999999999999E-3</v>
      </c>
      <c r="EL40">
        <v>6.4099999999999999E-3</v>
      </c>
      <c r="EM40">
        <v>6.77E-3</v>
      </c>
      <c r="EN40">
        <v>6.9899999999999997E-3</v>
      </c>
      <c r="EO40">
        <v>7.0699999999999999E-3</v>
      </c>
      <c r="EP40">
        <v>7.3899999999999999E-3</v>
      </c>
      <c r="EQ40">
        <v>7.4700000000000001E-3</v>
      </c>
      <c r="ER40">
        <v>6.5300000000000002E-3</v>
      </c>
      <c r="ES40">
        <v>6.2399999999999999E-3</v>
      </c>
      <c r="EU40">
        <v>1.073E-2</v>
      </c>
      <c r="EV40">
        <v>9.9500000000000005E-3</v>
      </c>
      <c r="EW40">
        <v>9.3299999999999998E-3</v>
      </c>
      <c r="EX40">
        <v>9.6200000000000001E-3</v>
      </c>
      <c r="EY40">
        <v>6.7799999999999996E-3</v>
      </c>
      <c r="EZ40">
        <v>7.11E-3</v>
      </c>
      <c r="FA40">
        <v>6.7799999999999996E-3</v>
      </c>
      <c r="FB40">
        <v>7.2899999999999996E-3</v>
      </c>
      <c r="FC40">
        <v>6.3299999999999997E-3</v>
      </c>
      <c r="FD40">
        <v>6.1399999999999996E-3</v>
      </c>
      <c r="FE40">
        <v>7.1900000000000002E-3</v>
      </c>
      <c r="FF40">
        <v>4.5100000000000001E-3</v>
      </c>
      <c r="FG40">
        <v>8.7600000000000004E-3</v>
      </c>
      <c r="FH40">
        <v>9.2899999999999996E-3</v>
      </c>
      <c r="FI40">
        <v>8.7799999999999996E-3</v>
      </c>
      <c r="FK40">
        <v>8.0400000000000003E-3</v>
      </c>
      <c r="FL40">
        <v>5.3899999999999998E-3</v>
      </c>
      <c r="FN40">
        <v>7.2500000000000004E-3</v>
      </c>
      <c r="FO40">
        <v>6.3099999999999996E-3</v>
      </c>
      <c r="FP40">
        <v>5.8199999999999997E-3</v>
      </c>
      <c r="FQ40">
        <v>7.9299999999999995E-3</v>
      </c>
      <c r="FR40">
        <v>8.1899999999999994E-3</v>
      </c>
      <c r="FS40">
        <v>8.5500000000000003E-3</v>
      </c>
      <c r="FT40">
        <v>7.9600000000000001E-3</v>
      </c>
      <c r="FU40">
        <v>7.6600000000000001E-3</v>
      </c>
      <c r="FV40">
        <v>7.5199999999999998E-3</v>
      </c>
      <c r="FW40">
        <v>7.3899999999999999E-3</v>
      </c>
      <c r="FX40">
        <v>7.6299999999999996E-3</v>
      </c>
      <c r="FY40">
        <v>8.1399999999999997E-3</v>
      </c>
      <c r="FZ40">
        <v>7.7200000000000003E-3</v>
      </c>
      <c r="GA40">
        <v>8.2299999999999995E-3</v>
      </c>
      <c r="GB40">
        <v>7.7999999999999996E-3</v>
      </c>
      <c r="GC40">
        <v>8.3700000000000007E-3</v>
      </c>
      <c r="GD40">
        <v>7.77E-3</v>
      </c>
      <c r="GE40">
        <v>8.3999999999999995E-3</v>
      </c>
      <c r="GF40">
        <v>7.1900000000000002E-3</v>
      </c>
      <c r="GG40">
        <v>7.2100000000000003E-3</v>
      </c>
      <c r="GH40">
        <v>7.3800000000000003E-3</v>
      </c>
      <c r="GI40">
        <v>8.09E-3</v>
      </c>
      <c r="GJ40">
        <v>8.2400000000000008E-3</v>
      </c>
      <c r="GK40">
        <v>8.3999999999999995E-3</v>
      </c>
      <c r="GM40">
        <v>7.6600000000000001E-3</v>
      </c>
      <c r="GO40">
        <v>7.5599999999999999E-3</v>
      </c>
      <c r="GP40">
        <v>6.9699999999999996E-3</v>
      </c>
      <c r="GQ40">
        <v>7.3699999999999998E-3</v>
      </c>
      <c r="GR40">
        <v>8.2299999999999995E-3</v>
      </c>
      <c r="GS40">
        <v>6.6699999999999997E-3</v>
      </c>
      <c r="GT40">
        <v>7.2700000000000004E-3</v>
      </c>
      <c r="GU40">
        <v>5.2599999999999999E-3</v>
      </c>
      <c r="GW40">
        <v>8.8199999999999997E-3</v>
      </c>
      <c r="GX40">
        <v>8.1499999999999993E-3</v>
      </c>
      <c r="GY40">
        <v>8.8299999999999993E-3</v>
      </c>
      <c r="GZ40">
        <v>7.7000000000000002E-3</v>
      </c>
      <c r="HB40">
        <v>4.64E-3</v>
      </c>
      <c r="HC40">
        <v>6.13E-3</v>
      </c>
      <c r="HE40">
        <v>6.1900000000000002E-3</v>
      </c>
      <c r="HF40">
        <v>6.4599999999999996E-3</v>
      </c>
      <c r="HG40">
        <v>8.8199999999999997E-3</v>
      </c>
      <c r="HH40">
        <v>8.94E-3</v>
      </c>
      <c r="HI40">
        <v>9.3100000000000006E-3</v>
      </c>
      <c r="HJ40">
        <v>4.6600000000000001E-3</v>
      </c>
      <c r="HK40">
        <v>7.62E-3</v>
      </c>
      <c r="HL40">
        <v>7.5399999999999998E-3</v>
      </c>
      <c r="HM40">
        <v>7.45E-3</v>
      </c>
      <c r="HN40">
        <v>7.1999999999999998E-3</v>
      </c>
      <c r="HO40">
        <v>6.9899999999999997E-3</v>
      </c>
      <c r="HP40">
        <v>5.3099999999999996E-3</v>
      </c>
      <c r="HQ40">
        <v>7.11E-3</v>
      </c>
      <c r="HR40">
        <v>8.6899999999999998E-3</v>
      </c>
      <c r="HS40">
        <v>1.1310000000000001E-2</v>
      </c>
      <c r="HT40">
        <v>6.5399999999999998E-3</v>
      </c>
      <c r="HU40">
        <v>5.5799999999999999E-3</v>
      </c>
      <c r="HV40">
        <v>7.5399999999999998E-3</v>
      </c>
      <c r="HX40">
        <v>8.1799999999999998E-3</v>
      </c>
      <c r="HY40">
        <v>6.6100000000000004E-3</v>
      </c>
      <c r="HZ40">
        <v>4.2900000000000004E-3</v>
      </c>
      <c r="IA40">
        <v>7.9500000000000005E-3</v>
      </c>
      <c r="IB40">
        <v>9.5399999999999999E-3</v>
      </c>
      <c r="IC40">
        <v>7.92E-3</v>
      </c>
      <c r="ID40">
        <v>5.9699999999999996E-3</v>
      </c>
      <c r="IE40">
        <v>5.4900000000000001E-3</v>
      </c>
      <c r="IF40">
        <v>5.5900000000000004E-3</v>
      </c>
      <c r="IG40">
        <v>6.6E-3</v>
      </c>
      <c r="IH40">
        <v>7.1700000000000002E-3</v>
      </c>
      <c r="II40">
        <v>5.1599999999999997E-3</v>
      </c>
      <c r="IJ40">
        <v>6.2399999999999999E-3</v>
      </c>
      <c r="IK40">
        <v>6.8999999999999999E-3</v>
      </c>
      <c r="IL40">
        <v>7.62E-3</v>
      </c>
      <c r="IM40">
        <v>8.4200000000000004E-3</v>
      </c>
      <c r="IN40">
        <v>9.1400000000000006E-3</v>
      </c>
      <c r="IO40">
        <v>1.0070000000000001E-2</v>
      </c>
      <c r="IP40">
        <v>1.171E-2</v>
      </c>
      <c r="IQ40">
        <v>1.304E-2</v>
      </c>
      <c r="IR40">
        <v>1.427E-2</v>
      </c>
      <c r="IS40">
        <v>4.5599999999999998E-3</v>
      </c>
      <c r="IT40">
        <v>5.1200000000000004E-3</v>
      </c>
      <c r="IU40">
        <v>5.7200000000000003E-3</v>
      </c>
      <c r="IV40">
        <v>4.8599999999999997E-3</v>
      </c>
      <c r="IW40">
        <v>5.6600000000000001E-3</v>
      </c>
      <c r="IX40">
        <v>3.7499999999999999E-3</v>
      </c>
      <c r="IY40">
        <v>4.5999999999999999E-3</v>
      </c>
      <c r="IZ40">
        <v>4.3400000000000001E-3</v>
      </c>
      <c r="JA40">
        <v>4.8799999999999998E-3</v>
      </c>
      <c r="JB40">
        <v>5.0699999999999999E-3</v>
      </c>
      <c r="JC40">
        <v>5.47E-3</v>
      </c>
      <c r="JD40">
        <v>5.8500000000000002E-3</v>
      </c>
      <c r="JE40">
        <v>4.8700000000000002E-3</v>
      </c>
      <c r="JF40">
        <v>6.0200000000000002E-3</v>
      </c>
      <c r="JG40">
        <v>8.4799999999999997E-3</v>
      </c>
      <c r="JH40">
        <v>1.174E-2</v>
      </c>
      <c r="JI40">
        <v>7.4700000000000001E-3</v>
      </c>
      <c r="JJ40">
        <v>6.3899999999999998E-3</v>
      </c>
      <c r="JK40">
        <v>9.0200000000000002E-3</v>
      </c>
      <c r="JL40">
        <v>9.1999999999999998E-3</v>
      </c>
      <c r="JM40">
        <v>6.4000000000000003E-3</v>
      </c>
      <c r="JN40">
        <v>8.5800000000000008E-3</v>
      </c>
      <c r="JO40">
        <v>1.7930000000000001E-2</v>
      </c>
      <c r="JP40">
        <v>6.3E-3</v>
      </c>
      <c r="JQ40">
        <v>5.8599999999999998E-3</v>
      </c>
      <c r="JR40">
        <v>6.3200000000000001E-3</v>
      </c>
      <c r="JS40">
        <v>5.7200000000000003E-3</v>
      </c>
      <c r="JT40">
        <v>6.6299999999999996E-3</v>
      </c>
      <c r="JV40">
        <v>6.0200000000000002E-3</v>
      </c>
      <c r="JW40">
        <v>6.7400000000000003E-3</v>
      </c>
      <c r="JX40">
        <v>6.1799999999999997E-3</v>
      </c>
      <c r="JY40">
        <v>7.3200000000000001E-3</v>
      </c>
      <c r="JZ40">
        <v>7.79E-3</v>
      </c>
      <c r="KA40">
        <v>7.62E-3</v>
      </c>
      <c r="KB40">
        <v>5.96E-3</v>
      </c>
      <c r="KC40">
        <v>6.2199999999999998E-3</v>
      </c>
      <c r="KE40">
        <v>8.2500000000000004E-3</v>
      </c>
      <c r="KF40">
        <v>1.11E-2</v>
      </c>
      <c r="KG40">
        <v>1.2070000000000001E-2</v>
      </c>
      <c r="KH40">
        <v>1.0659999999999999E-2</v>
      </c>
      <c r="KI40">
        <v>8.3899999999999999E-3</v>
      </c>
      <c r="KJ40">
        <v>8.4600000000000005E-3</v>
      </c>
      <c r="KK40">
        <v>8.4499999999999992E-3</v>
      </c>
      <c r="KL40">
        <v>8.7100000000000007E-3</v>
      </c>
      <c r="KM40">
        <v>8.8199999999999997E-3</v>
      </c>
      <c r="KN40">
        <v>5.3699999999999998E-3</v>
      </c>
      <c r="KO40">
        <v>5.47E-3</v>
      </c>
      <c r="KP40">
        <v>7.9799999999999992E-3</v>
      </c>
      <c r="KQ40">
        <v>8.1700000000000002E-3</v>
      </c>
      <c r="KR40">
        <v>8.7100000000000007E-3</v>
      </c>
      <c r="KS40">
        <v>6.5700000000000003E-3</v>
      </c>
      <c r="KT40">
        <v>6.9699999999999996E-3</v>
      </c>
      <c r="KU40">
        <v>6.0400000000000002E-3</v>
      </c>
      <c r="KV40">
        <v>4.62E-3</v>
      </c>
      <c r="KW40">
        <v>5.1900000000000002E-3</v>
      </c>
      <c r="KX40">
        <v>1.2239999999999999E-2</v>
      </c>
      <c r="KY40">
        <v>6.3099999999999996E-3</v>
      </c>
      <c r="LA40">
        <v>6.6400000000000001E-3</v>
      </c>
      <c r="LB40">
        <v>6.3299999999999997E-3</v>
      </c>
      <c r="LC40">
        <v>6.4400000000000004E-3</v>
      </c>
      <c r="LD40">
        <v>6.4400000000000004E-3</v>
      </c>
      <c r="LE40">
        <v>1.0019999999999999E-2</v>
      </c>
      <c r="LF40">
        <v>9.4500000000000001E-3</v>
      </c>
      <c r="LG40">
        <v>8.3999999999999995E-3</v>
      </c>
      <c r="LI40">
        <v>9.92E-3</v>
      </c>
      <c r="LJ40">
        <v>1.0290000000000001E-2</v>
      </c>
      <c r="LK40">
        <v>1.043E-2</v>
      </c>
      <c r="LL40">
        <v>7.28E-3</v>
      </c>
      <c r="LN40">
        <v>7.5599999999999999E-3</v>
      </c>
      <c r="LO40">
        <v>7.77E-3</v>
      </c>
      <c r="LP40">
        <v>6.5500000000000003E-3</v>
      </c>
      <c r="LR40">
        <v>9.9000000000000008E-3</v>
      </c>
      <c r="LS40">
        <v>1.1050000000000001E-2</v>
      </c>
      <c r="LT40">
        <v>6.5199999999999998E-3</v>
      </c>
      <c r="LU40">
        <v>9.3399999999999993E-3</v>
      </c>
      <c r="LV40">
        <v>1.076E-2</v>
      </c>
      <c r="LW40">
        <v>4.7600000000000003E-3</v>
      </c>
      <c r="LX40">
        <v>5.5999999999999999E-3</v>
      </c>
      <c r="LY40">
        <v>7.7299999999999999E-3</v>
      </c>
      <c r="LZ40">
        <v>7.7999999999999996E-3</v>
      </c>
      <c r="MA40">
        <v>7.7999999999999996E-3</v>
      </c>
      <c r="MB40">
        <v>4.1599999999999996E-3</v>
      </c>
      <c r="MC40">
        <v>9.1400000000000006E-3</v>
      </c>
      <c r="MD40">
        <v>1.0489999999999999E-2</v>
      </c>
      <c r="ME40">
        <v>1.354E-2</v>
      </c>
      <c r="MF40">
        <v>1.585E-2</v>
      </c>
      <c r="MG40">
        <v>1.4829999999999999E-2</v>
      </c>
      <c r="MH40">
        <v>6.5100000000000002E-3</v>
      </c>
      <c r="MI40">
        <v>7.4099999999999999E-3</v>
      </c>
      <c r="MJ40">
        <v>7.43E-3</v>
      </c>
      <c r="MK40">
        <v>7.1000000000000004E-3</v>
      </c>
      <c r="ML40">
        <v>8.7200000000000003E-3</v>
      </c>
      <c r="MM40">
        <v>7.6600000000000001E-3</v>
      </c>
      <c r="MN40">
        <v>5.7099999999999998E-3</v>
      </c>
      <c r="MO40">
        <v>6.1900000000000002E-3</v>
      </c>
      <c r="MP40">
        <v>6.6899999999999998E-3</v>
      </c>
      <c r="MQ40">
        <v>4.9399999999999999E-3</v>
      </c>
      <c r="MR40">
        <v>6.3400000000000001E-3</v>
      </c>
      <c r="MS40">
        <v>6.8199999999999997E-3</v>
      </c>
      <c r="MT40">
        <v>7.8799999999999999E-3</v>
      </c>
      <c r="MU40">
        <v>5.0299999999999997E-3</v>
      </c>
      <c r="MV40">
        <v>5.7800000000000004E-3</v>
      </c>
      <c r="MW40">
        <v>6.1199999999999996E-3</v>
      </c>
      <c r="MX40">
        <v>6.3E-3</v>
      </c>
      <c r="MY40">
        <v>6.8399999999999997E-3</v>
      </c>
      <c r="MZ40">
        <v>7.6299999999999996E-3</v>
      </c>
      <c r="NA40">
        <v>6.9300000000000004E-3</v>
      </c>
      <c r="NB40">
        <v>6.8700000000000002E-3</v>
      </c>
      <c r="NC40">
        <v>4.4999999999999997E-3</v>
      </c>
      <c r="ND40">
        <v>1.3259999999999999E-2</v>
      </c>
      <c r="NE40">
        <v>7.8200000000000006E-3</v>
      </c>
      <c r="NF40">
        <v>8.2199999999999999E-3</v>
      </c>
      <c r="NG40">
        <v>5.2300000000000003E-3</v>
      </c>
      <c r="NI40">
        <v>4.7200000000000002E-3</v>
      </c>
      <c r="NJ40">
        <v>5.1900000000000002E-3</v>
      </c>
      <c r="NK40">
        <v>4.6699999999999997E-3</v>
      </c>
      <c r="NL40">
        <v>4.9399999999999999E-3</v>
      </c>
      <c r="NM40">
        <v>5.2100000000000002E-3</v>
      </c>
      <c r="NN40">
        <v>5.4900000000000001E-3</v>
      </c>
      <c r="NO40">
        <v>5.6899999999999997E-3</v>
      </c>
      <c r="NP40">
        <v>4.7699999999999999E-3</v>
      </c>
      <c r="NQ40">
        <v>4.9500000000000004E-3</v>
      </c>
      <c r="NR40">
        <v>5.0299999999999997E-3</v>
      </c>
      <c r="NS40">
        <v>5.2399999999999999E-3</v>
      </c>
      <c r="NT40">
        <v>5.7099999999999998E-3</v>
      </c>
      <c r="NU40">
        <v>4.7099999999999998E-3</v>
      </c>
      <c r="NV40">
        <v>4.9699999999999996E-3</v>
      </c>
      <c r="NW40">
        <v>5.0200000000000002E-3</v>
      </c>
      <c r="NY40">
        <v>5.3E-3</v>
      </c>
      <c r="OA40">
        <v>5.7600000000000004E-3</v>
      </c>
      <c r="OB40">
        <v>4.7400000000000003E-3</v>
      </c>
      <c r="OC40">
        <v>5.0099999999999997E-3</v>
      </c>
      <c r="OD40">
        <v>5.1500000000000001E-3</v>
      </c>
      <c r="OE40">
        <v>5.1500000000000001E-3</v>
      </c>
      <c r="OF40">
        <v>7.2100000000000003E-3</v>
      </c>
      <c r="OG40">
        <v>5.3400000000000001E-3</v>
      </c>
      <c r="OH40">
        <v>5.62E-3</v>
      </c>
      <c r="OI40">
        <v>5.8399999999999997E-3</v>
      </c>
      <c r="OJ40">
        <v>6.0600000000000003E-3</v>
      </c>
      <c r="OK40">
        <v>6.2300000000000003E-3</v>
      </c>
      <c r="OL40">
        <v>6.4200000000000004E-3</v>
      </c>
      <c r="OM40">
        <v>4.9399999999999999E-3</v>
      </c>
      <c r="ON40">
        <v>5.1799999999999997E-3</v>
      </c>
      <c r="OO40">
        <v>5.4200000000000003E-3</v>
      </c>
      <c r="OP40">
        <v>5.8900000000000003E-3</v>
      </c>
      <c r="OQ40">
        <v>6.1000000000000004E-3</v>
      </c>
      <c r="OR40">
        <v>6.3600000000000002E-3</v>
      </c>
      <c r="OS40">
        <v>7.0899999999999999E-3</v>
      </c>
      <c r="OT40">
        <v>6.6499999999999997E-3</v>
      </c>
      <c r="OU40">
        <v>5.4099999999999999E-3</v>
      </c>
      <c r="OV40">
        <v>6.13E-3</v>
      </c>
      <c r="OW40">
        <v>3.31E-3</v>
      </c>
      <c r="OX40">
        <v>3.2499999999999999E-3</v>
      </c>
      <c r="OY40">
        <v>4.1700000000000001E-3</v>
      </c>
      <c r="OZ40">
        <v>4.7800000000000004E-3</v>
      </c>
      <c r="PA40">
        <v>9.5399999999999999E-3</v>
      </c>
      <c r="PB40">
        <v>1.034E-2</v>
      </c>
      <c r="PC40">
        <v>8.26E-3</v>
      </c>
      <c r="PD40">
        <v>7.1500000000000001E-3</v>
      </c>
      <c r="PE40">
        <v>6.6400000000000001E-3</v>
      </c>
      <c r="PF40">
        <v>6.3099999999999996E-3</v>
      </c>
      <c r="PH40">
        <v>5.8799999999999998E-3</v>
      </c>
      <c r="PI40">
        <v>7.5399999999999998E-3</v>
      </c>
      <c r="PJ40">
        <v>7.0099999999999997E-3</v>
      </c>
      <c r="PK40">
        <v>6.4400000000000004E-3</v>
      </c>
      <c r="PL40">
        <v>6.1000000000000004E-3</v>
      </c>
      <c r="PM40">
        <v>5.5300000000000002E-3</v>
      </c>
      <c r="PN40">
        <v>5.13E-3</v>
      </c>
      <c r="PO40">
        <v>5.2500000000000003E-3</v>
      </c>
      <c r="PP40">
        <v>5.47E-3</v>
      </c>
      <c r="PR40">
        <v>4.9399999999999999E-3</v>
      </c>
      <c r="PS40">
        <v>5.8700000000000002E-3</v>
      </c>
      <c r="PT40">
        <v>5.7600000000000004E-3</v>
      </c>
      <c r="PU40">
        <v>4.5700000000000003E-3</v>
      </c>
      <c r="PV40">
        <v>4.64E-3</v>
      </c>
      <c r="PW40">
        <v>4.8799999999999998E-3</v>
      </c>
      <c r="PX40">
        <v>5.4000000000000003E-3</v>
      </c>
      <c r="PY40">
        <v>6.0800000000000003E-3</v>
      </c>
      <c r="QA40">
        <v>4.0400000000000002E-3</v>
      </c>
      <c r="QB40">
        <v>4.3600000000000002E-3</v>
      </c>
      <c r="QC40">
        <v>5.8100000000000001E-3</v>
      </c>
      <c r="QD40">
        <v>5.13E-3</v>
      </c>
      <c r="QE40">
        <v>4.6499999999999996E-3</v>
      </c>
      <c r="QF40">
        <v>4.7299999999999998E-3</v>
      </c>
      <c r="QG40">
        <v>6.6499999999999997E-3</v>
      </c>
      <c r="QH40">
        <v>4.6600000000000001E-3</v>
      </c>
      <c r="QI40">
        <v>5.1900000000000002E-3</v>
      </c>
      <c r="QJ40">
        <v>5.0600000000000003E-3</v>
      </c>
      <c r="QK40">
        <v>4.9699999999999996E-3</v>
      </c>
      <c r="QL40">
        <v>4.79E-3</v>
      </c>
      <c r="QM40">
        <v>5.4400000000000004E-3</v>
      </c>
      <c r="QN40">
        <v>8.0800000000000004E-3</v>
      </c>
      <c r="QO40">
        <v>6.28E-3</v>
      </c>
      <c r="QP40">
        <v>7.0499999999999998E-3</v>
      </c>
      <c r="QQ40">
        <v>7.6299999999999996E-3</v>
      </c>
      <c r="QR40">
        <v>8.5800000000000008E-3</v>
      </c>
      <c r="QT40">
        <v>6.3800000000000003E-3</v>
      </c>
      <c r="QV40">
        <v>6.5199999999999998E-3</v>
      </c>
      <c r="QW40">
        <v>6.3099999999999996E-3</v>
      </c>
      <c r="QX40">
        <v>6.0099999999999997E-3</v>
      </c>
      <c r="QY40">
        <v>5.6699999999999997E-3</v>
      </c>
      <c r="QZ40">
        <v>6.11E-3</v>
      </c>
      <c r="RA40">
        <v>7.1000000000000004E-3</v>
      </c>
      <c r="RB40">
        <v>8.6400000000000001E-3</v>
      </c>
      <c r="RC40">
        <v>7.0699999999999999E-3</v>
      </c>
      <c r="RD40">
        <v>1.189E-2</v>
      </c>
      <c r="RE40">
        <v>9.0699999999999999E-3</v>
      </c>
      <c r="RF40">
        <v>8.1200000000000005E-3</v>
      </c>
      <c r="RG40">
        <v>5.7000000000000002E-3</v>
      </c>
      <c r="RH40">
        <v>5.5300000000000002E-3</v>
      </c>
      <c r="RI40">
        <v>8.4200000000000004E-3</v>
      </c>
      <c r="RJ40">
        <v>8.1399999999999997E-3</v>
      </c>
      <c r="RK40">
        <v>7.8100000000000001E-3</v>
      </c>
      <c r="RL40">
        <v>7.2700000000000004E-3</v>
      </c>
      <c r="RM40">
        <v>4.7800000000000004E-3</v>
      </c>
      <c r="RN40">
        <v>4.8500000000000001E-3</v>
      </c>
      <c r="RO40">
        <v>4.8500000000000001E-3</v>
      </c>
      <c r="RQ40">
        <v>4.8700000000000002E-3</v>
      </c>
      <c r="RR40">
        <v>4.6100000000000004E-3</v>
      </c>
      <c r="RS40">
        <v>4.7400000000000003E-3</v>
      </c>
      <c r="RT40">
        <v>3.98E-3</v>
      </c>
      <c r="RU40">
        <v>4.81E-3</v>
      </c>
      <c r="RV40">
        <v>5.3800000000000002E-3</v>
      </c>
      <c r="RW40">
        <v>5.9899999999999997E-3</v>
      </c>
      <c r="RY40">
        <v>3.7599999999999999E-3</v>
      </c>
      <c r="RZ40">
        <v>5.5999999999999999E-3</v>
      </c>
      <c r="SA40">
        <v>8.3700000000000007E-3</v>
      </c>
      <c r="SB40">
        <v>7.7099999999999998E-3</v>
      </c>
      <c r="SC40">
        <v>6.9199999999999999E-3</v>
      </c>
      <c r="SD40">
        <v>7.2199999999999999E-3</v>
      </c>
      <c r="SE40">
        <v>6.5599999999999999E-3</v>
      </c>
      <c r="SF40">
        <v>7.4999999999999997E-3</v>
      </c>
      <c r="SG40">
        <v>9.3900000000000008E-3</v>
      </c>
      <c r="SH40">
        <v>1.1809999999999999E-2</v>
      </c>
      <c r="SI40">
        <v>6.5500000000000003E-3</v>
      </c>
      <c r="SJ40">
        <v>5.2199999999999998E-3</v>
      </c>
      <c r="SK40">
        <v>4.6800000000000001E-3</v>
      </c>
      <c r="SL40">
        <v>4.9899999999999996E-3</v>
      </c>
      <c r="SM40">
        <v>4.2500000000000003E-3</v>
      </c>
      <c r="SO40">
        <v>4.2700000000000004E-3</v>
      </c>
      <c r="SP40">
        <v>6.1599999999999997E-3</v>
      </c>
      <c r="SQ40">
        <v>5.3699999999999998E-3</v>
      </c>
      <c r="SR40">
        <v>5.6800000000000002E-3</v>
      </c>
      <c r="SS40">
        <v>4.5500000000000002E-3</v>
      </c>
      <c r="ST40">
        <v>4.6600000000000001E-3</v>
      </c>
      <c r="SU40">
        <v>4.9699999999999996E-3</v>
      </c>
      <c r="SV40">
        <v>4.6699999999999997E-3</v>
      </c>
      <c r="SW40">
        <v>5.0099999999999997E-3</v>
      </c>
      <c r="SX40">
        <v>5.9199999999999999E-3</v>
      </c>
      <c r="SZ40">
        <v>5.8100000000000001E-3</v>
      </c>
      <c r="TA40">
        <v>5.5700000000000003E-3</v>
      </c>
      <c r="TB40">
        <v>6.2300000000000003E-3</v>
      </c>
      <c r="TC40">
        <v>5.0499999999999998E-3</v>
      </c>
      <c r="TD40">
        <v>5.1700000000000001E-3</v>
      </c>
      <c r="TE40">
        <v>7.2500000000000004E-3</v>
      </c>
      <c r="TF40">
        <v>6.1999999999999998E-3</v>
      </c>
      <c r="TG40">
        <v>6.2899999999999996E-3</v>
      </c>
      <c r="TI40">
        <v>4.9699999999999996E-3</v>
      </c>
      <c r="TJ40">
        <v>6.7600000000000004E-3</v>
      </c>
      <c r="TK40">
        <v>4.6699999999999997E-3</v>
      </c>
      <c r="TL40">
        <v>4.2900000000000004E-3</v>
      </c>
      <c r="TM40">
        <v>3.9300000000000003E-3</v>
      </c>
      <c r="TN40">
        <v>5.2700000000000004E-3</v>
      </c>
      <c r="TO40">
        <v>5.1200000000000004E-3</v>
      </c>
      <c r="TP40">
        <v>4.5599999999999998E-3</v>
      </c>
      <c r="TQ40">
        <v>5.3200000000000001E-3</v>
      </c>
      <c r="TR40">
        <v>6.3E-3</v>
      </c>
      <c r="TS40">
        <v>6.5599999999999999E-3</v>
      </c>
      <c r="TT40">
        <v>6.45E-3</v>
      </c>
      <c r="TU40">
        <v>5.96E-3</v>
      </c>
      <c r="TV40">
        <v>5.1799999999999997E-3</v>
      </c>
      <c r="TW40">
        <v>4.9100000000000003E-3</v>
      </c>
      <c r="TX40">
        <v>5.0600000000000003E-3</v>
      </c>
      <c r="TZ40">
        <v>5.1599999999999997E-3</v>
      </c>
      <c r="UA40">
        <v>4.96E-3</v>
      </c>
      <c r="UB40">
        <v>4.7400000000000003E-3</v>
      </c>
      <c r="UC40">
        <v>4.79E-3</v>
      </c>
      <c r="UD40">
        <v>4.81E-3</v>
      </c>
      <c r="UE40">
        <v>4.8999999999999998E-3</v>
      </c>
      <c r="UF40">
        <v>4.3200000000000001E-3</v>
      </c>
      <c r="UG40">
        <v>4.4000000000000003E-3</v>
      </c>
      <c r="UH40">
        <v>5.5500000000000002E-3</v>
      </c>
      <c r="UI40">
        <v>4.96E-3</v>
      </c>
      <c r="UJ40">
        <v>5.1799999999999997E-3</v>
      </c>
      <c r="UL40">
        <v>5.4000000000000003E-3</v>
      </c>
      <c r="UM40">
        <v>6.0899999999999999E-3</v>
      </c>
      <c r="UN40">
        <v>4.8999999999999998E-3</v>
      </c>
      <c r="UO40">
        <v>5.13E-3</v>
      </c>
      <c r="UP40">
        <v>6.94E-3</v>
      </c>
      <c r="UQ40">
        <v>4.7600000000000003E-3</v>
      </c>
      <c r="UR40">
        <v>4.6100000000000004E-3</v>
      </c>
      <c r="US40">
        <v>5.1900000000000002E-3</v>
      </c>
      <c r="UT40">
        <v>4.7099999999999998E-3</v>
      </c>
      <c r="UU40">
        <v>4.9399999999999999E-3</v>
      </c>
      <c r="UV40">
        <v>5.1500000000000001E-3</v>
      </c>
      <c r="UW40">
        <v>6.7099999999999998E-3</v>
      </c>
      <c r="UX40">
        <v>4.81E-3</v>
      </c>
      <c r="UY40">
        <v>5.1599999999999997E-3</v>
      </c>
      <c r="UZ40">
        <v>5.8700000000000002E-3</v>
      </c>
      <c r="VA40">
        <v>7.6899999999999998E-3</v>
      </c>
      <c r="VB40">
        <v>5.64E-3</v>
      </c>
      <c r="VC40">
        <v>6.79E-3</v>
      </c>
      <c r="VD40">
        <v>0.01</v>
      </c>
      <c r="VE40">
        <v>6.6800000000000002E-3</v>
      </c>
      <c r="VF40">
        <v>9.6399999999999993E-3</v>
      </c>
      <c r="VG40">
        <v>9.2800000000000001E-3</v>
      </c>
      <c r="VH40">
        <v>5.9800000000000001E-3</v>
      </c>
      <c r="VI40">
        <v>6.1399999999999996E-3</v>
      </c>
    </row>
    <row r="41" spans="1:581" x14ac:dyDescent="0.25">
      <c r="A41">
        <v>950000</v>
      </c>
      <c r="B41">
        <v>4.1000000000000003E-3</v>
      </c>
      <c r="C41">
        <v>4.0899999999999999E-3</v>
      </c>
      <c r="D41">
        <v>3.9500000000000004E-3</v>
      </c>
      <c r="E41">
        <v>5.2700000000000004E-3</v>
      </c>
      <c r="F41">
        <v>5.6600000000000001E-3</v>
      </c>
      <c r="G41">
        <v>6.3299999999999997E-3</v>
      </c>
      <c r="H41">
        <v>4.7800000000000004E-3</v>
      </c>
      <c r="I41">
        <v>4.4299999999999999E-3</v>
      </c>
      <c r="J41">
        <v>3.8800000000000002E-3</v>
      </c>
      <c r="K41">
        <v>5.1399999999999996E-3</v>
      </c>
      <c r="L41">
        <v>4.8399999999999997E-3</v>
      </c>
      <c r="M41">
        <v>4.3600000000000002E-3</v>
      </c>
      <c r="N41">
        <v>3.8500000000000001E-3</v>
      </c>
      <c r="O41">
        <v>5.5300000000000002E-3</v>
      </c>
      <c r="P41">
        <v>5.4000000000000003E-3</v>
      </c>
      <c r="Q41">
        <v>5.3800000000000002E-3</v>
      </c>
      <c r="R41">
        <v>5.1999999999999998E-3</v>
      </c>
      <c r="T41">
        <v>4.4099999999999999E-3</v>
      </c>
      <c r="U41">
        <v>6.1399999999999996E-3</v>
      </c>
      <c r="V41">
        <v>4.4400000000000004E-3</v>
      </c>
      <c r="W41">
        <v>5.9899999999999997E-3</v>
      </c>
      <c r="X41">
        <v>4.3299999999999996E-3</v>
      </c>
      <c r="Y41">
        <v>5.8300000000000001E-3</v>
      </c>
      <c r="Z41">
        <v>4.0600000000000002E-3</v>
      </c>
      <c r="AA41">
        <v>6.7600000000000004E-3</v>
      </c>
      <c r="AB41">
        <v>7.0699999999999999E-3</v>
      </c>
      <c r="AC41">
        <v>7.3600000000000002E-3</v>
      </c>
      <c r="AD41">
        <v>5.7000000000000002E-3</v>
      </c>
      <c r="AE41">
        <v>6.5300000000000002E-3</v>
      </c>
      <c r="AF41">
        <v>6.6600000000000001E-3</v>
      </c>
      <c r="AG41">
        <v>6.2599999999999999E-3</v>
      </c>
      <c r="AH41">
        <v>6.1900000000000002E-3</v>
      </c>
      <c r="AI41">
        <v>6.9699999999999996E-3</v>
      </c>
      <c r="AJ41">
        <v>5.4099999999999999E-3</v>
      </c>
      <c r="AK41">
        <v>6.2300000000000003E-3</v>
      </c>
      <c r="AL41">
        <v>8.1200000000000005E-3</v>
      </c>
      <c r="AM41">
        <v>6.0499999999999998E-3</v>
      </c>
      <c r="AN41">
        <v>6.8700000000000002E-3</v>
      </c>
      <c r="AO41">
        <v>1.255E-2</v>
      </c>
      <c r="AP41">
        <v>7.0400000000000003E-3</v>
      </c>
      <c r="AQ41">
        <v>8.3199999999999993E-3</v>
      </c>
      <c r="AR41">
        <v>7.3000000000000001E-3</v>
      </c>
      <c r="AS41">
        <v>7.6600000000000001E-3</v>
      </c>
      <c r="AT41">
        <v>6.0000000000000001E-3</v>
      </c>
      <c r="AU41">
        <v>6.6899999999999998E-3</v>
      </c>
      <c r="AV41">
        <v>7.0699999999999999E-3</v>
      </c>
      <c r="AW41">
        <v>6.8999999999999999E-3</v>
      </c>
      <c r="AX41">
        <v>6.7200000000000003E-3</v>
      </c>
      <c r="AZ41">
        <v>5.9300000000000004E-3</v>
      </c>
      <c r="BA41">
        <v>7.0600000000000003E-3</v>
      </c>
      <c r="BB41">
        <v>6.9100000000000003E-3</v>
      </c>
      <c r="BC41">
        <v>7.5199999999999998E-3</v>
      </c>
      <c r="BD41">
        <v>7.9299999999999995E-3</v>
      </c>
      <c r="BE41">
        <v>9.41E-3</v>
      </c>
      <c r="BF41">
        <v>1.0670000000000001E-2</v>
      </c>
      <c r="BG41">
        <v>7.0899999999999999E-3</v>
      </c>
      <c r="BH41">
        <v>7.1900000000000002E-3</v>
      </c>
      <c r="BI41">
        <v>1.0800000000000001E-2</v>
      </c>
      <c r="BJ41">
        <v>7.4200000000000004E-3</v>
      </c>
      <c r="BK41">
        <v>7.8700000000000003E-3</v>
      </c>
      <c r="BL41">
        <v>7.9799999999999992E-3</v>
      </c>
      <c r="BM41">
        <v>7.5500000000000003E-3</v>
      </c>
      <c r="BN41">
        <v>6.0000000000000001E-3</v>
      </c>
      <c r="BO41">
        <v>8.7299999999999999E-3</v>
      </c>
      <c r="BP41">
        <v>6.96E-3</v>
      </c>
      <c r="BQ41">
        <v>6.13E-3</v>
      </c>
      <c r="BR41">
        <v>6.1500000000000001E-3</v>
      </c>
      <c r="BS41">
        <v>1.367E-2</v>
      </c>
      <c r="BT41">
        <v>8.4499999999999992E-3</v>
      </c>
      <c r="BU41">
        <v>9.4699999999999993E-3</v>
      </c>
      <c r="BV41">
        <v>9.5700000000000004E-3</v>
      </c>
      <c r="BW41">
        <v>9.1900000000000003E-3</v>
      </c>
      <c r="BX41">
        <v>8.9200000000000008E-3</v>
      </c>
      <c r="BY41">
        <v>9.1599999999999997E-3</v>
      </c>
      <c r="BZ41">
        <v>8.2199999999999999E-3</v>
      </c>
      <c r="CA41">
        <v>8.3400000000000002E-3</v>
      </c>
      <c r="CB41">
        <v>6.6800000000000002E-3</v>
      </c>
      <c r="CC41">
        <v>7.26E-3</v>
      </c>
      <c r="CD41">
        <v>6.0200000000000002E-3</v>
      </c>
      <c r="CE41">
        <v>5.3400000000000001E-3</v>
      </c>
      <c r="CF41">
        <v>5.0099999999999997E-3</v>
      </c>
      <c r="CG41">
        <v>4.79E-3</v>
      </c>
      <c r="CH41">
        <v>4.7099999999999998E-3</v>
      </c>
      <c r="CI41">
        <v>4.7000000000000002E-3</v>
      </c>
      <c r="CK41">
        <v>5.4200000000000003E-3</v>
      </c>
      <c r="CL41">
        <v>5.4599999999999996E-3</v>
      </c>
      <c r="CM41">
        <v>6.0499999999999998E-3</v>
      </c>
      <c r="CN41">
        <v>6.5500000000000003E-3</v>
      </c>
      <c r="CO41">
        <v>6.2399999999999999E-3</v>
      </c>
      <c r="CP41">
        <v>6.7299999999999999E-3</v>
      </c>
      <c r="CQ41">
        <v>5.3600000000000002E-3</v>
      </c>
      <c r="CR41">
        <v>6.1599999999999997E-3</v>
      </c>
      <c r="CT41">
        <v>7.1900000000000002E-3</v>
      </c>
      <c r="CU41">
        <v>5.6800000000000002E-3</v>
      </c>
      <c r="CV41">
        <v>5.4200000000000003E-3</v>
      </c>
      <c r="CW41">
        <v>5.94E-3</v>
      </c>
      <c r="CX41">
        <v>5.7800000000000004E-3</v>
      </c>
      <c r="CY41">
        <v>5.5399999999999998E-3</v>
      </c>
      <c r="CZ41">
        <v>4.9500000000000004E-3</v>
      </c>
      <c r="DB41">
        <v>5.0800000000000003E-3</v>
      </c>
      <c r="DC41">
        <v>5.0000000000000001E-3</v>
      </c>
      <c r="DD41">
        <v>4.9100000000000003E-3</v>
      </c>
      <c r="DE41">
        <v>4.8300000000000001E-3</v>
      </c>
      <c r="DF41">
        <v>8.1300000000000001E-3</v>
      </c>
      <c r="DG41">
        <v>5.2500000000000003E-3</v>
      </c>
      <c r="DH41">
        <v>7.0600000000000003E-3</v>
      </c>
      <c r="DI41">
        <v>6.8399999999999997E-3</v>
      </c>
      <c r="DJ41">
        <v>6.9100000000000003E-3</v>
      </c>
      <c r="DK41">
        <v>6.8599999999999998E-3</v>
      </c>
      <c r="DL41">
        <v>6.8900000000000003E-3</v>
      </c>
      <c r="DM41">
        <v>5.8399999999999997E-3</v>
      </c>
      <c r="DN41">
        <v>6.2300000000000003E-3</v>
      </c>
      <c r="DO41">
        <v>6.0299999999999998E-3</v>
      </c>
      <c r="DP41">
        <v>8.8199999999999997E-3</v>
      </c>
      <c r="DR41">
        <v>6.5599999999999999E-3</v>
      </c>
      <c r="DS41">
        <v>7.1799999999999998E-3</v>
      </c>
      <c r="DT41">
        <v>6.7600000000000004E-3</v>
      </c>
      <c r="DU41">
        <v>6.6299999999999996E-3</v>
      </c>
      <c r="DV41">
        <v>9.1199999999999996E-3</v>
      </c>
      <c r="DW41">
        <v>7.1599999999999997E-3</v>
      </c>
      <c r="DX41">
        <v>6.9899999999999997E-3</v>
      </c>
      <c r="DZ41">
        <v>8.8900000000000003E-3</v>
      </c>
      <c r="EA41">
        <v>5.7000000000000002E-3</v>
      </c>
      <c r="EB41">
        <v>5.6299999999999996E-3</v>
      </c>
      <c r="EC41">
        <v>5.1599999999999997E-3</v>
      </c>
      <c r="EF41">
        <v>2.181E-2</v>
      </c>
      <c r="EH41">
        <v>2.3900000000000001E-2</v>
      </c>
      <c r="EI41">
        <v>6.3800000000000003E-3</v>
      </c>
      <c r="EJ41">
        <v>5.3800000000000002E-3</v>
      </c>
      <c r="EK41">
        <v>5.8799999999999998E-3</v>
      </c>
      <c r="EL41">
        <v>6.3600000000000002E-3</v>
      </c>
      <c r="EM41">
        <v>6.7200000000000003E-3</v>
      </c>
      <c r="EN41">
        <v>6.9300000000000004E-3</v>
      </c>
      <c r="EP41">
        <v>7.3299999999999997E-3</v>
      </c>
      <c r="EQ41">
        <v>7.4099999999999999E-3</v>
      </c>
      <c r="ER41">
        <v>6.4000000000000003E-3</v>
      </c>
      <c r="ES41">
        <v>6.1500000000000001E-3</v>
      </c>
      <c r="EU41">
        <v>1.0659999999999999E-2</v>
      </c>
      <c r="EV41">
        <v>9.8700000000000003E-3</v>
      </c>
      <c r="EW41">
        <v>9.2599999999999991E-3</v>
      </c>
      <c r="EX41">
        <v>9.5200000000000007E-3</v>
      </c>
      <c r="EY41">
        <v>6.7600000000000004E-3</v>
      </c>
      <c r="EZ41">
        <v>7.1000000000000004E-3</v>
      </c>
      <c r="FA41">
        <v>6.6899999999999998E-3</v>
      </c>
      <c r="FB41">
        <v>7.1900000000000002E-3</v>
      </c>
      <c r="FC41">
        <v>6.2500000000000003E-3</v>
      </c>
      <c r="FD41">
        <v>6.0699999999999999E-3</v>
      </c>
      <c r="FE41">
        <v>7.11E-3</v>
      </c>
      <c r="FF41">
        <v>4.4999999999999997E-3</v>
      </c>
      <c r="FG41">
        <v>8.7100000000000007E-3</v>
      </c>
      <c r="FH41">
        <v>9.2200000000000008E-3</v>
      </c>
      <c r="FI41">
        <v>8.7299999999999999E-3</v>
      </c>
      <c r="FJ41">
        <v>8.7299999999999999E-3</v>
      </c>
      <c r="FK41">
        <v>7.9799999999999992E-3</v>
      </c>
      <c r="FL41">
        <v>5.3400000000000001E-3</v>
      </c>
      <c r="FN41">
        <v>7.1399999999999996E-3</v>
      </c>
      <c r="FO41">
        <v>6.2199999999999998E-3</v>
      </c>
      <c r="FP41">
        <v>5.7499999999999999E-3</v>
      </c>
      <c r="FQ41">
        <v>7.8200000000000006E-3</v>
      </c>
      <c r="FR41">
        <v>8.09E-3</v>
      </c>
      <c r="FS41">
        <v>8.4100000000000008E-3</v>
      </c>
      <c r="FT41">
        <v>7.8499999999999993E-3</v>
      </c>
      <c r="FU41">
        <v>7.6E-3</v>
      </c>
      <c r="FV41">
        <v>7.45E-3</v>
      </c>
      <c r="FW41">
        <v>7.2899999999999996E-3</v>
      </c>
      <c r="FX41">
        <v>7.5399999999999998E-3</v>
      </c>
      <c r="FY41">
        <v>8.0400000000000003E-3</v>
      </c>
      <c r="FZ41">
        <v>7.6400000000000001E-3</v>
      </c>
      <c r="GA41">
        <v>8.1300000000000001E-3</v>
      </c>
      <c r="GC41">
        <v>8.2699999999999996E-3</v>
      </c>
      <c r="GD41">
        <v>7.6899999999999998E-3</v>
      </c>
      <c r="GE41">
        <v>8.3000000000000001E-3</v>
      </c>
      <c r="GF41">
        <v>7.1300000000000001E-3</v>
      </c>
      <c r="GG41">
        <v>7.1500000000000001E-3</v>
      </c>
      <c r="GH41">
        <v>7.3099999999999997E-3</v>
      </c>
      <c r="GI41">
        <v>8.0300000000000007E-3</v>
      </c>
      <c r="GJ41">
        <v>8.2100000000000003E-3</v>
      </c>
      <c r="GK41">
        <v>8.3400000000000002E-3</v>
      </c>
      <c r="GL41">
        <v>8.6599999999999993E-3</v>
      </c>
      <c r="GM41">
        <v>7.6E-3</v>
      </c>
      <c r="GO41">
        <v>7.4999999999999997E-3</v>
      </c>
      <c r="GP41">
        <v>6.8700000000000002E-3</v>
      </c>
      <c r="GQ41">
        <v>7.28E-3</v>
      </c>
      <c r="GR41">
        <v>8.0999999999999996E-3</v>
      </c>
      <c r="GS41">
        <v>6.5799999999999999E-3</v>
      </c>
      <c r="GT41">
        <v>7.1700000000000002E-3</v>
      </c>
      <c r="GU41">
        <v>5.2300000000000003E-3</v>
      </c>
      <c r="GV41">
        <v>8.7600000000000004E-3</v>
      </c>
      <c r="GW41">
        <v>8.77E-3</v>
      </c>
      <c r="GX41">
        <v>8.0999999999999996E-3</v>
      </c>
      <c r="GY41">
        <v>8.7299999999999999E-3</v>
      </c>
      <c r="GZ41">
        <v>7.6299999999999996E-3</v>
      </c>
      <c r="HA41">
        <v>5.3699999999999998E-3</v>
      </c>
      <c r="HB41">
        <v>4.6600000000000001E-3</v>
      </c>
      <c r="HC41">
        <v>6.0800000000000003E-3</v>
      </c>
      <c r="HE41">
        <v>6.11E-3</v>
      </c>
      <c r="HF41">
        <v>6.5100000000000002E-3</v>
      </c>
      <c r="HG41">
        <v>8.7899999999999992E-3</v>
      </c>
      <c r="HH41">
        <v>8.8900000000000003E-3</v>
      </c>
      <c r="HI41">
        <v>9.2499999999999995E-3</v>
      </c>
      <c r="HJ41">
        <v>4.6299999999999996E-3</v>
      </c>
      <c r="HK41">
        <v>7.5300000000000002E-3</v>
      </c>
      <c r="HL41">
        <v>7.4400000000000004E-3</v>
      </c>
      <c r="HM41">
        <v>7.3299999999999997E-3</v>
      </c>
      <c r="HN41">
        <v>7.0899999999999999E-3</v>
      </c>
      <c r="HO41">
        <v>6.9499999999999996E-3</v>
      </c>
      <c r="HP41">
        <v>5.28E-3</v>
      </c>
      <c r="HQ41">
        <v>6.9699999999999996E-3</v>
      </c>
      <c r="HR41">
        <v>8.5000000000000006E-3</v>
      </c>
      <c r="HS41">
        <v>1.1169999999999999E-2</v>
      </c>
      <c r="HT41">
        <v>6.43E-3</v>
      </c>
      <c r="HU41">
        <v>5.5399999999999998E-3</v>
      </c>
      <c r="HV41">
        <v>7.45E-3</v>
      </c>
      <c r="HW41">
        <v>5.77E-3</v>
      </c>
      <c r="HX41">
        <v>7.9900000000000006E-3</v>
      </c>
      <c r="HY41">
        <v>6.5300000000000002E-3</v>
      </c>
      <c r="HZ41">
        <v>4.2500000000000003E-3</v>
      </c>
      <c r="IA41">
        <v>7.8399999999999997E-3</v>
      </c>
      <c r="IB41">
        <v>9.4500000000000001E-3</v>
      </c>
      <c r="IC41">
        <v>7.8799999999999999E-3</v>
      </c>
      <c r="ID41">
        <v>5.9100000000000003E-3</v>
      </c>
      <c r="IE41">
        <v>5.4200000000000003E-3</v>
      </c>
      <c r="IF41">
        <v>5.5300000000000002E-3</v>
      </c>
      <c r="IG41">
        <v>6.5300000000000002E-3</v>
      </c>
      <c r="IH41">
        <v>7.0800000000000004E-3</v>
      </c>
      <c r="II41">
        <v>5.1200000000000004E-3</v>
      </c>
      <c r="IJ41">
        <v>6.1799999999999997E-3</v>
      </c>
      <c r="IK41">
        <v>6.8300000000000001E-3</v>
      </c>
      <c r="IL41">
        <v>7.5599999999999999E-3</v>
      </c>
      <c r="IM41">
        <v>8.3599999999999994E-3</v>
      </c>
      <c r="IN41">
        <v>9.0699999999999999E-3</v>
      </c>
      <c r="IO41">
        <v>9.9799999999999993E-3</v>
      </c>
      <c r="IP41">
        <v>1.158E-2</v>
      </c>
      <c r="IQ41">
        <v>1.2869999999999999E-2</v>
      </c>
      <c r="IR41">
        <v>1.4080000000000001E-2</v>
      </c>
      <c r="IS41">
        <v>4.5399999999999998E-3</v>
      </c>
      <c r="IT41">
        <v>5.0400000000000002E-3</v>
      </c>
      <c r="IU41">
        <v>5.5999999999999999E-3</v>
      </c>
      <c r="IV41">
        <v>4.8199999999999996E-3</v>
      </c>
      <c r="IW41">
        <v>5.6100000000000004E-3</v>
      </c>
      <c r="IX41">
        <v>3.7200000000000002E-3</v>
      </c>
      <c r="IY41">
        <v>4.5900000000000003E-3</v>
      </c>
      <c r="IZ41">
        <v>4.3099999999999996E-3</v>
      </c>
      <c r="JA41">
        <v>4.8500000000000001E-3</v>
      </c>
      <c r="JB41">
        <v>5.0299999999999997E-3</v>
      </c>
      <c r="JC41">
        <v>5.4299999999999999E-3</v>
      </c>
      <c r="JD41">
        <v>5.7999999999999996E-3</v>
      </c>
      <c r="JE41">
        <v>4.8300000000000001E-3</v>
      </c>
      <c r="JF41">
        <v>6.0000000000000001E-3</v>
      </c>
      <c r="JG41">
        <v>8.4700000000000001E-3</v>
      </c>
      <c r="JH41">
        <v>1.1679999999999999E-2</v>
      </c>
      <c r="JI41">
        <v>7.3800000000000003E-3</v>
      </c>
      <c r="JK41">
        <v>8.8400000000000006E-3</v>
      </c>
      <c r="JL41">
        <v>9.11E-3</v>
      </c>
      <c r="JM41">
        <v>6.3299999999999997E-3</v>
      </c>
      <c r="JN41">
        <v>8.43E-3</v>
      </c>
      <c r="JO41">
        <v>1.7559999999999999E-2</v>
      </c>
      <c r="JP41">
        <v>6.1599999999999997E-3</v>
      </c>
      <c r="JQ41">
        <v>5.8300000000000001E-3</v>
      </c>
      <c r="JR41">
        <v>6.28E-3</v>
      </c>
      <c r="JS41">
        <v>5.6800000000000002E-3</v>
      </c>
      <c r="JT41">
        <v>6.5799999999999999E-3</v>
      </c>
      <c r="JU41">
        <v>7.7200000000000003E-3</v>
      </c>
      <c r="JV41">
        <v>5.9899999999999997E-3</v>
      </c>
      <c r="JW41">
        <v>6.6699999999999997E-3</v>
      </c>
      <c r="JX41">
        <v>6.1199999999999996E-3</v>
      </c>
      <c r="JZ41">
        <v>7.7000000000000002E-3</v>
      </c>
      <c r="KA41">
        <v>7.5399999999999998E-3</v>
      </c>
      <c r="KB41">
        <v>5.9100000000000003E-3</v>
      </c>
      <c r="KC41">
        <v>6.1599999999999997E-3</v>
      </c>
      <c r="KD41">
        <v>6.7200000000000003E-3</v>
      </c>
      <c r="KE41">
        <v>8.2299999999999995E-3</v>
      </c>
      <c r="KF41">
        <v>1.116E-2</v>
      </c>
      <c r="KG41">
        <v>1.2019999999999999E-2</v>
      </c>
      <c r="KH41">
        <v>1.085E-2</v>
      </c>
      <c r="KI41">
        <v>8.3300000000000006E-3</v>
      </c>
      <c r="KJ41">
        <v>8.3499999999999998E-3</v>
      </c>
      <c r="KK41">
        <v>8.3599999999999994E-3</v>
      </c>
      <c r="KL41">
        <v>8.6E-3</v>
      </c>
      <c r="KM41">
        <v>8.7399999999999995E-3</v>
      </c>
      <c r="KN41">
        <v>5.3299999999999997E-3</v>
      </c>
      <c r="KO41">
        <v>5.4999999999999997E-3</v>
      </c>
      <c r="KP41">
        <v>7.9000000000000008E-3</v>
      </c>
      <c r="KQ41">
        <v>8.1099999999999992E-3</v>
      </c>
      <c r="KR41">
        <v>8.6199999999999992E-3</v>
      </c>
      <c r="KS41">
        <v>6.4900000000000001E-3</v>
      </c>
      <c r="KT41">
        <v>6.8799999999999998E-3</v>
      </c>
      <c r="KU41">
        <v>6.1000000000000004E-3</v>
      </c>
      <c r="KV41">
        <v>4.5900000000000003E-3</v>
      </c>
      <c r="KW41">
        <v>5.1399999999999996E-3</v>
      </c>
      <c r="KX41">
        <v>1.2149999999999999E-2</v>
      </c>
      <c r="KY41">
        <v>6.3499999999999997E-3</v>
      </c>
      <c r="KZ41">
        <v>7.6E-3</v>
      </c>
      <c r="LA41">
        <v>6.5500000000000003E-3</v>
      </c>
      <c r="LB41">
        <v>6.2700000000000004E-3</v>
      </c>
      <c r="LC41">
        <v>6.3800000000000003E-3</v>
      </c>
      <c r="LD41">
        <v>6.3800000000000003E-3</v>
      </c>
      <c r="LE41">
        <v>9.9399999999999992E-3</v>
      </c>
      <c r="LF41">
        <v>9.41E-3</v>
      </c>
      <c r="LG41">
        <v>8.2500000000000004E-3</v>
      </c>
      <c r="LI41">
        <v>9.8399999999999998E-3</v>
      </c>
      <c r="LJ41">
        <v>1.022E-2</v>
      </c>
      <c r="LK41">
        <v>1.034E-2</v>
      </c>
      <c r="LL41">
        <v>7.1700000000000002E-3</v>
      </c>
      <c r="LM41">
        <v>5.2900000000000004E-3</v>
      </c>
      <c r="LN41">
        <v>7.4099999999999999E-3</v>
      </c>
      <c r="LO41">
        <v>7.6299999999999996E-3</v>
      </c>
      <c r="LP41">
        <v>6.4400000000000004E-3</v>
      </c>
      <c r="LR41">
        <v>9.8099999999999993E-3</v>
      </c>
      <c r="LS41">
        <v>1.094E-2</v>
      </c>
      <c r="LT41">
        <v>6.4200000000000004E-3</v>
      </c>
      <c r="LU41">
        <v>9.1500000000000001E-3</v>
      </c>
      <c r="LV41">
        <v>1.057E-2</v>
      </c>
      <c r="LW41">
        <v>4.7499999999999999E-3</v>
      </c>
      <c r="LX41">
        <v>5.5799999999999999E-3</v>
      </c>
      <c r="LY41">
        <v>7.6400000000000001E-3</v>
      </c>
      <c r="LZ41">
        <v>7.7200000000000003E-3</v>
      </c>
      <c r="MA41">
        <v>7.7200000000000003E-3</v>
      </c>
      <c r="MB41">
        <v>4.1599999999999996E-3</v>
      </c>
      <c r="MC41">
        <v>9.0900000000000009E-3</v>
      </c>
      <c r="MD41">
        <v>1.044E-2</v>
      </c>
      <c r="ME41">
        <v>1.3440000000000001E-2</v>
      </c>
      <c r="MF41">
        <v>1.5709999999999998E-2</v>
      </c>
      <c r="MG41">
        <v>1.46E-2</v>
      </c>
      <c r="MH41">
        <v>6.3899999999999998E-3</v>
      </c>
      <c r="MI41">
        <v>7.2700000000000004E-3</v>
      </c>
      <c r="MJ41">
        <v>7.2899999999999996E-3</v>
      </c>
      <c r="MK41">
        <v>6.9499999999999996E-3</v>
      </c>
      <c r="ML41">
        <v>8.5599999999999999E-3</v>
      </c>
      <c r="MM41">
        <v>7.4900000000000001E-3</v>
      </c>
      <c r="MN41">
        <v>5.6800000000000002E-3</v>
      </c>
      <c r="MO41">
        <v>6.1500000000000001E-3</v>
      </c>
      <c r="MP41">
        <v>6.6800000000000002E-3</v>
      </c>
      <c r="MQ41">
        <v>4.8999999999999998E-3</v>
      </c>
      <c r="MR41">
        <v>6.2899999999999996E-3</v>
      </c>
      <c r="MS41">
        <v>6.7400000000000003E-3</v>
      </c>
      <c r="MT41">
        <v>7.8399999999999997E-3</v>
      </c>
      <c r="MU41">
        <v>5.0000000000000001E-3</v>
      </c>
      <c r="MV41">
        <v>5.7299999999999999E-3</v>
      </c>
      <c r="MW41">
        <v>6.0800000000000003E-3</v>
      </c>
      <c r="MX41">
        <v>6.2500000000000003E-3</v>
      </c>
      <c r="MY41">
        <v>6.7600000000000004E-3</v>
      </c>
      <c r="MZ41">
        <v>7.5500000000000003E-3</v>
      </c>
      <c r="NA41">
        <v>6.8500000000000002E-3</v>
      </c>
      <c r="NB41">
        <v>6.7999999999999996E-3</v>
      </c>
      <c r="NC41">
        <v>4.45E-3</v>
      </c>
      <c r="ND41">
        <v>1.321E-2</v>
      </c>
      <c r="NE41">
        <v>7.7099999999999998E-3</v>
      </c>
      <c r="NF41">
        <v>8.1399999999999997E-3</v>
      </c>
      <c r="NG41">
        <v>5.1799999999999997E-3</v>
      </c>
      <c r="NH41">
        <v>4.3200000000000001E-3</v>
      </c>
      <c r="NI41">
        <v>4.7000000000000002E-3</v>
      </c>
      <c r="NJ41">
        <v>5.1500000000000001E-3</v>
      </c>
      <c r="NK41">
        <v>4.6299999999999996E-3</v>
      </c>
      <c r="NL41">
        <v>4.8999999999999998E-3</v>
      </c>
      <c r="NM41">
        <v>5.1799999999999997E-3</v>
      </c>
      <c r="NN41">
        <v>5.4400000000000004E-3</v>
      </c>
      <c r="NO41">
        <v>5.64E-3</v>
      </c>
      <c r="NP41">
        <v>4.7400000000000003E-3</v>
      </c>
      <c r="NQ41">
        <v>4.9199999999999999E-3</v>
      </c>
      <c r="NR41">
        <v>5.0000000000000001E-3</v>
      </c>
      <c r="NS41">
        <v>5.2100000000000002E-3</v>
      </c>
      <c r="NT41">
        <v>5.6699999999999997E-3</v>
      </c>
      <c r="NV41">
        <v>4.9399999999999999E-3</v>
      </c>
      <c r="NX41">
        <v>5.1500000000000001E-3</v>
      </c>
      <c r="NY41">
        <v>5.2599999999999999E-3</v>
      </c>
      <c r="NZ41">
        <v>5.5100000000000001E-3</v>
      </c>
      <c r="OA41">
        <v>5.7200000000000003E-3</v>
      </c>
      <c r="OC41">
        <v>4.9800000000000001E-3</v>
      </c>
      <c r="OD41">
        <v>5.1200000000000004E-3</v>
      </c>
      <c r="OE41">
        <v>5.1200000000000004E-3</v>
      </c>
      <c r="OF41">
        <v>7.1199999999999996E-3</v>
      </c>
      <c r="OG41">
        <v>5.3E-3</v>
      </c>
      <c r="OH41">
        <v>5.5799999999999999E-3</v>
      </c>
      <c r="OI41">
        <v>5.7800000000000004E-3</v>
      </c>
      <c r="OJ41">
        <v>6.0000000000000001E-3</v>
      </c>
      <c r="OK41">
        <v>6.1700000000000001E-3</v>
      </c>
      <c r="OL41">
        <v>6.3499999999999997E-3</v>
      </c>
      <c r="OM41">
        <v>4.9199999999999999E-3</v>
      </c>
      <c r="ON41">
        <v>5.1399999999999996E-3</v>
      </c>
      <c r="OO41">
        <v>5.3800000000000002E-3</v>
      </c>
      <c r="OP41">
        <v>5.8500000000000002E-3</v>
      </c>
      <c r="OQ41">
        <v>6.0499999999999998E-3</v>
      </c>
      <c r="OR41">
        <v>6.3099999999999996E-3</v>
      </c>
      <c r="OS41">
        <v>7.0299999999999998E-3</v>
      </c>
      <c r="OT41">
        <v>6.6100000000000004E-3</v>
      </c>
      <c r="OU41">
        <v>5.4299999999999999E-3</v>
      </c>
      <c r="OV41">
        <v>6.13E-3</v>
      </c>
      <c r="OW41">
        <v>3.2699999999999999E-3</v>
      </c>
      <c r="OX41">
        <v>3.2699999999999999E-3</v>
      </c>
      <c r="OY41">
        <v>4.1900000000000001E-3</v>
      </c>
      <c r="OZ41">
        <v>4.7600000000000003E-3</v>
      </c>
      <c r="PA41">
        <v>9.4800000000000006E-3</v>
      </c>
      <c r="PB41">
        <v>1.025E-2</v>
      </c>
      <c r="PD41">
        <v>7.11E-3</v>
      </c>
      <c r="PE41">
        <v>6.62E-3</v>
      </c>
      <c r="PF41">
        <v>6.2899999999999996E-3</v>
      </c>
      <c r="PG41">
        <v>5.47E-3</v>
      </c>
      <c r="PH41">
        <v>5.8500000000000002E-3</v>
      </c>
      <c r="PI41">
        <v>7.5100000000000002E-3</v>
      </c>
      <c r="PJ41">
        <v>6.9499999999999996E-3</v>
      </c>
      <c r="PK41">
        <v>6.4000000000000003E-3</v>
      </c>
      <c r="PN41">
        <v>5.0899999999999999E-3</v>
      </c>
      <c r="PO41">
        <v>5.1999999999999998E-3</v>
      </c>
      <c r="PP41">
        <v>5.4099999999999999E-3</v>
      </c>
      <c r="PR41">
        <v>4.8700000000000002E-3</v>
      </c>
      <c r="PS41">
        <v>5.7999999999999996E-3</v>
      </c>
      <c r="PT41">
        <v>5.7000000000000002E-3</v>
      </c>
      <c r="PU41">
        <v>4.5199999999999997E-3</v>
      </c>
      <c r="PV41">
        <v>4.5500000000000002E-3</v>
      </c>
      <c r="PW41">
        <v>4.7800000000000004E-3</v>
      </c>
      <c r="PX41">
        <v>5.2599999999999999E-3</v>
      </c>
      <c r="PY41">
        <v>5.8999999999999999E-3</v>
      </c>
      <c r="QA41">
        <v>4.0200000000000001E-3</v>
      </c>
      <c r="QB41">
        <v>4.3499999999999997E-3</v>
      </c>
      <c r="QC41">
        <v>5.79E-3</v>
      </c>
      <c r="QD41">
        <v>5.13E-3</v>
      </c>
      <c r="QE41">
        <v>4.6299999999999996E-3</v>
      </c>
      <c r="QG41">
        <v>6.6600000000000001E-3</v>
      </c>
      <c r="QH41">
        <v>4.6699999999999997E-3</v>
      </c>
      <c r="QI41">
        <v>5.1799999999999997E-3</v>
      </c>
      <c r="QJ41">
        <v>5.0499999999999998E-3</v>
      </c>
      <c r="QK41">
        <v>4.9699999999999996E-3</v>
      </c>
      <c r="QM41">
        <v>5.4200000000000003E-3</v>
      </c>
      <c r="QN41">
        <v>8.1099999999999992E-3</v>
      </c>
      <c r="QO41">
        <v>6.2300000000000003E-3</v>
      </c>
      <c r="QP41">
        <v>7.0699999999999999E-3</v>
      </c>
      <c r="QQ41">
        <v>7.6499999999999997E-3</v>
      </c>
      <c r="QR41">
        <v>8.5500000000000003E-3</v>
      </c>
      <c r="QS41">
        <v>8.4700000000000001E-3</v>
      </c>
      <c r="QT41">
        <v>6.3400000000000001E-3</v>
      </c>
      <c r="QU41">
        <v>6.4000000000000003E-3</v>
      </c>
      <c r="QV41">
        <v>6.4599999999999996E-3</v>
      </c>
      <c r="QW41">
        <v>6.2700000000000004E-3</v>
      </c>
      <c r="QX41">
        <v>5.96E-3</v>
      </c>
      <c r="QY41">
        <v>5.62E-3</v>
      </c>
      <c r="RA41">
        <v>7.0400000000000003E-3</v>
      </c>
      <c r="RB41">
        <v>8.5199999999999998E-3</v>
      </c>
      <c r="RC41">
        <v>7.0099999999999997E-3</v>
      </c>
      <c r="RD41">
        <v>1.163E-2</v>
      </c>
      <c r="RE41">
        <v>8.8599999999999998E-3</v>
      </c>
      <c r="RF41">
        <v>8.0400000000000003E-3</v>
      </c>
      <c r="RG41">
        <v>5.6600000000000001E-3</v>
      </c>
      <c r="RH41">
        <v>5.4999999999999997E-3</v>
      </c>
      <c r="RI41">
        <v>8.3400000000000002E-3</v>
      </c>
      <c r="RJ41">
        <v>7.9900000000000006E-3</v>
      </c>
      <c r="RK41">
        <v>7.7099999999999998E-3</v>
      </c>
      <c r="RL41">
        <v>7.1700000000000002E-3</v>
      </c>
      <c r="RM41">
        <v>4.7400000000000003E-3</v>
      </c>
      <c r="RN41">
        <v>4.8300000000000001E-3</v>
      </c>
      <c r="RO41">
        <v>4.8300000000000001E-3</v>
      </c>
      <c r="RP41">
        <v>4.4299999999999999E-3</v>
      </c>
      <c r="RQ41">
        <v>4.8399999999999997E-3</v>
      </c>
      <c r="RR41">
        <v>4.5900000000000003E-3</v>
      </c>
      <c r="RS41">
        <v>4.7000000000000002E-3</v>
      </c>
      <c r="RT41">
        <v>3.9699999999999996E-3</v>
      </c>
      <c r="RU41">
        <v>4.7800000000000004E-3</v>
      </c>
      <c r="RV41">
        <v>5.3400000000000001E-3</v>
      </c>
      <c r="RW41">
        <v>5.9500000000000004E-3</v>
      </c>
      <c r="RX41">
        <v>5.4099999999999999E-3</v>
      </c>
      <c r="RY41">
        <v>3.7299999999999998E-3</v>
      </c>
      <c r="RZ41">
        <v>5.5399999999999998E-3</v>
      </c>
      <c r="SA41">
        <v>8.1499999999999993E-3</v>
      </c>
      <c r="SB41">
        <v>7.5300000000000002E-3</v>
      </c>
      <c r="SC41">
        <v>6.8700000000000002E-3</v>
      </c>
      <c r="SD41">
        <v>7.1799999999999998E-3</v>
      </c>
      <c r="SE41">
        <v>6.5199999999999998E-3</v>
      </c>
      <c r="SF41">
        <v>7.45E-3</v>
      </c>
      <c r="SG41">
        <v>9.3200000000000002E-3</v>
      </c>
      <c r="SH41">
        <v>1.174E-2</v>
      </c>
      <c r="SI41">
        <v>6.4999999999999997E-3</v>
      </c>
      <c r="SJ41">
        <v>5.1900000000000002E-3</v>
      </c>
      <c r="SK41">
        <v>4.6600000000000001E-3</v>
      </c>
      <c r="SL41">
        <v>4.96E-3</v>
      </c>
      <c r="SM41">
        <v>4.2100000000000002E-3</v>
      </c>
      <c r="SN41">
        <v>4.3600000000000002E-3</v>
      </c>
      <c r="SO41">
        <v>4.2399999999999998E-3</v>
      </c>
      <c r="SP41">
        <v>6.1399999999999996E-3</v>
      </c>
      <c r="SQ41">
        <v>5.3299999999999997E-3</v>
      </c>
      <c r="SR41">
        <v>5.6600000000000001E-3</v>
      </c>
      <c r="ST41">
        <v>4.6499999999999996E-3</v>
      </c>
      <c r="SU41">
        <v>4.9199999999999999E-3</v>
      </c>
      <c r="SV41">
        <v>4.6299999999999996E-3</v>
      </c>
      <c r="SW41">
        <v>4.9699999999999996E-3</v>
      </c>
      <c r="SX41">
        <v>5.8700000000000002E-3</v>
      </c>
      <c r="SY41">
        <v>4.7000000000000002E-3</v>
      </c>
      <c r="SZ41">
        <v>5.79E-3</v>
      </c>
      <c r="TA41">
        <v>5.5500000000000002E-3</v>
      </c>
      <c r="TB41">
        <v>6.2199999999999998E-3</v>
      </c>
      <c r="TC41">
        <v>5.0299999999999997E-3</v>
      </c>
      <c r="TD41">
        <v>5.13E-3</v>
      </c>
      <c r="TE41">
        <v>7.2199999999999999E-3</v>
      </c>
      <c r="TF41">
        <v>6.1599999999999997E-3</v>
      </c>
      <c r="TG41">
        <v>6.2899999999999996E-3</v>
      </c>
      <c r="TH41">
        <v>7.5900000000000004E-3</v>
      </c>
      <c r="TI41">
        <v>4.9300000000000004E-3</v>
      </c>
      <c r="TJ41">
        <v>6.7799999999999996E-3</v>
      </c>
      <c r="TK41">
        <v>4.6299999999999996E-3</v>
      </c>
      <c r="TL41">
        <v>4.2599999999999999E-3</v>
      </c>
      <c r="TN41">
        <v>5.2500000000000003E-3</v>
      </c>
      <c r="TO41">
        <v>5.13E-3</v>
      </c>
      <c r="TP41">
        <v>4.5100000000000001E-3</v>
      </c>
      <c r="TQ41">
        <v>5.3099999999999996E-3</v>
      </c>
      <c r="TR41">
        <v>6.2599999999999999E-3</v>
      </c>
      <c r="TS41">
        <v>6.5199999999999998E-3</v>
      </c>
      <c r="TT41">
        <v>6.4000000000000003E-3</v>
      </c>
      <c r="TU41">
        <v>5.9100000000000003E-3</v>
      </c>
      <c r="TV41">
        <v>5.13E-3</v>
      </c>
      <c r="TW41">
        <v>4.8900000000000002E-3</v>
      </c>
      <c r="TX41">
        <v>5.0499999999999998E-3</v>
      </c>
      <c r="TY41">
        <v>4.7800000000000004E-3</v>
      </c>
      <c r="TZ41">
        <v>5.1599999999999997E-3</v>
      </c>
      <c r="UA41">
        <v>4.9800000000000001E-3</v>
      </c>
      <c r="UB41">
        <v>4.7400000000000003E-3</v>
      </c>
      <c r="UC41">
        <v>4.7800000000000004E-3</v>
      </c>
      <c r="UE41">
        <v>4.8999999999999998E-3</v>
      </c>
      <c r="UG41">
        <v>4.3600000000000002E-3</v>
      </c>
      <c r="UH41">
        <v>5.5399999999999998E-3</v>
      </c>
      <c r="UI41">
        <v>4.9199999999999999E-3</v>
      </c>
      <c r="UJ41">
        <v>5.1900000000000002E-3</v>
      </c>
      <c r="UK41">
        <v>5.1500000000000001E-3</v>
      </c>
      <c r="UL41">
        <v>5.4000000000000003E-3</v>
      </c>
      <c r="UM41">
        <v>6.0699999999999999E-3</v>
      </c>
      <c r="UN41">
        <v>4.8999999999999998E-3</v>
      </c>
      <c r="UO41">
        <v>5.11E-3</v>
      </c>
      <c r="UP41">
        <v>6.9100000000000003E-3</v>
      </c>
      <c r="UQ41">
        <v>4.7400000000000003E-3</v>
      </c>
      <c r="UR41">
        <v>4.5999999999999999E-3</v>
      </c>
      <c r="US41">
        <v>5.1799999999999997E-3</v>
      </c>
      <c r="UT41">
        <v>4.7000000000000002E-3</v>
      </c>
      <c r="UU41">
        <v>4.9199999999999999E-3</v>
      </c>
      <c r="UV41">
        <v>5.1399999999999996E-3</v>
      </c>
      <c r="UW41">
        <v>6.6499999999999997E-3</v>
      </c>
      <c r="UX41">
        <v>4.7600000000000003E-3</v>
      </c>
      <c r="UY41">
        <v>5.11E-3</v>
      </c>
      <c r="UZ41">
        <v>5.8300000000000001E-3</v>
      </c>
      <c r="VA41">
        <v>7.6400000000000001E-3</v>
      </c>
      <c r="VB41">
        <v>5.62E-3</v>
      </c>
      <c r="VC41">
        <v>6.7400000000000003E-3</v>
      </c>
      <c r="VD41">
        <v>9.7000000000000003E-3</v>
      </c>
      <c r="VE41">
        <v>6.5300000000000002E-3</v>
      </c>
      <c r="VF41">
        <v>9.4500000000000001E-3</v>
      </c>
      <c r="VG41">
        <v>9.1999999999999998E-3</v>
      </c>
      <c r="VH41">
        <v>5.8799999999999998E-3</v>
      </c>
      <c r="VI41">
        <v>6.0899999999999999E-3</v>
      </c>
    </row>
    <row r="42" spans="1:581" x14ac:dyDescent="0.25">
      <c r="A42">
        <v>975000</v>
      </c>
      <c r="B42">
        <v>4.0699999999999998E-3</v>
      </c>
      <c r="C42">
        <v>4.1399999999999996E-3</v>
      </c>
      <c r="D42">
        <v>4.0200000000000001E-3</v>
      </c>
      <c r="E42">
        <v>5.3499999999999997E-3</v>
      </c>
      <c r="F42">
        <v>5.7000000000000002E-3</v>
      </c>
      <c r="G42">
        <v>6.3600000000000002E-3</v>
      </c>
      <c r="H42">
        <v>4.81E-3</v>
      </c>
      <c r="I42">
        <v>4.4900000000000001E-3</v>
      </c>
      <c r="J42">
        <v>3.8700000000000002E-3</v>
      </c>
      <c r="K42">
        <v>5.1399999999999996E-3</v>
      </c>
      <c r="L42">
        <v>4.8500000000000001E-3</v>
      </c>
      <c r="M42">
        <v>4.4400000000000004E-3</v>
      </c>
      <c r="N42">
        <v>3.8300000000000001E-3</v>
      </c>
      <c r="O42">
        <v>5.4900000000000001E-3</v>
      </c>
      <c r="P42">
        <v>5.3600000000000002E-3</v>
      </c>
      <c r="Q42">
        <v>5.3499999999999997E-3</v>
      </c>
      <c r="R42">
        <v>5.1700000000000001E-3</v>
      </c>
      <c r="S42">
        <v>4.4400000000000004E-3</v>
      </c>
      <c r="T42">
        <v>4.3800000000000002E-3</v>
      </c>
      <c r="U42">
        <v>6.1399999999999996E-3</v>
      </c>
      <c r="V42">
        <v>4.4099999999999999E-3</v>
      </c>
      <c r="W42">
        <v>5.9899999999999997E-3</v>
      </c>
      <c r="X42">
        <v>4.2900000000000004E-3</v>
      </c>
      <c r="Y42">
        <v>5.8500000000000002E-3</v>
      </c>
      <c r="Z42">
        <v>4.0299999999999997E-3</v>
      </c>
      <c r="AA42">
        <v>6.6499999999999997E-3</v>
      </c>
      <c r="AB42">
        <v>7.0499999999999998E-3</v>
      </c>
      <c r="AC42">
        <v>7.3499999999999998E-3</v>
      </c>
      <c r="AD42">
        <v>5.6600000000000001E-3</v>
      </c>
      <c r="AE42">
        <v>6.4900000000000001E-3</v>
      </c>
      <c r="AG42">
        <v>6.1700000000000001E-3</v>
      </c>
      <c r="AH42">
        <v>6.0899999999999999E-3</v>
      </c>
      <c r="AI42">
        <v>6.8199999999999997E-3</v>
      </c>
      <c r="AJ42">
        <v>5.3400000000000001E-3</v>
      </c>
      <c r="AK42">
        <v>6.1799999999999997E-3</v>
      </c>
      <c r="AL42">
        <v>8.0800000000000004E-3</v>
      </c>
      <c r="AM42">
        <v>5.9100000000000003E-3</v>
      </c>
      <c r="AN42">
        <v>6.7499999999999999E-3</v>
      </c>
      <c r="AO42">
        <v>1.2359999999999999E-2</v>
      </c>
      <c r="AP42">
        <v>6.9300000000000004E-3</v>
      </c>
      <c r="AQ42">
        <v>8.1300000000000001E-3</v>
      </c>
      <c r="AR42">
        <v>7.1599999999999997E-3</v>
      </c>
      <c r="AS42">
        <v>7.5300000000000002E-3</v>
      </c>
      <c r="AT42">
        <v>5.8999999999999999E-3</v>
      </c>
      <c r="AU42">
        <v>6.62E-3</v>
      </c>
      <c r="AV42">
        <v>6.9100000000000003E-3</v>
      </c>
      <c r="AW42">
        <v>6.7799999999999996E-3</v>
      </c>
      <c r="AX42">
        <v>6.6100000000000004E-3</v>
      </c>
      <c r="AY42">
        <v>6.2300000000000003E-3</v>
      </c>
      <c r="AZ42">
        <v>5.8300000000000001E-3</v>
      </c>
      <c r="BA42">
        <v>6.8700000000000002E-3</v>
      </c>
      <c r="BB42">
        <v>6.8500000000000002E-3</v>
      </c>
      <c r="BC42">
        <v>7.45E-3</v>
      </c>
      <c r="BD42">
        <v>7.8499999999999993E-3</v>
      </c>
      <c r="BE42">
        <v>9.3100000000000006E-3</v>
      </c>
      <c r="BF42">
        <v>1.059E-2</v>
      </c>
      <c r="BG42">
        <v>7.0200000000000002E-3</v>
      </c>
      <c r="BH42">
        <v>7.0699999999999999E-3</v>
      </c>
      <c r="BI42">
        <v>1.072E-2</v>
      </c>
      <c r="BJ42">
        <v>7.3899999999999999E-3</v>
      </c>
      <c r="BK42">
        <v>7.7999999999999996E-3</v>
      </c>
      <c r="BL42">
        <v>7.9100000000000004E-3</v>
      </c>
      <c r="BM42">
        <v>7.4999999999999997E-3</v>
      </c>
      <c r="BN42">
        <v>5.9899999999999997E-3</v>
      </c>
      <c r="BO42">
        <v>8.6700000000000006E-3</v>
      </c>
      <c r="BP42">
        <v>6.94E-3</v>
      </c>
      <c r="BQ42">
        <v>6.1000000000000004E-3</v>
      </c>
      <c r="BR42">
        <v>6.0899999999999999E-3</v>
      </c>
      <c r="BS42">
        <v>1.3259999999999999E-2</v>
      </c>
      <c r="BT42">
        <v>8.3599999999999994E-3</v>
      </c>
      <c r="BU42">
        <v>9.4000000000000004E-3</v>
      </c>
      <c r="BV42">
        <v>9.4900000000000002E-3</v>
      </c>
      <c r="BW42">
        <v>9.1400000000000006E-3</v>
      </c>
      <c r="BX42">
        <v>8.8599999999999998E-3</v>
      </c>
      <c r="BY42">
        <v>9.0900000000000009E-3</v>
      </c>
      <c r="BZ42">
        <v>8.1600000000000006E-3</v>
      </c>
      <c r="CA42">
        <v>8.2699999999999996E-3</v>
      </c>
      <c r="CB42">
        <v>6.6400000000000001E-3</v>
      </c>
      <c r="CC42">
        <v>7.2300000000000003E-3</v>
      </c>
      <c r="CD42">
        <v>5.9800000000000001E-3</v>
      </c>
      <c r="CE42">
        <v>5.3499999999999997E-3</v>
      </c>
      <c r="CF42">
        <v>5.0099999999999997E-3</v>
      </c>
      <c r="CG42">
        <v>4.7499999999999999E-3</v>
      </c>
      <c r="CH42">
        <v>4.6600000000000001E-3</v>
      </c>
      <c r="CJ42">
        <v>4.6600000000000001E-3</v>
      </c>
      <c r="CK42">
        <v>5.3499999999999997E-3</v>
      </c>
      <c r="CL42">
        <v>5.4599999999999996E-3</v>
      </c>
      <c r="CM42">
        <v>6.0200000000000002E-3</v>
      </c>
      <c r="CN42">
        <v>6.4999999999999997E-3</v>
      </c>
      <c r="CO42">
        <v>6.1999999999999998E-3</v>
      </c>
      <c r="CP42">
        <v>6.6800000000000002E-3</v>
      </c>
      <c r="CQ42">
        <v>5.3200000000000001E-3</v>
      </c>
      <c r="CR42">
        <v>6.1399999999999996E-3</v>
      </c>
      <c r="CS42">
        <v>6.7499999999999999E-3</v>
      </c>
      <c r="CT42">
        <v>7.1500000000000001E-3</v>
      </c>
      <c r="CU42">
        <v>5.64E-3</v>
      </c>
      <c r="CV42">
        <v>5.3800000000000002E-3</v>
      </c>
      <c r="CW42">
        <v>5.8999999999999999E-3</v>
      </c>
      <c r="CX42">
        <v>5.7499999999999999E-3</v>
      </c>
      <c r="CY42">
        <v>5.45E-3</v>
      </c>
      <c r="CZ42">
        <v>4.8999999999999998E-3</v>
      </c>
      <c r="DA42">
        <v>5.1500000000000001E-3</v>
      </c>
      <c r="DB42">
        <v>5.0600000000000003E-3</v>
      </c>
      <c r="DC42">
        <v>4.9800000000000001E-3</v>
      </c>
      <c r="DD42">
        <v>4.8999999999999998E-3</v>
      </c>
      <c r="DF42">
        <v>8.0000000000000002E-3</v>
      </c>
      <c r="DG42">
        <v>5.1900000000000002E-3</v>
      </c>
      <c r="DH42">
        <v>6.9499999999999996E-3</v>
      </c>
      <c r="DJ42">
        <v>6.8199999999999997E-3</v>
      </c>
      <c r="DK42">
        <v>6.79E-3</v>
      </c>
      <c r="DL42">
        <v>6.8300000000000001E-3</v>
      </c>
      <c r="DM42">
        <v>5.77E-3</v>
      </c>
      <c r="DN42">
        <v>6.1399999999999996E-3</v>
      </c>
      <c r="DO42">
        <v>5.96E-3</v>
      </c>
      <c r="DP42">
        <v>8.7799999999999996E-3</v>
      </c>
      <c r="DQ42">
        <v>8.6199999999999992E-3</v>
      </c>
      <c r="DR42">
        <v>6.4599999999999996E-3</v>
      </c>
      <c r="DS42">
        <v>7.0899999999999999E-3</v>
      </c>
      <c r="DT42">
        <v>6.6800000000000002E-3</v>
      </c>
      <c r="DU42">
        <v>6.5599999999999999E-3</v>
      </c>
      <c r="DV42">
        <v>9.0799999999999995E-3</v>
      </c>
      <c r="DW42">
        <v>7.0400000000000003E-3</v>
      </c>
      <c r="DX42">
        <v>6.8799999999999998E-3</v>
      </c>
      <c r="DY42">
        <v>9.8300000000000002E-3</v>
      </c>
      <c r="DZ42">
        <v>8.9700000000000005E-3</v>
      </c>
      <c r="EA42">
        <v>5.64E-3</v>
      </c>
      <c r="EB42">
        <v>5.5799999999999999E-3</v>
      </c>
      <c r="EC42">
        <v>5.11E-3</v>
      </c>
      <c r="EF42">
        <v>2.155E-2</v>
      </c>
      <c r="EJ42">
        <v>5.3800000000000002E-3</v>
      </c>
      <c r="EK42">
        <v>5.8399999999999997E-3</v>
      </c>
      <c r="EL42">
        <v>6.3099999999999996E-3</v>
      </c>
      <c r="EM42">
        <v>6.6800000000000002E-3</v>
      </c>
      <c r="EN42">
        <v>6.8700000000000002E-3</v>
      </c>
      <c r="EO42">
        <v>6.9800000000000001E-3</v>
      </c>
      <c r="EP42">
        <v>7.2899999999999996E-3</v>
      </c>
      <c r="EQ42">
        <v>7.3600000000000002E-3</v>
      </c>
      <c r="ER42">
        <v>6.2899999999999996E-3</v>
      </c>
      <c r="ES42">
        <v>6.0600000000000003E-3</v>
      </c>
      <c r="ET42">
        <v>6.2300000000000003E-3</v>
      </c>
      <c r="EU42">
        <v>1.06E-2</v>
      </c>
      <c r="EV42">
        <v>9.7800000000000005E-3</v>
      </c>
      <c r="EW42">
        <v>9.1999999999999998E-3</v>
      </c>
      <c r="EX42">
        <v>9.4299999999999991E-3</v>
      </c>
      <c r="EY42">
        <v>6.7499999999999999E-3</v>
      </c>
      <c r="EZ42">
        <v>7.0800000000000004E-3</v>
      </c>
      <c r="FA42">
        <v>6.6E-3</v>
      </c>
      <c r="FB42">
        <v>7.1000000000000004E-3</v>
      </c>
      <c r="FC42">
        <v>6.1799999999999997E-3</v>
      </c>
      <c r="FD42">
        <v>6.0099999999999997E-3</v>
      </c>
      <c r="FE42">
        <v>7.0499999999999998E-3</v>
      </c>
      <c r="FF42">
        <v>4.4900000000000001E-3</v>
      </c>
      <c r="FG42">
        <v>8.6800000000000002E-3</v>
      </c>
      <c r="FH42">
        <v>9.1500000000000001E-3</v>
      </c>
      <c r="FI42">
        <v>8.6800000000000002E-3</v>
      </c>
      <c r="FJ42">
        <v>8.6899999999999998E-3</v>
      </c>
      <c r="FK42">
        <v>7.9299999999999995E-3</v>
      </c>
      <c r="FL42">
        <v>5.2900000000000004E-3</v>
      </c>
      <c r="FN42">
        <v>7.0600000000000003E-3</v>
      </c>
      <c r="FO42">
        <v>6.1399999999999996E-3</v>
      </c>
      <c r="FP42">
        <v>5.6600000000000001E-3</v>
      </c>
      <c r="FQ42">
        <v>7.6800000000000002E-3</v>
      </c>
      <c r="FR42">
        <v>7.9500000000000005E-3</v>
      </c>
      <c r="FS42">
        <v>8.2699999999999996E-3</v>
      </c>
      <c r="FT42">
        <v>7.7499999999999999E-3</v>
      </c>
      <c r="FU42">
        <v>7.5199999999999998E-3</v>
      </c>
      <c r="FV42">
        <v>7.3699999999999998E-3</v>
      </c>
      <c r="FW42">
        <v>7.1999999999999998E-3</v>
      </c>
      <c r="FX42">
        <v>7.4599999999999996E-3</v>
      </c>
      <c r="FY42">
        <v>7.9500000000000005E-3</v>
      </c>
      <c r="FZ42">
        <v>7.5599999999999999E-3</v>
      </c>
      <c r="GA42">
        <v>8.0400000000000003E-3</v>
      </c>
      <c r="GB42">
        <v>7.6499999999999997E-3</v>
      </c>
      <c r="GC42">
        <v>8.1799999999999998E-3</v>
      </c>
      <c r="GD42">
        <v>7.62E-3</v>
      </c>
      <c r="GE42">
        <v>8.2100000000000003E-3</v>
      </c>
      <c r="GF42">
        <v>7.0699999999999999E-3</v>
      </c>
      <c r="GG42">
        <v>7.1000000000000004E-3</v>
      </c>
      <c r="GH42">
        <v>7.2500000000000004E-3</v>
      </c>
      <c r="GI42">
        <v>7.9799999999999992E-3</v>
      </c>
      <c r="GJ42">
        <v>8.1600000000000006E-3</v>
      </c>
      <c r="GK42">
        <v>8.2900000000000005E-3</v>
      </c>
      <c r="GL42">
        <v>8.5900000000000004E-3</v>
      </c>
      <c r="GM42">
        <v>7.5500000000000003E-3</v>
      </c>
      <c r="GP42">
        <v>6.7999999999999996E-3</v>
      </c>
      <c r="GQ42">
        <v>7.1700000000000002E-3</v>
      </c>
      <c r="GR42">
        <v>7.9699999999999997E-3</v>
      </c>
      <c r="GS42">
        <v>6.4999999999999997E-3</v>
      </c>
      <c r="GT42">
        <v>7.0800000000000004E-3</v>
      </c>
      <c r="GU42">
        <v>5.1999999999999998E-3</v>
      </c>
      <c r="GV42">
        <v>8.7100000000000007E-3</v>
      </c>
      <c r="GW42">
        <v>8.7500000000000008E-3</v>
      </c>
      <c r="GX42">
        <v>8.0599999999999995E-3</v>
      </c>
      <c r="GY42">
        <v>8.5800000000000008E-3</v>
      </c>
      <c r="GZ42">
        <v>7.5700000000000003E-3</v>
      </c>
      <c r="HA42">
        <v>5.3499999999999997E-3</v>
      </c>
      <c r="HB42">
        <v>4.6800000000000001E-3</v>
      </c>
      <c r="HC42">
        <v>6.0299999999999998E-3</v>
      </c>
      <c r="HE42">
        <v>6.0099999999999997E-3</v>
      </c>
      <c r="HF42">
        <v>6.5599999999999999E-3</v>
      </c>
      <c r="HG42">
        <v>8.7600000000000004E-3</v>
      </c>
      <c r="HH42">
        <v>8.8500000000000002E-3</v>
      </c>
      <c r="HI42">
        <v>9.1999999999999998E-3</v>
      </c>
      <c r="HJ42">
        <v>4.6100000000000004E-3</v>
      </c>
      <c r="HK42">
        <v>7.3800000000000003E-3</v>
      </c>
      <c r="HL42">
        <v>7.3400000000000002E-3</v>
      </c>
      <c r="HM42">
        <v>7.2199999999999999E-3</v>
      </c>
      <c r="HN42">
        <v>7.0000000000000001E-3</v>
      </c>
      <c r="HO42">
        <v>6.8399999999999997E-3</v>
      </c>
      <c r="HP42">
        <v>5.2599999999999999E-3</v>
      </c>
      <c r="HQ42">
        <v>6.8399999999999997E-3</v>
      </c>
      <c r="HR42">
        <v>8.3300000000000006E-3</v>
      </c>
      <c r="HS42">
        <v>1.1050000000000001E-2</v>
      </c>
      <c r="HT42">
        <v>6.3200000000000001E-3</v>
      </c>
      <c r="HU42">
        <v>5.4999999999999997E-3</v>
      </c>
      <c r="HV42">
        <v>7.3600000000000002E-3</v>
      </c>
      <c r="HW42">
        <v>5.7200000000000003E-3</v>
      </c>
      <c r="HX42">
        <v>7.8200000000000006E-3</v>
      </c>
      <c r="HY42">
        <v>6.45E-3</v>
      </c>
      <c r="HZ42">
        <v>4.2100000000000002E-3</v>
      </c>
      <c r="IA42">
        <v>7.7400000000000004E-3</v>
      </c>
      <c r="IB42">
        <v>9.3600000000000003E-3</v>
      </c>
      <c r="IC42">
        <v>7.8399999999999997E-3</v>
      </c>
      <c r="ID42">
        <v>5.8500000000000002E-3</v>
      </c>
      <c r="IE42">
        <v>5.3600000000000002E-3</v>
      </c>
      <c r="IF42">
        <v>5.4799999999999996E-3</v>
      </c>
      <c r="IG42">
        <v>6.4599999999999996E-3</v>
      </c>
      <c r="IH42">
        <v>6.9899999999999997E-3</v>
      </c>
      <c r="II42">
        <v>5.0600000000000003E-3</v>
      </c>
      <c r="IJ42">
        <v>6.13E-3</v>
      </c>
      <c r="IK42">
        <v>6.77E-3</v>
      </c>
      <c r="IL42">
        <v>7.4999999999999997E-3</v>
      </c>
      <c r="IM42">
        <v>8.3099999999999997E-3</v>
      </c>
      <c r="IN42">
        <v>9.0100000000000006E-3</v>
      </c>
      <c r="IO42">
        <v>9.8899999999999995E-3</v>
      </c>
      <c r="IP42">
        <v>1.1469999999999999E-2</v>
      </c>
      <c r="IQ42">
        <v>1.2710000000000001E-2</v>
      </c>
      <c r="IR42">
        <v>1.391E-2</v>
      </c>
      <c r="IS42">
        <v>4.5500000000000002E-3</v>
      </c>
      <c r="IT42">
        <v>4.96E-3</v>
      </c>
      <c r="IU42">
        <v>5.4999999999999997E-3</v>
      </c>
      <c r="IV42">
        <v>4.7800000000000004E-3</v>
      </c>
      <c r="IW42">
        <v>5.5799999999999999E-3</v>
      </c>
      <c r="IX42">
        <v>3.7000000000000002E-3</v>
      </c>
      <c r="IY42">
        <v>4.5599999999999998E-3</v>
      </c>
      <c r="IZ42">
        <v>4.28E-3</v>
      </c>
      <c r="JA42">
        <v>4.8199999999999996E-3</v>
      </c>
      <c r="JB42">
        <v>5.0000000000000001E-3</v>
      </c>
      <c r="JC42">
        <v>5.4000000000000003E-3</v>
      </c>
      <c r="JD42">
        <v>5.7600000000000004E-3</v>
      </c>
      <c r="JE42">
        <v>4.7999999999999996E-3</v>
      </c>
      <c r="JF42">
        <v>5.9899999999999997E-3</v>
      </c>
      <c r="JG42">
        <v>8.4700000000000001E-3</v>
      </c>
      <c r="JH42">
        <v>1.1599999999999999E-2</v>
      </c>
      <c r="JI42">
        <v>7.28E-3</v>
      </c>
      <c r="JJ42">
        <v>6.2399999999999999E-3</v>
      </c>
      <c r="JK42">
        <v>8.6899999999999998E-3</v>
      </c>
      <c r="JL42">
        <v>9.0100000000000006E-3</v>
      </c>
      <c r="JM42">
        <v>6.2899999999999996E-3</v>
      </c>
      <c r="JN42">
        <v>8.2799999999999992E-3</v>
      </c>
      <c r="JO42">
        <v>1.7170000000000001E-2</v>
      </c>
      <c r="JP42">
        <v>6.0299999999999998E-3</v>
      </c>
      <c r="JQ42">
        <v>5.8100000000000001E-3</v>
      </c>
      <c r="JR42">
        <v>6.2199999999999998E-3</v>
      </c>
      <c r="JS42">
        <v>5.64E-3</v>
      </c>
      <c r="JT42">
        <v>6.5500000000000003E-3</v>
      </c>
      <c r="JU42">
        <v>7.7799999999999996E-3</v>
      </c>
      <c r="JV42">
        <v>5.9500000000000004E-3</v>
      </c>
      <c r="JW42">
        <v>6.6E-3</v>
      </c>
      <c r="JX42">
        <v>6.0699999999999999E-3</v>
      </c>
      <c r="JY42">
        <v>7.1999999999999998E-3</v>
      </c>
      <c r="JZ42">
        <v>7.62E-3</v>
      </c>
      <c r="KA42">
        <v>7.4900000000000001E-3</v>
      </c>
      <c r="KB42">
        <v>5.8700000000000002E-3</v>
      </c>
      <c r="KC42">
        <v>6.1199999999999996E-3</v>
      </c>
      <c r="KD42">
        <v>6.6699999999999997E-3</v>
      </c>
      <c r="KE42">
        <v>8.2400000000000008E-3</v>
      </c>
      <c r="KF42">
        <v>1.119E-2</v>
      </c>
      <c r="KG42">
        <v>1.197E-2</v>
      </c>
      <c r="KI42">
        <v>8.2299999999999995E-3</v>
      </c>
      <c r="KJ42">
        <v>8.2500000000000004E-3</v>
      </c>
      <c r="KK42">
        <v>8.2900000000000005E-3</v>
      </c>
      <c r="KL42">
        <v>8.5000000000000006E-3</v>
      </c>
      <c r="KM42">
        <v>8.6700000000000006E-3</v>
      </c>
      <c r="KN42">
        <v>5.3099999999999996E-3</v>
      </c>
      <c r="KO42">
        <v>5.5399999999999998E-3</v>
      </c>
      <c r="KP42">
        <v>7.8300000000000002E-3</v>
      </c>
      <c r="KQ42">
        <v>8.0599999999999995E-3</v>
      </c>
      <c r="KR42">
        <v>8.5699999999999995E-3</v>
      </c>
      <c r="KS42">
        <v>6.4200000000000004E-3</v>
      </c>
      <c r="KT42">
        <v>6.7799999999999996E-3</v>
      </c>
      <c r="KU42">
        <v>6.1500000000000001E-3</v>
      </c>
      <c r="KV42">
        <v>4.5599999999999998E-3</v>
      </c>
      <c r="KW42">
        <v>5.0899999999999999E-3</v>
      </c>
      <c r="KX42">
        <v>1.205E-2</v>
      </c>
      <c r="KY42">
        <v>6.3800000000000003E-3</v>
      </c>
      <c r="KZ42">
        <v>7.6400000000000001E-3</v>
      </c>
      <c r="LA42">
        <v>6.4799999999999996E-3</v>
      </c>
      <c r="LB42">
        <v>6.2100000000000002E-3</v>
      </c>
      <c r="LC42">
        <v>6.3200000000000001E-3</v>
      </c>
      <c r="LD42">
        <v>6.3200000000000001E-3</v>
      </c>
      <c r="LE42">
        <v>9.8700000000000003E-3</v>
      </c>
      <c r="LF42">
        <v>9.3699999999999999E-3</v>
      </c>
      <c r="LG42">
        <v>8.1099999999999992E-3</v>
      </c>
      <c r="LI42">
        <v>9.7599999999999996E-3</v>
      </c>
      <c r="LJ42">
        <v>1.0149999999999999E-2</v>
      </c>
      <c r="LK42">
        <v>1.025E-2</v>
      </c>
      <c r="LL42">
        <v>7.0699999999999999E-3</v>
      </c>
      <c r="LM42">
        <v>5.2399999999999999E-3</v>
      </c>
      <c r="LN42">
        <v>7.2700000000000004E-3</v>
      </c>
      <c r="LO42">
        <v>7.4900000000000001E-3</v>
      </c>
      <c r="LP42">
        <v>6.3400000000000001E-3</v>
      </c>
      <c r="LR42">
        <v>9.7199999999999995E-3</v>
      </c>
      <c r="LS42">
        <v>1.0840000000000001E-2</v>
      </c>
      <c r="LT42">
        <v>6.3299999999999997E-3</v>
      </c>
      <c r="LU42">
        <v>8.9700000000000005E-3</v>
      </c>
      <c r="LV42">
        <v>1.031E-2</v>
      </c>
      <c r="LW42">
        <v>4.7499999999999999E-3</v>
      </c>
      <c r="LX42">
        <v>5.5700000000000003E-3</v>
      </c>
      <c r="LY42">
        <v>7.5700000000000003E-3</v>
      </c>
      <c r="LZ42">
        <v>7.6400000000000001E-3</v>
      </c>
      <c r="MA42">
        <v>7.6600000000000001E-3</v>
      </c>
      <c r="MB42">
        <v>4.15E-3</v>
      </c>
      <c r="MC42">
        <v>9.0299999999999998E-3</v>
      </c>
      <c r="MD42">
        <v>1.042E-2</v>
      </c>
      <c r="ME42">
        <v>1.337E-2</v>
      </c>
      <c r="MF42">
        <v>1.5570000000000001E-2</v>
      </c>
      <c r="MG42">
        <v>1.439E-2</v>
      </c>
      <c r="MH42">
        <v>6.28E-3</v>
      </c>
      <c r="MI42">
        <v>7.1399999999999996E-3</v>
      </c>
      <c r="MJ42">
        <v>7.1500000000000001E-3</v>
      </c>
      <c r="MK42">
        <v>6.8100000000000001E-3</v>
      </c>
      <c r="ML42">
        <v>8.3899999999999999E-3</v>
      </c>
      <c r="MM42">
        <v>7.3400000000000002E-3</v>
      </c>
      <c r="MO42">
        <v>6.11E-3</v>
      </c>
      <c r="MP42">
        <v>6.6699999999999997E-3</v>
      </c>
      <c r="MQ42">
        <v>4.8500000000000001E-3</v>
      </c>
      <c r="MR42">
        <v>6.2599999999999999E-3</v>
      </c>
      <c r="MS42">
        <v>6.6600000000000001E-3</v>
      </c>
      <c r="MT42">
        <v>7.7999999999999996E-3</v>
      </c>
      <c r="MU42">
        <v>4.9800000000000001E-3</v>
      </c>
      <c r="MV42">
        <v>5.6800000000000002E-3</v>
      </c>
      <c r="MW42">
        <v>6.0200000000000002E-3</v>
      </c>
      <c r="MX42">
        <v>6.1900000000000002E-3</v>
      </c>
      <c r="MY42">
        <v>6.7000000000000002E-3</v>
      </c>
      <c r="MZ42">
        <v>7.4799999999999997E-3</v>
      </c>
      <c r="NA42">
        <v>6.7799999999999996E-3</v>
      </c>
      <c r="NB42">
        <v>6.7400000000000003E-3</v>
      </c>
      <c r="NC42">
        <v>4.4000000000000003E-3</v>
      </c>
      <c r="ND42">
        <v>1.3169999999999999E-2</v>
      </c>
      <c r="NE42">
        <v>7.62E-3</v>
      </c>
      <c r="NF42">
        <v>8.0800000000000004E-3</v>
      </c>
      <c r="NG42">
        <v>5.1399999999999996E-3</v>
      </c>
      <c r="NH42">
        <v>4.3E-3</v>
      </c>
      <c r="NI42">
        <v>4.6699999999999997E-3</v>
      </c>
      <c r="NJ42">
        <v>5.1000000000000004E-3</v>
      </c>
      <c r="NK42">
        <v>4.5999999999999999E-3</v>
      </c>
      <c r="NM42">
        <v>5.13E-3</v>
      </c>
      <c r="NN42">
        <v>5.4000000000000003E-3</v>
      </c>
      <c r="NP42">
        <v>4.7200000000000002E-3</v>
      </c>
      <c r="NQ42">
        <v>4.8799999999999998E-3</v>
      </c>
      <c r="NR42">
        <v>4.9699999999999996E-3</v>
      </c>
      <c r="NS42">
        <v>5.1599999999999997E-3</v>
      </c>
      <c r="NT42">
        <v>5.64E-3</v>
      </c>
      <c r="NU42">
        <v>4.6499999999999996E-3</v>
      </c>
      <c r="NV42">
        <v>4.8999999999999998E-3</v>
      </c>
      <c r="NW42">
        <v>4.9500000000000004E-3</v>
      </c>
      <c r="NX42">
        <v>5.1000000000000004E-3</v>
      </c>
      <c r="NY42">
        <v>5.2100000000000002E-3</v>
      </c>
      <c r="NZ42">
        <v>5.45E-3</v>
      </c>
      <c r="OA42">
        <v>5.6800000000000002E-3</v>
      </c>
      <c r="OB42">
        <v>4.6800000000000001E-3</v>
      </c>
      <c r="OC42">
        <v>4.9399999999999999E-3</v>
      </c>
      <c r="OD42">
        <v>5.0899999999999999E-3</v>
      </c>
      <c r="OE42">
        <v>5.0899999999999999E-3</v>
      </c>
      <c r="OF42">
        <v>7.0400000000000003E-3</v>
      </c>
      <c r="OG42">
        <v>5.2599999999999999E-3</v>
      </c>
      <c r="OH42">
        <v>5.5300000000000002E-3</v>
      </c>
      <c r="OI42">
        <v>5.7299999999999999E-3</v>
      </c>
      <c r="OJ42">
        <v>5.9500000000000004E-3</v>
      </c>
      <c r="OK42">
        <v>6.11E-3</v>
      </c>
      <c r="OL42">
        <v>6.2899999999999996E-3</v>
      </c>
      <c r="ON42">
        <v>5.11E-3</v>
      </c>
      <c r="OO42">
        <v>5.3299999999999997E-3</v>
      </c>
      <c r="OP42">
        <v>5.7999999999999996E-3</v>
      </c>
      <c r="OQ42">
        <v>5.9899999999999997E-3</v>
      </c>
      <c r="OR42">
        <v>6.2599999999999999E-3</v>
      </c>
      <c r="OS42">
        <v>6.9699999999999996E-3</v>
      </c>
      <c r="OT42">
        <v>6.5700000000000003E-3</v>
      </c>
      <c r="OV42">
        <v>6.1500000000000001E-3</v>
      </c>
      <c r="OW42">
        <v>3.2299999999999998E-3</v>
      </c>
      <c r="OX42">
        <v>3.32E-3</v>
      </c>
      <c r="OY42">
        <v>4.2300000000000003E-3</v>
      </c>
      <c r="PA42">
        <v>9.4400000000000005E-3</v>
      </c>
      <c r="PB42">
        <v>1.014E-2</v>
      </c>
      <c r="PC42">
        <v>8.1600000000000006E-3</v>
      </c>
      <c r="PD42">
        <v>7.0699999999999999E-3</v>
      </c>
      <c r="PF42">
        <v>6.28E-3</v>
      </c>
      <c r="PG42">
        <v>5.4299999999999999E-3</v>
      </c>
      <c r="PH42">
        <v>5.8100000000000001E-3</v>
      </c>
      <c r="PI42">
        <v>7.4700000000000001E-3</v>
      </c>
      <c r="PJ42">
        <v>6.9100000000000003E-3</v>
      </c>
      <c r="PK42">
        <v>6.3600000000000002E-3</v>
      </c>
      <c r="PL42">
        <v>6.0600000000000003E-3</v>
      </c>
      <c r="PM42">
        <v>5.4999999999999997E-3</v>
      </c>
      <c r="PN42">
        <v>5.0499999999999998E-3</v>
      </c>
      <c r="PO42">
        <v>5.1500000000000001E-3</v>
      </c>
      <c r="PP42">
        <v>5.3600000000000002E-3</v>
      </c>
      <c r="PS42">
        <v>5.7200000000000003E-3</v>
      </c>
      <c r="PT42">
        <v>5.64E-3</v>
      </c>
      <c r="PU42">
        <v>4.47E-3</v>
      </c>
      <c r="PV42">
        <v>4.4600000000000004E-3</v>
      </c>
      <c r="PW42">
        <v>4.6800000000000001E-3</v>
      </c>
      <c r="PX42">
        <v>5.1399999999999996E-3</v>
      </c>
      <c r="PY42">
        <v>5.7299999999999999E-3</v>
      </c>
      <c r="QA42">
        <v>4.0000000000000001E-3</v>
      </c>
      <c r="QB42">
        <v>4.3299999999999996E-3</v>
      </c>
      <c r="QD42">
        <v>5.13E-3</v>
      </c>
      <c r="QE42">
        <v>4.6100000000000004E-3</v>
      </c>
      <c r="QF42">
        <v>4.7499999999999999E-3</v>
      </c>
      <c r="QG42">
        <v>6.6699999999999997E-3</v>
      </c>
      <c r="QH42">
        <v>4.6899999999999997E-3</v>
      </c>
      <c r="QI42">
        <v>5.1700000000000001E-3</v>
      </c>
      <c r="QJ42">
        <v>5.0299999999999997E-3</v>
      </c>
      <c r="QK42">
        <v>4.9699999999999996E-3</v>
      </c>
      <c r="QL42">
        <v>4.79E-3</v>
      </c>
      <c r="QM42">
        <v>5.4099999999999999E-3</v>
      </c>
      <c r="QN42">
        <v>8.1399999999999997E-3</v>
      </c>
      <c r="QO42">
        <v>6.1900000000000002E-3</v>
      </c>
      <c r="QP42">
        <v>7.0899999999999999E-3</v>
      </c>
      <c r="QQ42">
        <v>7.6699999999999997E-3</v>
      </c>
      <c r="QR42">
        <v>8.5100000000000002E-3</v>
      </c>
      <c r="QS42">
        <v>8.4200000000000004E-3</v>
      </c>
      <c r="QU42">
        <v>6.3499999999999997E-3</v>
      </c>
      <c r="QV42">
        <v>6.4099999999999999E-3</v>
      </c>
      <c r="QW42">
        <v>6.2399999999999999E-3</v>
      </c>
      <c r="QX42">
        <v>5.9199999999999999E-3</v>
      </c>
      <c r="QY42">
        <v>5.5799999999999999E-3</v>
      </c>
      <c r="QZ42">
        <v>6.0400000000000002E-3</v>
      </c>
      <c r="RA42">
        <v>6.9499999999999996E-3</v>
      </c>
      <c r="RB42">
        <v>8.3899999999999999E-3</v>
      </c>
      <c r="RD42">
        <v>1.1390000000000001E-2</v>
      </c>
      <c r="RE42">
        <v>8.6800000000000002E-3</v>
      </c>
      <c r="RG42">
        <v>5.62E-3</v>
      </c>
      <c r="RH42">
        <v>5.4599999999999996E-3</v>
      </c>
      <c r="RI42">
        <v>8.26E-3</v>
      </c>
      <c r="RJ42">
        <v>7.8600000000000007E-3</v>
      </c>
      <c r="RK42">
        <v>7.6299999999999996E-3</v>
      </c>
      <c r="RL42">
        <v>7.0899999999999999E-3</v>
      </c>
      <c r="RM42">
        <v>4.7099999999999998E-3</v>
      </c>
      <c r="RN42">
        <v>4.7999999999999996E-3</v>
      </c>
      <c r="RO42">
        <v>4.7999999999999996E-3</v>
      </c>
      <c r="RP42">
        <v>4.4000000000000003E-3</v>
      </c>
      <c r="RQ42">
        <v>4.7999999999999996E-3</v>
      </c>
      <c r="RR42">
        <v>4.5700000000000003E-3</v>
      </c>
      <c r="RS42">
        <v>4.6800000000000001E-3</v>
      </c>
      <c r="RT42">
        <v>3.9399999999999999E-3</v>
      </c>
      <c r="RU42">
        <v>4.7600000000000003E-3</v>
      </c>
      <c r="RV42">
        <v>5.3099999999999996E-3</v>
      </c>
      <c r="RW42">
        <v>5.9100000000000003E-3</v>
      </c>
      <c r="RX42">
        <v>5.3699999999999998E-3</v>
      </c>
      <c r="RY42">
        <v>3.7200000000000002E-3</v>
      </c>
      <c r="RZ42">
        <v>5.4900000000000001E-3</v>
      </c>
      <c r="SA42">
        <v>7.9900000000000006E-3</v>
      </c>
      <c r="SB42">
        <v>7.3600000000000002E-3</v>
      </c>
      <c r="SC42">
        <v>6.8100000000000001E-3</v>
      </c>
      <c r="SE42">
        <v>6.4900000000000001E-3</v>
      </c>
      <c r="SF42">
        <v>7.4000000000000003E-3</v>
      </c>
      <c r="SG42">
        <v>9.2599999999999991E-3</v>
      </c>
      <c r="SH42">
        <v>1.1679999999999999E-2</v>
      </c>
      <c r="SI42">
        <v>6.45E-3</v>
      </c>
      <c r="SJ42">
        <v>5.1599999999999997E-3</v>
      </c>
      <c r="SK42">
        <v>4.62E-3</v>
      </c>
      <c r="SL42">
        <v>4.9399999999999999E-3</v>
      </c>
      <c r="SM42">
        <v>4.1700000000000001E-3</v>
      </c>
      <c r="SN42">
        <v>4.3400000000000001E-3</v>
      </c>
      <c r="SO42">
        <v>4.2199999999999998E-3</v>
      </c>
      <c r="SP42">
        <v>6.13E-3</v>
      </c>
      <c r="SQ42">
        <v>5.2900000000000004E-3</v>
      </c>
      <c r="SR42">
        <v>5.6600000000000001E-3</v>
      </c>
      <c r="SS42">
        <v>4.5300000000000002E-3</v>
      </c>
      <c r="ST42">
        <v>4.6499999999999996E-3</v>
      </c>
      <c r="SU42">
        <v>4.8700000000000002E-3</v>
      </c>
      <c r="SV42">
        <v>4.6100000000000004E-3</v>
      </c>
      <c r="SW42">
        <v>4.9500000000000004E-3</v>
      </c>
      <c r="SX42">
        <v>5.8300000000000001E-3</v>
      </c>
      <c r="SY42">
        <v>4.6600000000000001E-3</v>
      </c>
      <c r="SZ42">
        <v>5.77E-3</v>
      </c>
      <c r="TA42">
        <v>5.5399999999999998E-3</v>
      </c>
      <c r="TB42">
        <v>6.2100000000000002E-3</v>
      </c>
      <c r="TC42">
        <v>5.0299999999999997E-3</v>
      </c>
      <c r="TD42">
        <v>5.1000000000000004E-3</v>
      </c>
      <c r="TE42">
        <v>7.1999999999999998E-3</v>
      </c>
      <c r="TF42">
        <v>6.11E-3</v>
      </c>
      <c r="TG42">
        <v>6.28E-3</v>
      </c>
      <c r="TH42">
        <v>7.5399999999999998E-3</v>
      </c>
      <c r="TI42">
        <v>4.8999999999999998E-3</v>
      </c>
      <c r="TJ42">
        <v>6.79E-3</v>
      </c>
      <c r="TK42">
        <v>4.5999999999999999E-3</v>
      </c>
      <c r="TL42">
        <v>4.2399999999999998E-3</v>
      </c>
      <c r="TM42">
        <v>3.8899999999999998E-3</v>
      </c>
      <c r="TN42">
        <v>5.2300000000000003E-3</v>
      </c>
      <c r="TO42">
        <v>5.1399999999999996E-3</v>
      </c>
      <c r="TP42">
        <v>4.47E-3</v>
      </c>
      <c r="TR42">
        <v>6.2300000000000003E-3</v>
      </c>
      <c r="TS42">
        <v>6.4599999999999996E-3</v>
      </c>
      <c r="TT42">
        <v>6.3600000000000002E-3</v>
      </c>
      <c r="TU42">
        <v>5.8700000000000002E-3</v>
      </c>
      <c r="TV42">
        <v>5.0800000000000003E-3</v>
      </c>
      <c r="TW42">
        <v>4.8599999999999997E-3</v>
      </c>
      <c r="TX42">
        <v>5.0400000000000002E-3</v>
      </c>
      <c r="TY42">
        <v>4.7999999999999996E-3</v>
      </c>
      <c r="TZ42">
        <v>5.1399999999999996E-3</v>
      </c>
      <c r="UA42">
        <v>4.9800000000000001E-3</v>
      </c>
      <c r="UB42">
        <v>4.7400000000000003E-3</v>
      </c>
      <c r="UC42">
        <v>4.7699999999999999E-3</v>
      </c>
      <c r="UD42">
        <v>4.7999999999999996E-3</v>
      </c>
      <c r="UE42">
        <v>4.9100000000000003E-3</v>
      </c>
      <c r="UF42">
        <v>4.2500000000000003E-3</v>
      </c>
      <c r="UG42">
        <v>4.3299999999999996E-3</v>
      </c>
      <c r="UI42">
        <v>4.8900000000000002E-3</v>
      </c>
      <c r="UJ42">
        <v>5.1999999999999998E-3</v>
      </c>
      <c r="UK42">
        <v>5.1399999999999996E-3</v>
      </c>
      <c r="UL42">
        <v>5.3800000000000002E-3</v>
      </c>
      <c r="UM42">
        <v>6.0600000000000003E-3</v>
      </c>
      <c r="UN42">
        <v>4.8900000000000002E-3</v>
      </c>
      <c r="UO42">
        <v>5.0899999999999999E-3</v>
      </c>
      <c r="UP42">
        <v>6.8700000000000002E-3</v>
      </c>
      <c r="UQ42">
        <v>4.7299999999999998E-3</v>
      </c>
      <c r="UR42">
        <v>4.5999999999999999E-3</v>
      </c>
      <c r="US42">
        <v>5.1599999999999997E-3</v>
      </c>
      <c r="UT42">
        <v>4.6899999999999997E-3</v>
      </c>
      <c r="UU42">
        <v>4.9100000000000003E-3</v>
      </c>
      <c r="UW42">
        <v>6.6E-3</v>
      </c>
      <c r="UY42">
        <v>5.0699999999999999E-3</v>
      </c>
      <c r="UZ42">
        <v>5.79E-3</v>
      </c>
      <c r="VA42">
        <v>7.5900000000000004E-3</v>
      </c>
      <c r="VB42">
        <v>5.6100000000000004E-3</v>
      </c>
      <c r="VC42">
        <v>6.6600000000000001E-3</v>
      </c>
      <c r="VD42">
        <v>9.4299999999999991E-3</v>
      </c>
      <c r="VE42">
        <v>6.3899999999999998E-3</v>
      </c>
      <c r="VF42">
        <v>9.1999999999999998E-3</v>
      </c>
      <c r="VG42">
        <v>9.1299999999999992E-3</v>
      </c>
      <c r="VH42">
        <v>5.79E-3</v>
      </c>
      <c r="VI42">
        <v>6.0299999999999998E-3</v>
      </c>
    </row>
    <row r="43" spans="1:581" x14ac:dyDescent="0.25">
      <c r="A43">
        <v>1000000</v>
      </c>
      <c r="B43">
        <v>4.0499999999999998E-3</v>
      </c>
      <c r="C43">
        <v>4.2100000000000002E-3</v>
      </c>
      <c r="D43">
        <v>4.1000000000000003E-3</v>
      </c>
      <c r="E43">
        <v>5.4099999999999999E-3</v>
      </c>
      <c r="F43">
        <v>5.7400000000000003E-3</v>
      </c>
      <c r="G43">
        <v>6.3899999999999998E-3</v>
      </c>
      <c r="H43">
        <v>4.8399999999999997E-3</v>
      </c>
      <c r="I43">
        <v>4.5500000000000002E-3</v>
      </c>
      <c r="J43">
        <v>3.9500000000000004E-3</v>
      </c>
      <c r="K43">
        <v>5.1399999999999996E-3</v>
      </c>
      <c r="L43">
        <v>4.8599999999999997E-3</v>
      </c>
      <c r="M43">
        <v>4.4999999999999997E-3</v>
      </c>
      <c r="N43">
        <v>4.0899999999999999E-3</v>
      </c>
      <c r="O43">
        <v>5.4599999999999996E-3</v>
      </c>
      <c r="P43">
        <v>5.3200000000000001E-3</v>
      </c>
      <c r="R43">
        <v>5.1500000000000001E-3</v>
      </c>
      <c r="S43">
        <v>4.4200000000000003E-3</v>
      </c>
      <c r="T43">
        <v>4.3600000000000002E-3</v>
      </c>
      <c r="U43">
        <v>6.1399999999999996E-3</v>
      </c>
      <c r="V43">
        <v>4.3800000000000002E-3</v>
      </c>
      <c r="W43">
        <v>6.0000000000000001E-3</v>
      </c>
      <c r="X43">
        <v>4.2599999999999999E-3</v>
      </c>
      <c r="Y43">
        <v>5.8599999999999998E-3</v>
      </c>
      <c r="Z43">
        <v>4.0099999999999997E-3</v>
      </c>
      <c r="AA43">
        <v>6.5500000000000003E-3</v>
      </c>
      <c r="AB43">
        <v>7.0400000000000003E-3</v>
      </c>
      <c r="AC43">
        <v>7.3499999999999998E-3</v>
      </c>
      <c r="AD43">
        <v>5.62E-3</v>
      </c>
      <c r="AE43">
        <v>6.45E-3</v>
      </c>
      <c r="AF43">
        <v>6.5900000000000004E-3</v>
      </c>
      <c r="AG43">
        <v>6.0800000000000003E-3</v>
      </c>
      <c r="AH43">
        <v>5.9899999999999997E-3</v>
      </c>
      <c r="AI43">
        <v>6.6800000000000002E-3</v>
      </c>
      <c r="AJ43">
        <v>5.28E-3</v>
      </c>
      <c r="AK43">
        <v>6.1399999999999996E-3</v>
      </c>
      <c r="AL43">
        <v>8.0400000000000003E-3</v>
      </c>
      <c r="AN43">
        <v>6.6499999999999997E-3</v>
      </c>
      <c r="AO43">
        <v>1.218E-2</v>
      </c>
      <c r="AP43">
        <v>6.8300000000000001E-3</v>
      </c>
      <c r="AQ43">
        <v>7.9699999999999997E-3</v>
      </c>
      <c r="AR43">
        <v>7.0200000000000002E-3</v>
      </c>
      <c r="AS43">
        <v>7.4099999999999999E-3</v>
      </c>
      <c r="AT43">
        <v>5.79E-3</v>
      </c>
      <c r="AU43">
        <v>6.5399999999999998E-3</v>
      </c>
      <c r="AV43">
        <v>6.7400000000000003E-3</v>
      </c>
      <c r="AW43">
        <v>6.6600000000000001E-3</v>
      </c>
      <c r="AX43">
        <v>6.5100000000000002E-3</v>
      </c>
      <c r="AY43">
        <v>6.11E-3</v>
      </c>
      <c r="AZ43">
        <v>5.7299999999999999E-3</v>
      </c>
      <c r="BA43">
        <v>6.6899999999999998E-3</v>
      </c>
      <c r="BB43">
        <v>6.79E-3</v>
      </c>
      <c r="BC43">
        <v>7.3899999999999999E-3</v>
      </c>
      <c r="BD43">
        <v>7.7799999999999996E-3</v>
      </c>
      <c r="BE43">
        <v>9.2099999999999994E-3</v>
      </c>
      <c r="BF43">
        <v>1.051E-2</v>
      </c>
      <c r="BG43">
        <v>6.9499999999999996E-3</v>
      </c>
      <c r="BH43">
        <v>6.9499999999999996E-3</v>
      </c>
      <c r="BI43">
        <v>1.065E-2</v>
      </c>
      <c r="BJ43">
        <v>7.3200000000000001E-3</v>
      </c>
      <c r="BK43">
        <v>7.7299999999999999E-3</v>
      </c>
      <c r="BL43">
        <v>7.8399999999999997E-3</v>
      </c>
      <c r="BM43">
        <v>7.4400000000000004E-3</v>
      </c>
      <c r="BN43">
        <v>5.9899999999999997E-3</v>
      </c>
      <c r="BO43">
        <v>8.6099999999999996E-3</v>
      </c>
      <c r="BQ43">
        <v>6.0800000000000003E-3</v>
      </c>
      <c r="BR43">
        <v>5.9800000000000001E-3</v>
      </c>
      <c r="BS43">
        <v>1.299E-2</v>
      </c>
      <c r="BT43">
        <v>8.2900000000000005E-3</v>
      </c>
      <c r="BU43">
        <v>9.3299999999999998E-3</v>
      </c>
      <c r="BV43">
        <v>9.4199999999999996E-3</v>
      </c>
      <c r="BW43">
        <v>9.0900000000000009E-3</v>
      </c>
      <c r="BX43">
        <v>8.8100000000000001E-3</v>
      </c>
      <c r="BY43">
        <v>9.0399999999999994E-3</v>
      </c>
      <c r="BZ43">
        <v>8.09E-3</v>
      </c>
      <c r="CA43">
        <v>8.2100000000000003E-3</v>
      </c>
      <c r="CB43">
        <v>6.6E-3</v>
      </c>
      <c r="CD43">
        <v>5.94E-3</v>
      </c>
      <c r="CE43">
        <v>5.3600000000000002E-3</v>
      </c>
      <c r="CF43">
        <v>5.0200000000000002E-3</v>
      </c>
      <c r="CG43">
        <v>4.7299999999999998E-3</v>
      </c>
      <c r="CH43">
        <v>4.6100000000000004E-3</v>
      </c>
      <c r="CI43">
        <v>4.5900000000000003E-3</v>
      </c>
      <c r="CJ43">
        <v>4.5999999999999999E-3</v>
      </c>
      <c r="CK43">
        <v>5.2700000000000004E-3</v>
      </c>
      <c r="CL43">
        <v>5.4599999999999996E-3</v>
      </c>
      <c r="CM43">
        <v>5.9899999999999997E-3</v>
      </c>
      <c r="CN43">
        <v>6.45E-3</v>
      </c>
      <c r="CP43">
        <v>6.6299999999999996E-3</v>
      </c>
      <c r="CQ43">
        <v>5.2900000000000004E-3</v>
      </c>
      <c r="CR43">
        <v>6.11E-3</v>
      </c>
      <c r="CT43">
        <v>7.11E-3</v>
      </c>
      <c r="CU43">
        <v>5.5999999999999999E-3</v>
      </c>
      <c r="CV43">
        <v>5.3600000000000002E-3</v>
      </c>
      <c r="CX43">
        <v>5.7200000000000003E-3</v>
      </c>
      <c r="CY43">
        <v>5.3699999999999998E-3</v>
      </c>
      <c r="CZ43">
        <v>4.8399999999999997E-3</v>
      </c>
      <c r="DA43">
        <v>5.1200000000000004E-3</v>
      </c>
      <c r="DB43">
        <v>5.0400000000000002E-3</v>
      </c>
      <c r="DC43">
        <v>4.9699999999999996E-3</v>
      </c>
      <c r="DD43">
        <v>4.8700000000000002E-3</v>
      </c>
      <c r="DE43">
        <v>4.79E-3</v>
      </c>
      <c r="DF43">
        <v>7.8700000000000003E-3</v>
      </c>
      <c r="DG43">
        <v>5.13E-3</v>
      </c>
      <c r="DH43">
        <v>6.8399999999999997E-3</v>
      </c>
      <c r="DI43">
        <v>6.6499999999999997E-3</v>
      </c>
      <c r="DJ43">
        <v>6.7400000000000003E-3</v>
      </c>
      <c r="DK43">
        <v>6.7200000000000003E-3</v>
      </c>
      <c r="DL43">
        <v>6.77E-3</v>
      </c>
      <c r="DM43">
        <v>5.7099999999999998E-3</v>
      </c>
      <c r="DO43">
        <v>5.9100000000000003E-3</v>
      </c>
      <c r="DP43">
        <v>8.7500000000000008E-3</v>
      </c>
      <c r="DQ43">
        <v>8.5800000000000008E-3</v>
      </c>
      <c r="DR43">
        <v>6.3800000000000003E-3</v>
      </c>
      <c r="DS43">
        <v>6.9899999999999997E-3</v>
      </c>
      <c r="DT43">
        <v>6.5900000000000004E-3</v>
      </c>
      <c r="DU43">
        <v>6.4999999999999997E-3</v>
      </c>
      <c r="DV43">
        <v>9.0399999999999994E-3</v>
      </c>
      <c r="DW43">
        <v>6.94E-3</v>
      </c>
      <c r="DX43">
        <v>6.79E-3</v>
      </c>
      <c r="DY43">
        <v>9.7699999999999992E-3</v>
      </c>
      <c r="DZ43">
        <v>9.0100000000000006E-3</v>
      </c>
      <c r="EA43">
        <v>5.5900000000000004E-3</v>
      </c>
      <c r="EC43">
        <v>5.0600000000000003E-3</v>
      </c>
      <c r="EF43">
        <v>2.1250000000000002E-2</v>
      </c>
      <c r="EI43">
        <v>6.3299999999999997E-3</v>
      </c>
      <c r="EJ43">
        <v>5.3800000000000002E-3</v>
      </c>
      <c r="EK43">
        <v>5.8100000000000001E-3</v>
      </c>
      <c r="EL43">
        <v>6.2599999999999999E-3</v>
      </c>
      <c r="EM43">
        <v>6.6499999999999997E-3</v>
      </c>
      <c r="EN43">
        <v>6.8100000000000001E-3</v>
      </c>
      <c r="EO43">
        <v>6.9100000000000003E-3</v>
      </c>
      <c r="EP43">
        <v>7.2500000000000004E-3</v>
      </c>
      <c r="EQ43">
        <v>7.3099999999999997E-3</v>
      </c>
      <c r="ER43">
        <v>6.1999999999999998E-3</v>
      </c>
      <c r="ES43">
        <v>5.9699999999999996E-3</v>
      </c>
      <c r="ET43">
        <v>6.11E-3</v>
      </c>
      <c r="EU43">
        <v>1.055E-2</v>
      </c>
      <c r="EV43">
        <v>9.7099999999999999E-3</v>
      </c>
      <c r="EW43">
        <v>9.1400000000000006E-3</v>
      </c>
      <c r="EX43">
        <v>9.3399999999999993E-3</v>
      </c>
      <c r="EY43">
        <v>6.7400000000000003E-3</v>
      </c>
      <c r="EZ43">
        <v>7.0600000000000003E-3</v>
      </c>
      <c r="FA43">
        <v>6.5100000000000002E-3</v>
      </c>
      <c r="FB43">
        <v>7.0200000000000002E-3</v>
      </c>
      <c r="FC43">
        <v>6.1500000000000001E-3</v>
      </c>
      <c r="FD43">
        <v>5.9500000000000004E-3</v>
      </c>
      <c r="FE43">
        <v>6.9699999999999996E-3</v>
      </c>
      <c r="FF43">
        <v>4.4799999999999996E-3</v>
      </c>
      <c r="FG43">
        <v>8.6400000000000001E-3</v>
      </c>
      <c r="FH43">
        <v>9.0900000000000009E-3</v>
      </c>
      <c r="FI43">
        <v>8.6400000000000001E-3</v>
      </c>
      <c r="FJ43">
        <v>8.6499999999999997E-3</v>
      </c>
      <c r="FK43">
        <v>7.8799999999999999E-3</v>
      </c>
      <c r="FL43">
        <v>5.2500000000000003E-3</v>
      </c>
      <c r="FN43">
        <v>6.96E-3</v>
      </c>
      <c r="FO43">
        <v>6.0600000000000003E-3</v>
      </c>
      <c r="FP43">
        <v>5.5900000000000004E-3</v>
      </c>
      <c r="FQ43">
        <v>7.5599999999999999E-3</v>
      </c>
      <c r="FR43">
        <v>7.8300000000000002E-3</v>
      </c>
      <c r="FS43">
        <v>8.1200000000000005E-3</v>
      </c>
      <c r="FT43">
        <v>7.6400000000000001E-3</v>
      </c>
      <c r="FU43">
        <v>7.43E-3</v>
      </c>
      <c r="FV43">
        <v>7.3000000000000001E-3</v>
      </c>
      <c r="FW43">
        <v>7.1199999999999996E-3</v>
      </c>
      <c r="FX43">
        <v>7.4000000000000003E-3</v>
      </c>
      <c r="FY43">
        <v>7.8700000000000003E-3</v>
      </c>
      <c r="FZ43">
        <v>7.4900000000000001E-3</v>
      </c>
      <c r="GA43">
        <v>7.9600000000000001E-3</v>
      </c>
      <c r="GB43">
        <v>7.5799999999999999E-3</v>
      </c>
      <c r="GC43">
        <v>8.0999999999999996E-3</v>
      </c>
      <c r="GD43">
        <v>7.5500000000000003E-3</v>
      </c>
      <c r="GE43">
        <v>8.1300000000000001E-3</v>
      </c>
      <c r="GF43">
        <v>7.0200000000000002E-3</v>
      </c>
      <c r="GG43">
        <v>7.0600000000000003E-3</v>
      </c>
      <c r="GH43">
        <v>7.1900000000000002E-3</v>
      </c>
      <c r="GI43">
        <v>7.9299999999999995E-3</v>
      </c>
      <c r="GJ43">
        <v>8.09E-3</v>
      </c>
      <c r="GK43">
        <v>8.2400000000000008E-3</v>
      </c>
      <c r="GL43">
        <v>8.5299999999999994E-3</v>
      </c>
      <c r="GM43">
        <v>7.4999999999999997E-3</v>
      </c>
      <c r="GO43">
        <v>7.3699999999999998E-3</v>
      </c>
      <c r="GP43">
        <v>6.7499999999999999E-3</v>
      </c>
      <c r="GQ43">
        <v>7.0600000000000003E-3</v>
      </c>
      <c r="GR43">
        <v>7.8700000000000003E-3</v>
      </c>
      <c r="GS43">
        <v>6.43E-3</v>
      </c>
      <c r="GT43">
        <v>7.0000000000000001E-3</v>
      </c>
      <c r="GU43">
        <v>5.1700000000000001E-3</v>
      </c>
      <c r="GV43">
        <v>8.6599999999999993E-3</v>
      </c>
      <c r="GW43">
        <v>8.6700000000000006E-3</v>
      </c>
      <c r="GX43">
        <v>8.0199999999999994E-3</v>
      </c>
      <c r="GY43">
        <v>8.4399999999999996E-3</v>
      </c>
      <c r="GZ43">
        <v>7.4700000000000001E-3</v>
      </c>
      <c r="HA43">
        <v>5.3200000000000001E-3</v>
      </c>
      <c r="HB43">
        <v>4.6899999999999997E-3</v>
      </c>
      <c r="HC43">
        <v>5.9800000000000001E-3</v>
      </c>
      <c r="HE43">
        <v>5.9100000000000003E-3</v>
      </c>
      <c r="HF43">
        <v>6.6E-3</v>
      </c>
      <c r="HG43">
        <v>8.7399999999999995E-3</v>
      </c>
      <c r="HH43">
        <v>8.8100000000000001E-3</v>
      </c>
      <c r="HI43">
        <v>9.1500000000000001E-3</v>
      </c>
      <c r="HJ43">
        <v>4.5999999999999999E-3</v>
      </c>
      <c r="HK43">
        <v>7.2399999999999999E-3</v>
      </c>
      <c r="HL43">
        <v>7.26E-3</v>
      </c>
      <c r="HM43">
        <v>7.11E-3</v>
      </c>
      <c r="HN43">
        <v>6.8999999999999999E-3</v>
      </c>
      <c r="HO43">
        <v>6.7200000000000003E-3</v>
      </c>
      <c r="HP43">
        <v>5.2300000000000003E-3</v>
      </c>
      <c r="HQ43">
        <v>6.7200000000000003E-3</v>
      </c>
      <c r="HR43">
        <v>8.1600000000000006E-3</v>
      </c>
      <c r="HS43">
        <v>1.094E-2</v>
      </c>
      <c r="HT43">
        <v>6.2199999999999998E-3</v>
      </c>
      <c r="HU43">
        <v>5.4599999999999996E-3</v>
      </c>
      <c r="HV43">
        <v>7.2899999999999996E-3</v>
      </c>
      <c r="HW43">
        <v>5.6800000000000002E-3</v>
      </c>
      <c r="HX43">
        <v>7.6600000000000001E-3</v>
      </c>
      <c r="HY43">
        <v>6.3899999999999998E-3</v>
      </c>
      <c r="HZ43">
        <v>4.1799999999999997E-3</v>
      </c>
      <c r="IA43">
        <v>7.6499999999999997E-3</v>
      </c>
      <c r="IB43">
        <v>9.2800000000000001E-3</v>
      </c>
      <c r="IC43">
        <v>7.7799999999999996E-3</v>
      </c>
      <c r="ID43">
        <v>5.7800000000000004E-3</v>
      </c>
      <c r="IE43">
        <v>5.3E-3</v>
      </c>
      <c r="IF43">
        <v>5.4299999999999999E-3</v>
      </c>
      <c r="IG43">
        <v>6.4000000000000003E-3</v>
      </c>
      <c r="IH43">
        <v>6.9199999999999999E-3</v>
      </c>
      <c r="II43">
        <v>5.0099999999999997E-3</v>
      </c>
      <c r="IJ43">
        <v>6.0899999999999999E-3</v>
      </c>
      <c r="IK43">
        <v>6.7200000000000003E-3</v>
      </c>
      <c r="IL43">
        <v>7.4400000000000004E-3</v>
      </c>
      <c r="IM43">
        <v>8.2699999999999996E-3</v>
      </c>
      <c r="IN43">
        <v>8.9499999999999996E-3</v>
      </c>
      <c r="IO43">
        <v>9.8099999999999993E-3</v>
      </c>
      <c r="IP43">
        <v>1.137E-2</v>
      </c>
      <c r="IQ43">
        <v>1.257E-2</v>
      </c>
      <c r="IR43">
        <v>1.374E-2</v>
      </c>
      <c r="IS43">
        <v>4.5799999999999999E-3</v>
      </c>
      <c r="IT43">
        <v>4.8900000000000002E-3</v>
      </c>
      <c r="IV43">
        <v>4.7400000000000003E-3</v>
      </c>
      <c r="IW43">
        <v>5.5399999999999998E-3</v>
      </c>
      <c r="IX43">
        <v>3.6800000000000001E-3</v>
      </c>
      <c r="IY43">
        <v>4.5399999999999998E-3</v>
      </c>
      <c r="IZ43">
        <v>4.2599999999999999E-3</v>
      </c>
      <c r="JB43">
        <v>4.9699999999999996E-3</v>
      </c>
      <c r="JC43">
        <v>5.3699999999999998E-3</v>
      </c>
      <c r="JD43">
        <v>5.7200000000000003E-3</v>
      </c>
      <c r="JE43">
        <v>4.7699999999999999E-3</v>
      </c>
      <c r="JF43">
        <v>5.9699999999999996E-3</v>
      </c>
      <c r="JG43">
        <v>8.4799999999999997E-3</v>
      </c>
      <c r="JH43">
        <v>1.154E-2</v>
      </c>
      <c r="JI43">
        <v>7.1799999999999998E-3</v>
      </c>
      <c r="JJ43">
        <v>6.1700000000000001E-3</v>
      </c>
      <c r="JL43">
        <v>8.9200000000000008E-3</v>
      </c>
      <c r="JM43">
        <v>6.2500000000000003E-3</v>
      </c>
      <c r="JN43">
        <v>8.1499999999999993E-3</v>
      </c>
      <c r="JO43">
        <v>1.669E-2</v>
      </c>
      <c r="JP43">
        <v>5.9300000000000004E-3</v>
      </c>
      <c r="JQ43">
        <v>5.7800000000000004E-3</v>
      </c>
      <c r="JR43">
        <v>6.1799999999999997E-3</v>
      </c>
      <c r="JS43">
        <v>5.5999999999999999E-3</v>
      </c>
      <c r="JT43">
        <v>6.5199999999999998E-3</v>
      </c>
      <c r="JU43">
        <v>7.7799999999999996E-3</v>
      </c>
      <c r="JW43">
        <v>6.5399999999999998E-3</v>
      </c>
      <c r="JX43">
        <v>6.0099999999999997E-3</v>
      </c>
      <c r="JY43">
        <v>7.1399999999999996E-3</v>
      </c>
      <c r="JZ43">
        <v>7.5500000000000003E-3</v>
      </c>
      <c r="KA43">
        <v>7.3899999999999999E-3</v>
      </c>
      <c r="KB43">
        <v>5.8300000000000001E-3</v>
      </c>
      <c r="KC43">
        <v>6.0800000000000003E-3</v>
      </c>
      <c r="KD43">
        <v>6.6299999999999996E-3</v>
      </c>
      <c r="KE43">
        <v>8.2500000000000004E-3</v>
      </c>
      <c r="KF43">
        <v>1.1169999999999999E-2</v>
      </c>
      <c r="KG43">
        <v>1.192E-2</v>
      </c>
      <c r="KH43">
        <v>1.107E-2</v>
      </c>
      <c r="KI43">
        <v>8.1300000000000001E-3</v>
      </c>
      <c r="KJ43">
        <v>8.1600000000000006E-3</v>
      </c>
      <c r="KK43">
        <v>8.1899999999999994E-3</v>
      </c>
      <c r="KL43">
        <v>8.4200000000000004E-3</v>
      </c>
      <c r="KM43">
        <v>8.6199999999999992E-3</v>
      </c>
      <c r="KN43">
        <v>5.2700000000000004E-3</v>
      </c>
      <c r="KO43">
        <v>5.6100000000000004E-3</v>
      </c>
      <c r="KP43">
        <v>7.77E-3</v>
      </c>
      <c r="KQ43">
        <v>8.0199999999999994E-3</v>
      </c>
      <c r="KR43">
        <v>8.4499999999999992E-3</v>
      </c>
      <c r="KS43">
        <v>6.3600000000000002E-3</v>
      </c>
      <c r="KT43">
        <v>6.6899999999999998E-3</v>
      </c>
      <c r="KU43">
        <v>6.1999999999999998E-3</v>
      </c>
      <c r="KV43">
        <v>4.5399999999999998E-3</v>
      </c>
      <c r="KW43">
        <v>5.0499999999999998E-3</v>
      </c>
      <c r="KX43">
        <v>1.197E-2</v>
      </c>
      <c r="KY43">
        <v>6.4200000000000004E-3</v>
      </c>
      <c r="KZ43">
        <v>7.6499999999999997E-3</v>
      </c>
      <c r="LA43">
        <v>6.4099999999999999E-3</v>
      </c>
      <c r="LB43">
        <v>6.1599999999999997E-3</v>
      </c>
      <c r="LC43">
        <v>6.2599999999999999E-3</v>
      </c>
      <c r="LD43">
        <v>6.2599999999999999E-3</v>
      </c>
      <c r="LE43">
        <v>9.7999999999999997E-3</v>
      </c>
      <c r="LF43">
        <v>9.2700000000000005E-3</v>
      </c>
      <c r="LG43">
        <v>7.9799999999999992E-3</v>
      </c>
      <c r="LI43">
        <v>9.6799999999999994E-3</v>
      </c>
      <c r="LJ43">
        <v>1.009E-2</v>
      </c>
      <c r="LK43">
        <v>1.017E-2</v>
      </c>
      <c r="LL43">
        <v>6.9800000000000001E-3</v>
      </c>
      <c r="LM43">
        <v>5.2100000000000002E-3</v>
      </c>
      <c r="LN43">
        <v>7.1500000000000001E-3</v>
      </c>
      <c r="LO43">
        <v>7.3600000000000002E-3</v>
      </c>
      <c r="LP43">
        <v>6.2500000000000003E-3</v>
      </c>
      <c r="LR43">
        <v>9.6299999999999997E-3</v>
      </c>
      <c r="LS43">
        <v>1.077E-2</v>
      </c>
      <c r="LT43">
        <v>6.2399999999999999E-3</v>
      </c>
      <c r="LU43">
        <v>8.8000000000000005E-3</v>
      </c>
      <c r="LV43">
        <v>1.009E-2</v>
      </c>
      <c r="LW43">
        <v>4.7400000000000003E-3</v>
      </c>
      <c r="LY43">
        <v>7.4999999999999997E-3</v>
      </c>
      <c r="LZ43">
        <v>7.5599999999999999E-3</v>
      </c>
      <c r="MA43">
        <v>7.6E-3</v>
      </c>
      <c r="MB43">
        <v>4.15E-3</v>
      </c>
      <c r="MC43">
        <v>8.9800000000000001E-3</v>
      </c>
      <c r="MD43">
        <v>1.039E-2</v>
      </c>
      <c r="ME43">
        <v>1.3339999999999999E-2</v>
      </c>
      <c r="MF43">
        <v>1.5440000000000001E-2</v>
      </c>
      <c r="MG43">
        <v>1.4189999999999999E-2</v>
      </c>
      <c r="MH43">
        <v>6.1799999999999997E-3</v>
      </c>
      <c r="MI43">
        <v>7.0200000000000002E-3</v>
      </c>
      <c r="MJ43">
        <v>7.0200000000000002E-3</v>
      </c>
      <c r="MK43">
        <v>6.6800000000000002E-3</v>
      </c>
      <c r="ML43">
        <v>8.2299999999999995E-3</v>
      </c>
      <c r="MM43">
        <v>7.1900000000000002E-3</v>
      </c>
      <c r="MN43">
        <v>5.5999999999999999E-3</v>
      </c>
      <c r="MO43">
        <v>6.0800000000000003E-3</v>
      </c>
      <c r="MP43">
        <v>6.6600000000000001E-3</v>
      </c>
      <c r="MQ43">
        <v>4.7800000000000004E-3</v>
      </c>
      <c r="MR43">
        <v>6.2100000000000002E-3</v>
      </c>
      <c r="MS43">
        <v>6.6E-3</v>
      </c>
      <c r="MT43">
        <v>7.7600000000000004E-3</v>
      </c>
      <c r="MU43">
        <v>4.96E-3</v>
      </c>
      <c r="MV43">
        <v>5.64E-3</v>
      </c>
      <c r="MW43">
        <v>5.9699999999999996E-3</v>
      </c>
      <c r="MX43">
        <v>6.13E-3</v>
      </c>
      <c r="MY43">
        <v>6.6400000000000001E-3</v>
      </c>
      <c r="MZ43">
        <v>7.4200000000000004E-3</v>
      </c>
      <c r="NA43">
        <v>6.7200000000000003E-3</v>
      </c>
      <c r="NB43">
        <v>6.6800000000000002E-3</v>
      </c>
      <c r="NC43">
        <v>4.3600000000000002E-3</v>
      </c>
      <c r="ND43">
        <v>1.311E-2</v>
      </c>
      <c r="NE43">
        <v>7.5399999999999998E-3</v>
      </c>
      <c r="NF43">
        <v>8.0300000000000007E-3</v>
      </c>
      <c r="NG43">
        <v>5.11E-3</v>
      </c>
      <c r="NH43">
        <v>4.2700000000000004E-3</v>
      </c>
      <c r="NI43">
        <v>4.6299999999999996E-3</v>
      </c>
      <c r="NJ43">
        <v>5.0699999999999999E-3</v>
      </c>
      <c r="NL43">
        <v>4.8300000000000001E-3</v>
      </c>
      <c r="NM43">
        <v>5.1000000000000004E-3</v>
      </c>
      <c r="NN43">
        <v>5.3600000000000002E-3</v>
      </c>
      <c r="NO43">
        <v>5.5599999999999998E-3</v>
      </c>
      <c r="NP43">
        <v>4.7099999999999998E-3</v>
      </c>
      <c r="NQ43">
        <v>4.8300000000000001E-3</v>
      </c>
      <c r="NR43">
        <v>4.9300000000000004E-3</v>
      </c>
      <c r="NS43">
        <v>5.1200000000000004E-3</v>
      </c>
      <c r="NU43">
        <v>4.6100000000000004E-3</v>
      </c>
      <c r="NV43">
        <v>4.8700000000000002E-3</v>
      </c>
      <c r="NW43">
        <v>4.9199999999999999E-3</v>
      </c>
      <c r="NY43">
        <v>5.1700000000000001E-3</v>
      </c>
      <c r="NZ43">
        <v>5.4099999999999999E-3</v>
      </c>
      <c r="OA43">
        <v>5.6299999999999996E-3</v>
      </c>
      <c r="OB43">
        <v>4.6499999999999996E-3</v>
      </c>
      <c r="OC43">
        <v>4.9199999999999999E-3</v>
      </c>
      <c r="OD43">
        <v>5.0499999999999998E-3</v>
      </c>
      <c r="OE43">
        <v>5.0499999999999998E-3</v>
      </c>
      <c r="OF43">
        <v>6.96E-3</v>
      </c>
      <c r="OG43">
        <v>5.2199999999999998E-3</v>
      </c>
      <c r="OH43">
        <v>5.4999999999999997E-3</v>
      </c>
      <c r="OI43">
        <v>5.6899999999999997E-3</v>
      </c>
      <c r="OJ43">
        <v>5.9100000000000003E-3</v>
      </c>
      <c r="OK43">
        <v>6.0499999999999998E-3</v>
      </c>
      <c r="OL43">
        <v>6.2399999999999999E-3</v>
      </c>
      <c r="OM43">
        <v>4.8799999999999998E-3</v>
      </c>
      <c r="ON43">
        <v>5.0800000000000003E-3</v>
      </c>
      <c r="OO43">
        <v>5.2900000000000004E-3</v>
      </c>
      <c r="OP43">
        <v>5.7499999999999999E-3</v>
      </c>
      <c r="OQ43">
        <v>5.9500000000000004E-3</v>
      </c>
      <c r="OR43">
        <v>6.2199999999999998E-3</v>
      </c>
      <c r="OS43">
        <v>6.9100000000000003E-3</v>
      </c>
      <c r="OT43">
        <v>6.5300000000000002E-3</v>
      </c>
      <c r="OU43">
        <v>5.5100000000000001E-3</v>
      </c>
      <c r="OV43">
        <v>6.1700000000000001E-3</v>
      </c>
      <c r="OW43">
        <v>3.2000000000000002E-3</v>
      </c>
      <c r="OX43">
        <v>3.3800000000000002E-3</v>
      </c>
      <c r="OY43">
        <v>4.28E-3</v>
      </c>
      <c r="OZ43">
        <v>4.7200000000000002E-3</v>
      </c>
      <c r="PA43">
        <v>9.41E-3</v>
      </c>
      <c r="PB43">
        <v>1.004E-2</v>
      </c>
      <c r="PC43">
        <v>8.0999999999999996E-3</v>
      </c>
      <c r="PD43">
        <v>7.0400000000000003E-3</v>
      </c>
      <c r="PE43">
        <v>6.5700000000000003E-3</v>
      </c>
      <c r="PF43">
        <v>6.2599999999999999E-3</v>
      </c>
      <c r="PG43">
        <v>5.4000000000000003E-3</v>
      </c>
      <c r="PH43">
        <v>5.7800000000000004E-3</v>
      </c>
      <c r="PI43">
        <v>7.4099999999999999E-3</v>
      </c>
      <c r="PJ43">
        <v>6.8599999999999998E-3</v>
      </c>
      <c r="PL43">
        <v>6.0400000000000002E-3</v>
      </c>
      <c r="PM43">
        <v>5.4799999999999996E-3</v>
      </c>
      <c r="PN43">
        <v>5.0299999999999997E-3</v>
      </c>
      <c r="PO43">
        <v>5.11E-3</v>
      </c>
      <c r="PP43">
        <v>5.3099999999999996E-3</v>
      </c>
      <c r="PQ43">
        <v>5.1399999999999996E-3</v>
      </c>
      <c r="PS43">
        <v>5.6600000000000001E-3</v>
      </c>
      <c r="PT43">
        <v>5.5900000000000004E-3</v>
      </c>
      <c r="PU43">
        <v>4.4299999999999999E-3</v>
      </c>
      <c r="PV43">
        <v>4.3800000000000002E-3</v>
      </c>
      <c r="PW43">
        <v>4.5799999999999999E-3</v>
      </c>
      <c r="PX43">
        <v>5.0400000000000002E-3</v>
      </c>
      <c r="QA43">
        <v>3.98E-3</v>
      </c>
      <c r="QB43">
        <v>4.3200000000000001E-3</v>
      </c>
      <c r="QC43">
        <v>5.7600000000000004E-3</v>
      </c>
      <c r="QD43">
        <v>5.13E-3</v>
      </c>
      <c r="QE43">
        <v>4.5999999999999999E-3</v>
      </c>
      <c r="QF43">
        <v>4.7600000000000003E-3</v>
      </c>
      <c r="QG43">
        <v>6.6899999999999998E-3</v>
      </c>
      <c r="QH43">
        <v>4.7000000000000002E-3</v>
      </c>
      <c r="QI43">
        <v>5.1700000000000001E-3</v>
      </c>
      <c r="QJ43">
        <v>5.0299999999999997E-3</v>
      </c>
      <c r="QK43">
        <v>4.9699999999999996E-3</v>
      </c>
      <c r="QL43">
        <v>4.79E-3</v>
      </c>
      <c r="QM43">
        <v>5.3899999999999998E-3</v>
      </c>
      <c r="QN43">
        <v>8.1700000000000002E-3</v>
      </c>
      <c r="QO43">
        <v>6.1500000000000001E-3</v>
      </c>
      <c r="QP43">
        <v>7.1199999999999996E-3</v>
      </c>
      <c r="QQ43">
        <v>7.6899999999999998E-3</v>
      </c>
      <c r="QR43">
        <v>8.4799999999999997E-3</v>
      </c>
      <c r="QS43">
        <v>8.3800000000000003E-3</v>
      </c>
      <c r="QT43">
        <v>6.2399999999999999E-3</v>
      </c>
      <c r="QU43">
        <v>6.3099999999999996E-3</v>
      </c>
      <c r="QV43">
        <v>6.3699999999999998E-3</v>
      </c>
      <c r="QW43">
        <v>6.1999999999999998E-3</v>
      </c>
      <c r="QX43">
        <v>5.8900000000000003E-3</v>
      </c>
      <c r="QY43">
        <v>5.5399999999999998E-3</v>
      </c>
      <c r="QZ43">
        <v>5.9899999999999997E-3</v>
      </c>
      <c r="RA43">
        <v>6.8599999999999998E-3</v>
      </c>
      <c r="RB43">
        <v>8.2699999999999996E-3</v>
      </c>
      <c r="RD43">
        <v>1.1180000000000001E-2</v>
      </c>
      <c r="RE43">
        <v>8.5400000000000007E-3</v>
      </c>
      <c r="RF43">
        <v>7.9100000000000004E-3</v>
      </c>
      <c r="RG43">
        <v>5.5900000000000004E-3</v>
      </c>
      <c r="RH43">
        <v>5.4200000000000003E-3</v>
      </c>
      <c r="RI43">
        <v>8.2000000000000007E-3</v>
      </c>
      <c r="RJ43">
        <v>7.7400000000000004E-3</v>
      </c>
      <c r="RK43">
        <v>7.5700000000000003E-3</v>
      </c>
      <c r="RL43">
        <v>7.0099999999999997E-3</v>
      </c>
      <c r="RM43">
        <v>4.6899999999999997E-3</v>
      </c>
      <c r="RN43">
        <v>4.7800000000000004E-3</v>
      </c>
      <c r="RO43">
        <v>4.7800000000000004E-3</v>
      </c>
      <c r="RP43">
        <v>4.3800000000000002E-3</v>
      </c>
      <c r="RQ43">
        <v>4.7699999999999999E-3</v>
      </c>
      <c r="RR43">
        <v>4.5399999999999998E-3</v>
      </c>
      <c r="RS43">
        <v>4.6499999999999996E-3</v>
      </c>
      <c r="RT43">
        <v>3.9300000000000003E-3</v>
      </c>
      <c r="RV43">
        <v>5.28E-3</v>
      </c>
      <c r="RW43">
        <v>5.8799999999999998E-3</v>
      </c>
      <c r="RX43">
        <v>5.3400000000000001E-3</v>
      </c>
      <c r="RY43">
        <v>3.6900000000000001E-3</v>
      </c>
      <c r="RZ43">
        <v>5.4000000000000003E-3</v>
      </c>
      <c r="SA43">
        <v>7.9399999999999991E-3</v>
      </c>
      <c r="SB43">
        <v>7.1999999999999998E-3</v>
      </c>
      <c r="SC43">
        <v>6.7499999999999999E-3</v>
      </c>
      <c r="SD43">
        <v>7.1000000000000004E-3</v>
      </c>
      <c r="SF43">
        <v>7.3600000000000002E-3</v>
      </c>
      <c r="SG43">
        <v>9.1999999999999998E-3</v>
      </c>
      <c r="SH43">
        <v>1.162E-2</v>
      </c>
      <c r="SI43">
        <v>6.4000000000000003E-3</v>
      </c>
      <c r="SJ43">
        <v>5.13E-3</v>
      </c>
      <c r="SK43">
        <v>4.5900000000000003E-3</v>
      </c>
      <c r="SL43">
        <v>4.9300000000000004E-3</v>
      </c>
      <c r="SM43">
        <v>4.1399999999999996E-3</v>
      </c>
      <c r="SN43">
        <v>4.3299999999999996E-3</v>
      </c>
      <c r="SO43">
        <v>4.1999999999999997E-3</v>
      </c>
      <c r="SP43">
        <v>6.11E-3</v>
      </c>
      <c r="SQ43">
        <v>5.2500000000000003E-3</v>
      </c>
      <c r="SR43">
        <v>5.64E-3</v>
      </c>
      <c r="SS43">
        <v>4.5199999999999997E-3</v>
      </c>
      <c r="SU43">
        <v>4.8300000000000001E-3</v>
      </c>
      <c r="SV43">
        <v>4.5900000000000003E-3</v>
      </c>
      <c r="SW43">
        <v>4.9399999999999999E-3</v>
      </c>
      <c r="SX43">
        <v>5.7800000000000004E-3</v>
      </c>
      <c r="SY43">
        <v>4.6299999999999996E-3</v>
      </c>
      <c r="SZ43">
        <v>5.7600000000000004E-3</v>
      </c>
      <c r="TA43">
        <v>5.5100000000000001E-3</v>
      </c>
      <c r="TB43">
        <v>6.1999999999999998E-3</v>
      </c>
      <c r="TC43">
        <v>5.0200000000000002E-3</v>
      </c>
      <c r="TD43">
        <v>5.0600000000000003E-3</v>
      </c>
      <c r="TE43">
        <v>7.1799999999999998E-3</v>
      </c>
      <c r="TF43">
        <v>6.0600000000000003E-3</v>
      </c>
      <c r="TG43">
        <v>6.28E-3</v>
      </c>
      <c r="TH43">
        <v>7.4900000000000001E-3</v>
      </c>
      <c r="TI43">
        <v>4.8900000000000002E-3</v>
      </c>
      <c r="TJ43">
        <v>6.7999999999999996E-3</v>
      </c>
      <c r="TK43">
        <v>4.5799999999999999E-3</v>
      </c>
      <c r="TL43">
        <v>4.2300000000000003E-3</v>
      </c>
      <c r="TM43">
        <v>3.8800000000000002E-3</v>
      </c>
      <c r="TN43">
        <v>5.1999999999999998E-3</v>
      </c>
      <c r="TO43">
        <v>5.1500000000000001E-3</v>
      </c>
      <c r="TP43">
        <v>4.4299999999999999E-3</v>
      </c>
      <c r="TQ43">
        <v>5.3E-3</v>
      </c>
      <c r="TR43">
        <v>6.1999999999999998E-3</v>
      </c>
      <c r="TS43">
        <v>6.4099999999999999E-3</v>
      </c>
      <c r="TT43">
        <v>6.3200000000000001E-3</v>
      </c>
      <c r="TU43">
        <v>5.8300000000000001E-3</v>
      </c>
      <c r="TV43">
        <v>5.0299999999999997E-3</v>
      </c>
      <c r="TW43">
        <v>4.8399999999999997E-3</v>
      </c>
      <c r="TX43">
        <v>5.0299999999999997E-3</v>
      </c>
      <c r="TY43">
        <v>4.7999999999999996E-3</v>
      </c>
      <c r="TZ43">
        <v>5.13E-3</v>
      </c>
      <c r="UA43">
        <v>4.9899999999999996E-3</v>
      </c>
      <c r="UB43">
        <v>4.7499999999999999E-3</v>
      </c>
      <c r="UC43">
        <v>4.7600000000000003E-3</v>
      </c>
      <c r="UD43">
        <v>4.79E-3</v>
      </c>
      <c r="UE43">
        <v>4.8999999999999998E-3</v>
      </c>
      <c r="UF43">
        <v>4.2100000000000002E-3</v>
      </c>
      <c r="UG43">
        <v>4.3E-3</v>
      </c>
      <c r="UH43">
        <v>5.5100000000000001E-3</v>
      </c>
      <c r="UI43">
        <v>4.8399999999999997E-3</v>
      </c>
      <c r="UJ43">
        <v>5.2199999999999998E-3</v>
      </c>
      <c r="UK43">
        <v>5.13E-3</v>
      </c>
      <c r="UL43">
        <v>5.3600000000000002E-3</v>
      </c>
      <c r="UM43">
        <v>6.0499999999999998E-3</v>
      </c>
      <c r="UN43">
        <v>4.8900000000000002E-3</v>
      </c>
      <c r="UO43">
        <v>5.0800000000000003E-3</v>
      </c>
      <c r="UP43">
        <v>6.8399999999999997E-3</v>
      </c>
      <c r="UQ43">
        <v>4.7299999999999998E-3</v>
      </c>
      <c r="UR43">
        <v>4.5900000000000003E-3</v>
      </c>
      <c r="US43">
        <v>5.1500000000000001E-3</v>
      </c>
      <c r="UU43">
        <v>4.8999999999999998E-3</v>
      </c>
      <c r="UV43">
        <v>5.1200000000000004E-3</v>
      </c>
      <c r="UX43">
        <v>4.6800000000000001E-3</v>
      </c>
      <c r="UY43">
        <v>5.0299999999999997E-3</v>
      </c>
      <c r="UZ43">
        <v>5.7600000000000004E-3</v>
      </c>
      <c r="VA43">
        <v>7.5599999999999999E-3</v>
      </c>
      <c r="VB43">
        <v>5.6100000000000004E-3</v>
      </c>
      <c r="VC43">
        <v>6.5900000000000004E-3</v>
      </c>
      <c r="VD43">
        <v>9.1599999999999997E-3</v>
      </c>
      <c r="VE43">
        <v>6.2599999999999999E-3</v>
      </c>
      <c r="VF43">
        <v>8.9700000000000005E-3</v>
      </c>
      <c r="VG43">
        <v>9.0500000000000008E-3</v>
      </c>
      <c r="VH43">
        <v>5.7099999999999998E-3</v>
      </c>
    </row>
    <row r="44" spans="1:581" x14ac:dyDescent="0.25">
      <c r="A44">
        <v>1050000</v>
      </c>
      <c r="B44">
        <v>4.0099999999999997E-3</v>
      </c>
      <c r="C44">
        <v>4.3699999999999998E-3</v>
      </c>
      <c r="D44">
        <v>4.3E-3</v>
      </c>
      <c r="E44">
        <v>5.5100000000000001E-3</v>
      </c>
      <c r="F44">
        <v>5.8100000000000001E-3</v>
      </c>
      <c r="G44">
        <v>6.4200000000000004E-3</v>
      </c>
      <c r="H44">
        <v>4.8799999999999998E-3</v>
      </c>
      <c r="I44">
        <v>4.64E-3</v>
      </c>
      <c r="J44">
        <v>4.2199999999999998E-3</v>
      </c>
      <c r="K44">
        <v>5.1399999999999996E-3</v>
      </c>
      <c r="L44">
        <v>4.8799999999999998E-3</v>
      </c>
      <c r="M44">
        <v>4.5799999999999999E-3</v>
      </c>
      <c r="O44">
        <v>5.3899999999999998E-3</v>
      </c>
      <c r="P44">
        <v>5.2599999999999999E-3</v>
      </c>
      <c r="Q44">
        <v>5.2500000000000003E-3</v>
      </c>
      <c r="R44">
        <v>5.0899999999999999E-3</v>
      </c>
      <c r="S44">
        <v>4.3899999999999998E-3</v>
      </c>
      <c r="T44">
        <v>4.3400000000000001E-3</v>
      </c>
      <c r="U44">
        <v>6.13E-3</v>
      </c>
      <c r="V44">
        <v>4.3600000000000002E-3</v>
      </c>
      <c r="W44">
        <v>6.0000000000000001E-3</v>
      </c>
      <c r="X44">
        <v>4.2199999999999998E-3</v>
      </c>
      <c r="Y44">
        <v>5.8999999999999999E-3</v>
      </c>
      <c r="Z44">
        <v>3.9399999999999999E-3</v>
      </c>
      <c r="AA44">
        <v>6.3400000000000001E-3</v>
      </c>
      <c r="AB44">
        <v>6.9899999999999997E-3</v>
      </c>
      <c r="AC44">
        <v>7.3400000000000002E-3</v>
      </c>
      <c r="AD44">
        <v>5.5500000000000002E-3</v>
      </c>
      <c r="AF44">
        <v>6.5300000000000002E-3</v>
      </c>
      <c r="AG44">
        <v>5.8799999999999998E-3</v>
      </c>
      <c r="AH44">
        <v>5.7999999999999996E-3</v>
      </c>
      <c r="AI44">
        <v>6.4099999999999999E-3</v>
      </c>
      <c r="AJ44">
        <v>5.1700000000000001E-3</v>
      </c>
      <c r="AK44">
        <v>6.0899999999999999E-3</v>
      </c>
      <c r="AL44">
        <v>7.9600000000000001E-3</v>
      </c>
      <c r="AM44">
        <v>5.5599999999999998E-3</v>
      </c>
      <c r="AN44">
        <v>6.45E-3</v>
      </c>
      <c r="AO44">
        <v>1.187E-2</v>
      </c>
      <c r="AP44">
        <v>6.6499999999999997E-3</v>
      </c>
      <c r="AQ44">
        <v>7.7000000000000002E-3</v>
      </c>
      <c r="AS44">
        <v>7.1900000000000002E-3</v>
      </c>
      <c r="AT44">
        <v>5.6100000000000004E-3</v>
      </c>
      <c r="AU44">
        <v>6.3400000000000001E-3</v>
      </c>
      <c r="AV44">
        <v>6.4099999999999999E-3</v>
      </c>
      <c r="AW44">
        <v>6.4599999999999996E-3</v>
      </c>
      <c r="AY44">
        <v>5.8599999999999998E-3</v>
      </c>
      <c r="AZ44">
        <v>5.5199999999999997E-3</v>
      </c>
      <c r="BA44">
        <v>6.3899999999999998E-3</v>
      </c>
      <c r="BB44">
        <v>6.7000000000000002E-3</v>
      </c>
      <c r="BC44">
        <v>7.2899999999999996E-3</v>
      </c>
      <c r="BD44">
        <v>7.6699999999999997E-3</v>
      </c>
      <c r="BE44">
        <v>9.0399999999999994E-3</v>
      </c>
      <c r="BF44">
        <v>1.0370000000000001E-2</v>
      </c>
      <c r="BG44">
        <v>6.8199999999999997E-3</v>
      </c>
      <c r="BH44">
        <v>6.7200000000000003E-3</v>
      </c>
      <c r="BI44">
        <v>1.0449999999999999E-2</v>
      </c>
      <c r="BJ44">
        <v>7.1599999999999997E-3</v>
      </c>
      <c r="BK44">
        <v>7.62E-3</v>
      </c>
      <c r="BL44">
        <v>7.7099999999999998E-3</v>
      </c>
      <c r="BM44">
        <v>7.3200000000000001E-3</v>
      </c>
      <c r="BN44">
        <v>5.9800000000000001E-3</v>
      </c>
      <c r="BO44">
        <v>8.4899999999999993E-3</v>
      </c>
      <c r="BP44">
        <v>6.9199999999999999E-3</v>
      </c>
      <c r="BQ44">
        <v>6.0400000000000002E-3</v>
      </c>
      <c r="BR44">
        <v>5.79E-3</v>
      </c>
      <c r="BT44">
        <v>8.1600000000000006E-3</v>
      </c>
      <c r="BU44">
        <v>9.2099999999999994E-3</v>
      </c>
      <c r="BV44">
        <v>9.2800000000000001E-3</v>
      </c>
      <c r="BW44">
        <v>8.9700000000000005E-3</v>
      </c>
      <c r="BY44">
        <v>8.94E-3</v>
      </c>
      <c r="BZ44">
        <v>7.9500000000000005E-3</v>
      </c>
      <c r="CB44">
        <v>6.5399999999999998E-3</v>
      </c>
      <c r="CC44">
        <v>7.1000000000000004E-3</v>
      </c>
      <c r="CD44">
        <v>5.8799999999999998E-3</v>
      </c>
      <c r="CE44">
        <v>5.3899999999999998E-3</v>
      </c>
      <c r="CF44">
        <v>5.0400000000000002E-3</v>
      </c>
      <c r="CH44">
        <v>4.5300000000000002E-3</v>
      </c>
      <c r="CI44">
        <v>4.4799999999999996E-3</v>
      </c>
      <c r="CJ44">
        <v>4.4999999999999997E-3</v>
      </c>
      <c r="CK44">
        <v>5.13E-3</v>
      </c>
      <c r="CL44">
        <v>5.47E-3</v>
      </c>
      <c r="CM44">
        <v>5.9300000000000004E-3</v>
      </c>
      <c r="CN44">
        <v>6.3699999999999998E-3</v>
      </c>
      <c r="CO44">
        <v>6.0699999999999999E-3</v>
      </c>
      <c r="CP44">
        <v>6.5599999999999999E-3</v>
      </c>
      <c r="CQ44">
        <v>5.2599999999999999E-3</v>
      </c>
      <c r="CS44">
        <v>6.6100000000000004E-3</v>
      </c>
      <c r="CT44">
        <v>7.0099999999999997E-3</v>
      </c>
      <c r="CU44">
        <v>5.5500000000000002E-3</v>
      </c>
      <c r="CV44">
        <v>5.3299999999999997E-3</v>
      </c>
      <c r="CW44">
        <v>5.7999999999999996E-3</v>
      </c>
      <c r="CX44">
        <v>5.6600000000000001E-3</v>
      </c>
      <c r="CY44">
        <v>5.2100000000000002E-3</v>
      </c>
      <c r="CZ44">
        <v>4.7499999999999999E-3</v>
      </c>
      <c r="DA44">
        <v>5.0899999999999999E-3</v>
      </c>
      <c r="DB44">
        <v>4.9899999999999996E-3</v>
      </c>
      <c r="DC44">
        <v>4.9199999999999999E-3</v>
      </c>
      <c r="DD44">
        <v>4.8399999999999997E-3</v>
      </c>
      <c r="DE44">
        <v>4.7699999999999999E-3</v>
      </c>
      <c r="DF44">
        <v>7.6600000000000001E-3</v>
      </c>
      <c r="DG44">
        <v>5.0499999999999998E-3</v>
      </c>
      <c r="DI44">
        <v>6.4700000000000001E-3</v>
      </c>
      <c r="DJ44">
        <v>6.5900000000000004E-3</v>
      </c>
      <c r="DL44">
        <v>6.6299999999999996E-3</v>
      </c>
      <c r="DM44">
        <v>5.5999999999999999E-3</v>
      </c>
      <c r="DN44">
        <v>5.8599999999999998E-3</v>
      </c>
      <c r="DO44">
        <v>5.8399999999999997E-3</v>
      </c>
      <c r="DP44">
        <v>8.6800000000000002E-3</v>
      </c>
      <c r="DQ44">
        <v>8.5199999999999998E-3</v>
      </c>
      <c r="DR44">
        <v>6.2100000000000002E-3</v>
      </c>
      <c r="DS44">
        <v>6.7799999999999996E-3</v>
      </c>
      <c r="DT44">
        <v>6.3899999999999998E-3</v>
      </c>
      <c r="DU44">
        <v>6.3899999999999998E-3</v>
      </c>
      <c r="DW44">
        <v>6.7299999999999999E-3</v>
      </c>
      <c r="DX44">
        <v>6.6499999999999997E-3</v>
      </c>
      <c r="DY44">
        <v>9.6500000000000006E-3</v>
      </c>
      <c r="DZ44">
        <v>8.9999999999999993E-3</v>
      </c>
      <c r="EA44">
        <v>5.4999999999999997E-3</v>
      </c>
      <c r="EB44">
        <v>5.4400000000000004E-3</v>
      </c>
      <c r="EC44">
        <v>4.9800000000000001E-3</v>
      </c>
      <c r="EF44">
        <v>2.034E-2</v>
      </c>
      <c r="EI44">
        <v>6.2700000000000004E-3</v>
      </c>
      <c r="EJ44">
        <v>5.3800000000000002E-3</v>
      </c>
      <c r="EK44">
        <v>5.7499999999999999E-3</v>
      </c>
      <c r="EL44">
        <v>6.1799999999999997E-3</v>
      </c>
      <c r="EM44">
        <v>6.5500000000000003E-3</v>
      </c>
      <c r="EN44">
        <v>6.7099999999999998E-3</v>
      </c>
      <c r="EO44">
        <v>6.79E-3</v>
      </c>
      <c r="EP44">
        <v>7.1500000000000001E-3</v>
      </c>
      <c r="ER44">
        <v>6.0400000000000002E-3</v>
      </c>
      <c r="ES44">
        <v>5.8199999999999997E-3</v>
      </c>
      <c r="ET44">
        <v>5.9199999999999999E-3</v>
      </c>
      <c r="EU44">
        <v>1.047E-2</v>
      </c>
      <c r="EV44">
        <v>9.58E-3</v>
      </c>
      <c r="EW44">
        <v>9.0600000000000003E-3</v>
      </c>
      <c r="EX44">
        <v>9.1900000000000003E-3</v>
      </c>
      <c r="EY44">
        <v>6.7099999999999998E-3</v>
      </c>
      <c r="EZ44">
        <v>7.0400000000000003E-3</v>
      </c>
      <c r="FA44">
        <v>6.3800000000000003E-3</v>
      </c>
      <c r="FB44">
        <v>6.8900000000000003E-3</v>
      </c>
      <c r="FC44">
        <v>6.0000000000000001E-3</v>
      </c>
      <c r="FD44">
        <v>5.8100000000000001E-3</v>
      </c>
      <c r="FE44">
        <v>6.8199999999999997E-3</v>
      </c>
      <c r="FF44">
        <v>4.4600000000000004E-3</v>
      </c>
      <c r="FG44">
        <v>8.5900000000000004E-3</v>
      </c>
      <c r="FH44">
        <v>8.9700000000000005E-3</v>
      </c>
      <c r="FI44">
        <v>8.5800000000000008E-3</v>
      </c>
      <c r="FJ44">
        <v>8.5900000000000004E-3</v>
      </c>
      <c r="FK44">
        <v>7.79E-3</v>
      </c>
      <c r="FL44">
        <v>5.1799999999999997E-3</v>
      </c>
      <c r="FN44">
        <v>6.7400000000000003E-3</v>
      </c>
      <c r="FO44">
        <v>5.9300000000000004E-3</v>
      </c>
      <c r="FP44">
        <v>5.45E-3</v>
      </c>
      <c r="FQ44">
        <v>7.3400000000000002E-3</v>
      </c>
      <c r="FR44">
        <v>7.5900000000000004E-3</v>
      </c>
      <c r="FS44">
        <v>7.8399999999999997E-3</v>
      </c>
      <c r="FT44">
        <v>7.4099999999999999E-3</v>
      </c>
      <c r="FU44">
        <v>7.26E-3</v>
      </c>
      <c r="FV44">
        <v>7.1999999999999998E-3</v>
      </c>
      <c r="FW44">
        <v>6.9699999999999996E-3</v>
      </c>
      <c r="FX44">
        <v>7.3000000000000001E-3</v>
      </c>
      <c r="FY44">
        <v>7.7600000000000004E-3</v>
      </c>
      <c r="FZ44">
        <v>7.3499999999999998E-3</v>
      </c>
      <c r="GA44">
        <v>7.8300000000000002E-3</v>
      </c>
      <c r="GB44">
        <v>7.4799999999999997E-3</v>
      </c>
      <c r="GC44">
        <v>7.9500000000000005E-3</v>
      </c>
      <c r="GD44">
        <v>7.43E-3</v>
      </c>
      <c r="GE44">
        <v>7.9799999999999992E-3</v>
      </c>
      <c r="GF44">
        <v>6.94E-3</v>
      </c>
      <c r="GG44">
        <v>6.9699999999999996E-3</v>
      </c>
      <c r="GH44">
        <v>7.0800000000000004E-3</v>
      </c>
      <c r="GI44">
        <v>7.8399999999999997E-3</v>
      </c>
      <c r="GJ44">
        <v>7.9799999999999992E-3</v>
      </c>
      <c r="GK44">
        <v>8.1499999999999993E-3</v>
      </c>
      <c r="GL44">
        <v>8.4200000000000004E-3</v>
      </c>
      <c r="GM44">
        <v>7.43E-3</v>
      </c>
      <c r="GO44">
        <v>7.2399999999999999E-3</v>
      </c>
      <c r="GP44">
        <v>6.6E-3</v>
      </c>
      <c r="GQ44">
        <v>6.8799999999999998E-3</v>
      </c>
      <c r="GR44">
        <v>7.6299999999999996E-3</v>
      </c>
      <c r="GS44">
        <v>6.3099999999999996E-3</v>
      </c>
      <c r="GT44">
        <v>6.8500000000000002E-3</v>
      </c>
      <c r="GU44">
        <v>5.1500000000000001E-3</v>
      </c>
      <c r="GV44">
        <v>8.5800000000000008E-3</v>
      </c>
      <c r="GW44">
        <v>8.5199999999999998E-3</v>
      </c>
      <c r="GX44">
        <v>7.9100000000000004E-3</v>
      </c>
      <c r="GY44">
        <v>8.1700000000000002E-3</v>
      </c>
      <c r="GZ44">
        <v>7.2700000000000004E-3</v>
      </c>
      <c r="HA44">
        <v>5.2700000000000004E-3</v>
      </c>
      <c r="HB44">
        <v>4.7299999999999998E-3</v>
      </c>
      <c r="HC44">
        <v>5.8900000000000003E-3</v>
      </c>
      <c r="HE44">
        <v>5.7800000000000004E-3</v>
      </c>
      <c r="HF44">
        <v>6.7200000000000003E-3</v>
      </c>
      <c r="HH44">
        <v>8.7200000000000003E-3</v>
      </c>
      <c r="HI44">
        <v>9.0699999999999999E-3</v>
      </c>
      <c r="HJ44">
        <v>4.5599999999999998E-3</v>
      </c>
      <c r="HK44">
        <v>6.9899999999999997E-3</v>
      </c>
      <c r="HL44">
        <v>7.11E-3</v>
      </c>
      <c r="HM44">
        <v>6.9199999999999999E-3</v>
      </c>
      <c r="HN44">
        <v>6.7299999999999999E-3</v>
      </c>
      <c r="HO44">
        <v>6.5199999999999998E-3</v>
      </c>
      <c r="HP44">
        <v>5.1700000000000001E-3</v>
      </c>
      <c r="HQ44">
        <v>6.4999999999999997E-3</v>
      </c>
      <c r="HR44">
        <v>7.8600000000000007E-3</v>
      </c>
      <c r="HS44">
        <v>1.073E-2</v>
      </c>
      <c r="HT44">
        <v>6.0400000000000002E-3</v>
      </c>
      <c r="HU44">
        <v>5.4000000000000003E-3</v>
      </c>
      <c r="HV44">
        <v>7.1500000000000001E-3</v>
      </c>
      <c r="HW44">
        <v>5.62E-3</v>
      </c>
      <c r="HX44">
        <v>7.4000000000000003E-3</v>
      </c>
      <c r="HY44">
        <v>6.2500000000000003E-3</v>
      </c>
      <c r="HZ44">
        <v>4.1000000000000003E-3</v>
      </c>
      <c r="IA44">
        <v>7.4799999999999997E-3</v>
      </c>
      <c r="IB44">
        <v>9.1699999999999993E-3</v>
      </c>
      <c r="IC44">
        <v>7.6800000000000002E-3</v>
      </c>
      <c r="ID44">
        <v>5.64E-3</v>
      </c>
      <c r="IF44">
        <v>5.3099999999999996E-3</v>
      </c>
      <c r="IG44">
        <v>6.3099999999999996E-3</v>
      </c>
      <c r="IH44">
        <v>6.8100000000000001E-3</v>
      </c>
      <c r="II44">
        <v>4.9199999999999999E-3</v>
      </c>
      <c r="IJ44">
        <v>6.0200000000000002E-3</v>
      </c>
      <c r="IK44">
        <v>6.6299999999999996E-3</v>
      </c>
      <c r="IL44">
        <v>7.3499999999999998E-3</v>
      </c>
      <c r="IM44">
        <v>8.1799999999999998E-3</v>
      </c>
      <c r="IN44">
        <v>8.8299999999999993E-3</v>
      </c>
      <c r="IO44">
        <v>9.6699999999999998E-3</v>
      </c>
      <c r="IP44">
        <v>1.1180000000000001E-2</v>
      </c>
      <c r="IQ44">
        <v>1.2290000000000001E-2</v>
      </c>
      <c r="IR44">
        <v>1.3429999999999999E-2</v>
      </c>
      <c r="IS44">
        <v>4.64E-3</v>
      </c>
      <c r="IT44">
        <v>4.7600000000000003E-3</v>
      </c>
      <c r="IU44">
        <v>5.2199999999999998E-3</v>
      </c>
      <c r="IW44">
        <v>5.4299999999999999E-3</v>
      </c>
      <c r="IX44">
        <v>3.62E-3</v>
      </c>
      <c r="IY44">
        <v>4.5199999999999997E-3</v>
      </c>
      <c r="IZ44">
        <v>4.2199999999999998E-3</v>
      </c>
      <c r="JA44">
        <v>4.7600000000000003E-3</v>
      </c>
      <c r="JB44">
        <v>4.9199999999999999E-3</v>
      </c>
      <c r="JC44">
        <v>5.2900000000000004E-3</v>
      </c>
      <c r="JD44">
        <v>5.6499999999999996E-3</v>
      </c>
      <c r="JF44">
        <v>5.9500000000000004E-3</v>
      </c>
      <c r="JG44">
        <v>8.5299999999999994E-3</v>
      </c>
      <c r="JH44">
        <v>1.149E-2</v>
      </c>
      <c r="JI44">
        <v>6.9899999999999997E-3</v>
      </c>
      <c r="JJ44">
        <v>6.0400000000000002E-3</v>
      </c>
      <c r="JK44">
        <v>9.3699999999999999E-3</v>
      </c>
      <c r="JL44">
        <v>8.7600000000000004E-3</v>
      </c>
      <c r="JM44">
        <v>6.1000000000000004E-3</v>
      </c>
      <c r="JN44">
        <v>7.9100000000000004E-3</v>
      </c>
      <c r="JP44">
        <v>5.7400000000000003E-3</v>
      </c>
      <c r="JQ44">
        <v>5.7499999999999999E-3</v>
      </c>
      <c r="JS44">
        <v>5.5399999999999998E-3</v>
      </c>
      <c r="JT44">
        <v>6.4599999999999996E-3</v>
      </c>
      <c r="JU44">
        <v>7.8200000000000006E-3</v>
      </c>
      <c r="JV44">
        <v>5.8900000000000003E-3</v>
      </c>
      <c r="JW44">
        <v>6.43E-3</v>
      </c>
      <c r="JX44">
        <v>5.8999999999999999E-3</v>
      </c>
      <c r="JY44">
        <v>7.0299999999999998E-3</v>
      </c>
      <c r="JZ44">
        <v>7.4200000000000004E-3</v>
      </c>
      <c r="KA44">
        <v>7.2100000000000003E-3</v>
      </c>
      <c r="KB44">
        <v>5.7800000000000004E-3</v>
      </c>
      <c r="KC44">
        <v>6.0099999999999997E-3</v>
      </c>
      <c r="KD44">
        <v>6.5599999999999999E-3</v>
      </c>
      <c r="KE44">
        <v>8.2299999999999995E-3</v>
      </c>
      <c r="KF44">
        <v>1.111E-2</v>
      </c>
      <c r="KG44">
        <v>1.1820000000000001E-2</v>
      </c>
      <c r="KH44">
        <v>1.1220000000000001E-2</v>
      </c>
      <c r="KI44">
        <v>7.9399999999999991E-3</v>
      </c>
      <c r="KJ44">
        <v>7.9799999999999992E-3</v>
      </c>
      <c r="KK44">
        <v>8.0000000000000002E-3</v>
      </c>
      <c r="KL44">
        <v>8.2699999999999996E-3</v>
      </c>
      <c r="KM44">
        <v>8.5299999999999994E-3</v>
      </c>
      <c r="KN44">
        <v>5.2199999999999998E-3</v>
      </c>
      <c r="KP44">
        <v>7.62E-3</v>
      </c>
      <c r="KR44">
        <v>8.2400000000000008E-3</v>
      </c>
      <c r="KS44">
        <v>6.2899999999999996E-3</v>
      </c>
      <c r="KT44">
        <v>6.5300000000000002E-3</v>
      </c>
      <c r="KU44">
        <v>6.3099999999999996E-3</v>
      </c>
      <c r="KV44">
        <v>4.5500000000000002E-3</v>
      </c>
      <c r="KW44">
        <v>4.9800000000000001E-3</v>
      </c>
      <c r="KX44">
        <v>1.1820000000000001E-2</v>
      </c>
      <c r="KY44">
        <v>6.4999999999999997E-3</v>
      </c>
      <c r="KZ44">
        <v>7.7099999999999998E-3</v>
      </c>
      <c r="LA44">
        <v>6.2899999999999996E-3</v>
      </c>
      <c r="LC44">
        <v>6.1799999999999997E-3</v>
      </c>
      <c r="LD44">
        <v>6.1799999999999997E-3</v>
      </c>
      <c r="LE44">
        <v>9.7000000000000003E-3</v>
      </c>
      <c r="LF44">
        <v>9.0799999999999995E-3</v>
      </c>
      <c r="LG44">
        <v>7.7299999999999999E-3</v>
      </c>
      <c r="LI44">
        <v>9.5399999999999999E-3</v>
      </c>
      <c r="LJ44">
        <v>9.9900000000000006E-3</v>
      </c>
      <c r="LK44">
        <v>1.0019999999999999E-2</v>
      </c>
      <c r="LL44">
        <v>6.8100000000000001E-3</v>
      </c>
      <c r="LM44">
        <v>5.1000000000000004E-3</v>
      </c>
      <c r="LN44">
        <v>6.9199999999999999E-3</v>
      </c>
      <c r="LO44">
        <v>7.1399999999999996E-3</v>
      </c>
      <c r="LP44">
        <v>6.11E-3</v>
      </c>
      <c r="LR44">
        <v>9.4599999999999997E-3</v>
      </c>
      <c r="LS44">
        <v>1.0659999999999999E-2</v>
      </c>
      <c r="LT44">
        <v>6.0800000000000003E-3</v>
      </c>
      <c r="LU44">
        <v>8.4700000000000001E-3</v>
      </c>
      <c r="LV44">
        <v>9.6699999999999998E-3</v>
      </c>
      <c r="LW44">
        <v>4.7400000000000003E-3</v>
      </c>
      <c r="LX44">
        <v>5.5500000000000002E-3</v>
      </c>
      <c r="LY44">
        <v>7.3699999999999998E-3</v>
      </c>
      <c r="LZ44">
        <v>7.43E-3</v>
      </c>
      <c r="MA44">
        <v>7.4999999999999997E-3</v>
      </c>
      <c r="MB44">
        <v>4.15E-3</v>
      </c>
      <c r="MC44">
        <v>8.8900000000000003E-3</v>
      </c>
      <c r="MD44">
        <v>1.0200000000000001E-2</v>
      </c>
      <c r="ME44">
        <v>1.3299999999999999E-2</v>
      </c>
      <c r="MF44">
        <v>1.5180000000000001E-2</v>
      </c>
      <c r="MG44">
        <v>1.3849999999999999E-2</v>
      </c>
      <c r="MH44">
        <v>6.0000000000000001E-3</v>
      </c>
      <c r="MI44">
        <v>6.8700000000000002E-3</v>
      </c>
      <c r="MJ44">
        <v>6.7799999999999996E-3</v>
      </c>
      <c r="MK44">
        <v>6.4400000000000004E-3</v>
      </c>
      <c r="ML44">
        <v>7.9399999999999991E-3</v>
      </c>
      <c r="MM44">
        <v>6.9199999999999999E-3</v>
      </c>
      <c r="MN44">
        <v>5.5199999999999997E-3</v>
      </c>
      <c r="MO44">
        <v>5.9899999999999997E-3</v>
      </c>
      <c r="MP44">
        <v>6.62E-3</v>
      </c>
      <c r="MQ44">
        <v>4.6800000000000001E-3</v>
      </c>
      <c r="MR44">
        <v>6.1000000000000004E-3</v>
      </c>
      <c r="MS44">
        <v>6.4799999999999996E-3</v>
      </c>
      <c r="MT44">
        <v>7.6499999999999997E-3</v>
      </c>
      <c r="MU44">
        <v>4.9100000000000003E-3</v>
      </c>
      <c r="MV44">
        <v>5.5700000000000003E-3</v>
      </c>
      <c r="MW44">
        <v>5.8799999999999998E-3</v>
      </c>
      <c r="MX44">
        <v>6.0400000000000002E-3</v>
      </c>
      <c r="MY44">
        <v>6.5399999999999998E-3</v>
      </c>
      <c r="MZ44">
        <v>7.3099999999999997E-3</v>
      </c>
      <c r="NA44">
        <v>6.62E-3</v>
      </c>
      <c r="NB44">
        <v>6.5399999999999998E-3</v>
      </c>
      <c r="NC44">
        <v>4.2399999999999998E-3</v>
      </c>
      <c r="ND44">
        <v>1.299E-2</v>
      </c>
      <c r="NE44">
        <v>7.43E-3</v>
      </c>
      <c r="NF44">
        <v>7.8700000000000003E-3</v>
      </c>
      <c r="NG44">
        <v>5.0499999999999998E-3</v>
      </c>
      <c r="NH44">
        <v>4.2399999999999998E-3</v>
      </c>
      <c r="NI44">
        <v>4.5700000000000003E-3</v>
      </c>
      <c r="NJ44">
        <v>5.0000000000000001E-3</v>
      </c>
      <c r="NK44">
        <v>4.5199999999999997E-3</v>
      </c>
      <c r="NL44">
        <v>4.7600000000000003E-3</v>
      </c>
      <c r="NM44">
        <v>5.0200000000000002E-3</v>
      </c>
      <c r="NN44">
        <v>5.3E-3</v>
      </c>
      <c r="NO44">
        <v>5.4799999999999996E-3</v>
      </c>
      <c r="NP44">
        <v>4.6499999999999996E-3</v>
      </c>
      <c r="NQ44">
        <v>4.7400000000000003E-3</v>
      </c>
      <c r="NR44">
        <v>4.8599999999999997E-3</v>
      </c>
      <c r="NS44">
        <v>5.0499999999999998E-3</v>
      </c>
      <c r="NT44">
        <v>5.4999999999999997E-3</v>
      </c>
      <c r="NU44">
        <v>4.5599999999999998E-3</v>
      </c>
      <c r="NV44">
        <v>4.81E-3</v>
      </c>
      <c r="NW44">
        <v>4.8599999999999997E-3</v>
      </c>
      <c r="NX44">
        <v>4.9800000000000001E-3</v>
      </c>
      <c r="NY44">
        <v>5.1000000000000004E-3</v>
      </c>
      <c r="NZ44">
        <v>5.3200000000000001E-3</v>
      </c>
      <c r="OA44">
        <v>5.5300000000000002E-3</v>
      </c>
      <c r="OB44">
        <v>4.5999999999999999E-3</v>
      </c>
      <c r="OC44">
        <v>4.8399999999999997E-3</v>
      </c>
      <c r="OD44">
        <v>4.9699999999999996E-3</v>
      </c>
      <c r="OE44">
        <v>4.9699999999999996E-3</v>
      </c>
      <c r="OF44">
        <v>6.8199999999999997E-3</v>
      </c>
      <c r="OG44">
        <v>5.1500000000000001E-3</v>
      </c>
      <c r="OH44">
        <v>5.4400000000000004E-3</v>
      </c>
      <c r="OI44">
        <v>5.62E-3</v>
      </c>
      <c r="OJ44">
        <v>5.8199999999999997E-3</v>
      </c>
      <c r="OK44">
        <v>5.9500000000000004E-3</v>
      </c>
      <c r="OL44">
        <v>6.1399999999999996E-3</v>
      </c>
      <c r="OM44">
        <v>4.8399999999999997E-3</v>
      </c>
      <c r="ON44">
        <v>5.0400000000000002E-3</v>
      </c>
      <c r="OO44">
        <v>5.2300000000000003E-3</v>
      </c>
      <c r="OP44">
        <v>5.6600000000000001E-3</v>
      </c>
      <c r="OQ44">
        <v>5.8700000000000002E-3</v>
      </c>
      <c r="OR44">
        <v>6.1500000000000001E-3</v>
      </c>
      <c r="OS44">
        <v>6.7999999999999996E-3</v>
      </c>
      <c r="OT44">
        <v>6.4700000000000001E-3</v>
      </c>
      <c r="OU44">
        <v>5.5799999999999999E-3</v>
      </c>
      <c r="OV44">
        <v>6.0499999999999998E-3</v>
      </c>
      <c r="OW44">
        <v>3.16E-3</v>
      </c>
      <c r="OX44">
        <v>3.5699999999999998E-3</v>
      </c>
      <c r="OY44">
        <v>4.4000000000000003E-3</v>
      </c>
      <c r="OZ44">
        <v>4.7099999999999998E-3</v>
      </c>
      <c r="PA44">
        <v>9.2499999999999995E-3</v>
      </c>
      <c r="PB44">
        <v>9.8600000000000007E-3</v>
      </c>
      <c r="PC44">
        <v>8.0099999999999998E-3</v>
      </c>
      <c r="PD44">
        <v>6.9800000000000001E-3</v>
      </c>
      <c r="PE44">
        <v>6.5100000000000002E-3</v>
      </c>
      <c r="PF44">
        <v>6.2300000000000003E-3</v>
      </c>
      <c r="PG44">
        <v>5.3400000000000001E-3</v>
      </c>
      <c r="PH44">
        <v>5.7299999999999999E-3</v>
      </c>
      <c r="PI44">
        <v>7.3099999999999997E-3</v>
      </c>
      <c r="PJ44">
        <v>6.79E-3</v>
      </c>
      <c r="PK44">
        <v>6.2700000000000004E-3</v>
      </c>
      <c r="PL44">
        <v>6.0200000000000002E-3</v>
      </c>
      <c r="PM44">
        <v>5.4400000000000004E-3</v>
      </c>
      <c r="PO44">
        <v>5.0099999999999997E-3</v>
      </c>
      <c r="PP44">
        <v>5.2300000000000003E-3</v>
      </c>
      <c r="PQ44">
        <v>5.0000000000000001E-3</v>
      </c>
      <c r="PR44">
        <v>4.62E-3</v>
      </c>
      <c r="PS44">
        <v>5.5500000000000002E-3</v>
      </c>
      <c r="PT44">
        <v>5.4900000000000001E-3</v>
      </c>
      <c r="PU44">
        <v>4.3499999999999997E-3</v>
      </c>
      <c r="PV44">
        <v>4.2199999999999998E-3</v>
      </c>
      <c r="PW44">
        <v>4.4099999999999999E-3</v>
      </c>
      <c r="PX44">
        <v>4.8399999999999997E-3</v>
      </c>
      <c r="PY44">
        <v>5.3099999999999996E-3</v>
      </c>
      <c r="PZ44">
        <v>6.0699999999999999E-3</v>
      </c>
      <c r="QA44">
        <v>3.96E-3</v>
      </c>
      <c r="QB44">
        <v>4.3099999999999996E-3</v>
      </c>
      <c r="QC44">
        <v>5.7000000000000002E-3</v>
      </c>
      <c r="QD44">
        <v>5.1500000000000001E-3</v>
      </c>
      <c r="QE44">
        <v>4.5700000000000003E-3</v>
      </c>
      <c r="QF44">
        <v>4.79E-3</v>
      </c>
      <c r="QG44">
        <v>6.7200000000000003E-3</v>
      </c>
      <c r="QH44">
        <v>4.7200000000000002E-3</v>
      </c>
      <c r="QI44">
        <v>5.1700000000000001E-3</v>
      </c>
      <c r="QJ44">
        <v>5.0099999999999997E-3</v>
      </c>
      <c r="QK44">
        <v>4.9699999999999996E-3</v>
      </c>
      <c r="QL44">
        <v>4.79E-3</v>
      </c>
      <c r="QM44">
        <v>5.3800000000000002E-3</v>
      </c>
      <c r="QN44">
        <v>8.2100000000000003E-3</v>
      </c>
      <c r="QP44">
        <v>7.1700000000000002E-3</v>
      </c>
      <c r="QQ44">
        <v>7.7099999999999998E-3</v>
      </c>
      <c r="QR44">
        <v>8.3899999999999999E-3</v>
      </c>
      <c r="QS44">
        <v>8.3000000000000001E-3</v>
      </c>
      <c r="QT44">
        <v>6.1599999999999997E-3</v>
      </c>
      <c r="QU44">
        <v>6.2199999999999998E-3</v>
      </c>
      <c r="QV44">
        <v>6.28E-3</v>
      </c>
      <c r="QW44">
        <v>6.1500000000000001E-3</v>
      </c>
      <c r="QX44">
        <v>5.8100000000000001E-3</v>
      </c>
      <c r="QY44">
        <v>5.4799999999999996E-3</v>
      </c>
      <c r="QZ44">
        <v>5.9100000000000003E-3</v>
      </c>
      <c r="RA44">
        <v>6.7200000000000003E-3</v>
      </c>
      <c r="RB44">
        <v>8.0499999999999999E-3</v>
      </c>
      <c r="RC44">
        <v>6.7200000000000003E-3</v>
      </c>
      <c r="RD44">
        <v>1.093E-2</v>
      </c>
      <c r="RE44">
        <v>8.4600000000000005E-3</v>
      </c>
      <c r="RF44">
        <v>7.7499999999999999E-3</v>
      </c>
      <c r="RG44">
        <v>5.4900000000000001E-3</v>
      </c>
      <c r="RH44">
        <v>5.3600000000000002E-3</v>
      </c>
      <c r="RI44">
        <v>8.0999999999999996E-3</v>
      </c>
      <c r="RJ44">
        <v>7.5500000000000003E-3</v>
      </c>
      <c r="RK44">
        <v>7.4099999999999999E-3</v>
      </c>
      <c r="RL44">
        <v>6.8300000000000001E-3</v>
      </c>
      <c r="RM44">
        <v>4.64E-3</v>
      </c>
      <c r="RN44">
        <v>4.7299999999999998E-3</v>
      </c>
      <c r="RO44">
        <v>4.7299999999999998E-3</v>
      </c>
      <c r="RP44">
        <v>4.3400000000000001E-3</v>
      </c>
      <c r="RQ44">
        <v>4.7200000000000002E-3</v>
      </c>
      <c r="RR44">
        <v>4.4900000000000001E-3</v>
      </c>
      <c r="RS44">
        <v>4.6100000000000004E-3</v>
      </c>
      <c r="RT44">
        <v>3.8899999999999998E-3</v>
      </c>
      <c r="RU44">
        <v>4.7000000000000002E-3</v>
      </c>
      <c r="RV44">
        <v>5.2199999999999998E-3</v>
      </c>
      <c r="RW44">
        <v>5.8100000000000001E-3</v>
      </c>
      <c r="RX44">
        <v>5.2900000000000004E-3</v>
      </c>
      <c r="RY44">
        <v>3.65E-3</v>
      </c>
      <c r="RZ44">
        <v>5.2500000000000003E-3</v>
      </c>
      <c r="SA44">
        <v>7.62E-3</v>
      </c>
      <c r="SB44">
        <v>6.9199999999999999E-3</v>
      </c>
      <c r="SC44">
        <v>6.6499999999999997E-3</v>
      </c>
      <c r="SD44">
        <v>7.0099999999999997E-3</v>
      </c>
      <c r="SE44">
        <v>6.3800000000000003E-3</v>
      </c>
      <c r="SF44">
        <v>7.2700000000000004E-3</v>
      </c>
      <c r="SG44">
        <v>9.1000000000000004E-3</v>
      </c>
      <c r="SH44">
        <v>1.1520000000000001E-2</v>
      </c>
      <c r="SI44">
        <v>6.3400000000000001E-3</v>
      </c>
      <c r="SJ44">
        <v>5.0699999999999999E-3</v>
      </c>
      <c r="SK44">
        <v>4.5399999999999998E-3</v>
      </c>
      <c r="SL44">
        <v>4.8700000000000002E-3</v>
      </c>
      <c r="SM44">
        <v>4.0800000000000003E-3</v>
      </c>
      <c r="SN44">
        <v>4.2900000000000004E-3</v>
      </c>
      <c r="SO44">
        <v>4.15E-3</v>
      </c>
      <c r="SP44">
        <v>6.0699999999999999E-3</v>
      </c>
      <c r="SQ44">
        <v>5.1700000000000001E-3</v>
      </c>
      <c r="SR44">
        <v>5.6100000000000004E-3</v>
      </c>
      <c r="SS44">
        <v>4.5199999999999997E-3</v>
      </c>
      <c r="ST44">
        <v>4.6299999999999996E-3</v>
      </c>
      <c r="SU44">
        <v>4.7699999999999999E-3</v>
      </c>
      <c r="SV44">
        <v>4.5799999999999999E-3</v>
      </c>
      <c r="SW44">
        <v>4.9300000000000004E-3</v>
      </c>
      <c r="SX44">
        <v>5.6899999999999997E-3</v>
      </c>
      <c r="SY44">
        <v>4.5799999999999999E-3</v>
      </c>
      <c r="SZ44">
        <v>5.7400000000000003E-3</v>
      </c>
      <c r="TA44">
        <v>5.4599999999999996E-3</v>
      </c>
      <c r="TB44">
        <v>6.1700000000000001E-3</v>
      </c>
      <c r="TC44">
        <v>5.0000000000000001E-3</v>
      </c>
      <c r="TD44">
        <v>5.0099999999999997E-3</v>
      </c>
      <c r="TE44">
        <v>7.1300000000000001E-3</v>
      </c>
      <c r="TF44">
        <v>5.9699999999999996E-3</v>
      </c>
      <c r="TG44">
        <v>6.2500000000000003E-3</v>
      </c>
      <c r="TH44">
        <v>7.4000000000000003E-3</v>
      </c>
      <c r="TI44">
        <v>4.8799999999999998E-3</v>
      </c>
      <c r="TJ44">
        <v>6.8300000000000001E-3</v>
      </c>
      <c r="TK44">
        <v>4.5300000000000002E-3</v>
      </c>
      <c r="TL44">
        <v>4.1799999999999997E-3</v>
      </c>
      <c r="TM44">
        <v>3.8500000000000001E-3</v>
      </c>
      <c r="TN44">
        <v>5.1500000000000001E-3</v>
      </c>
      <c r="TO44">
        <v>5.1700000000000001E-3</v>
      </c>
      <c r="TP44">
        <v>4.3699999999999998E-3</v>
      </c>
      <c r="TQ44">
        <v>5.2900000000000004E-3</v>
      </c>
      <c r="TS44">
        <v>6.3200000000000001E-3</v>
      </c>
      <c r="TT44">
        <v>6.2300000000000003E-3</v>
      </c>
      <c r="TV44">
        <v>4.9500000000000004E-3</v>
      </c>
      <c r="TW44">
        <v>4.7999999999999996E-3</v>
      </c>
      <c r="TX44">
        <v>5.0099999999999997E-3</v>
      </c>
      <c r="TY44">
        <v>4.8300000000000001E-3</v>
      </c>
      <c r="TZ44">
        <v>5.1200000000000004E-3</v>
      </c>
      <c r="UA44">
        <v>5.0000000000000001E-3</v>
      </c>
      <c r="UB44">
        <v>4.7699999999999999E-3</v>
      </c>
      <c r="UC44">
        <v>4.7400000000000003E-3</v>
      </c>
      <c r="UD44">
        <v>4.7800000000000004E-3</v>
      </c>
      <c r="UE44">
        <v>4.8999999999999998E-3</v>
      </c>
      <c r="UF44">
        <v>4.1399999999999996E-3</v>
      </c>
      <c r="UG44">
        <v>4.2700000000000004E-3</v>
      </c>
      <c r="UH44">
        <v>5.4799999999999996E-3</v>
      </c>
      <c r="UI44">
        <v>4.7800000000000004E-3</v>
      </c>
      <c r="UJ44">
        <v>5.2199999999999998E-3</v>
      </c>
      <c r="UK44">
        <v>5.11E-3</v>
      </c>
      <c r="UL44">
        <v>5.3299999999999997E-3</v>
      </c>
      <c r="UM44">
        <v>6.0000000000000001E-3</v>
      </c>
      <c r="UN44">
        <v>4.8700000000000002E-3</v>
      </c>
      <c r="UO44">
        <v>5.0400000000000002E-3</v>
      </c>
      <c r="UP44">
        <v>6.7799999999999996E-3</v>
      </c>
      <c r="UQ44">
        <v>4.7099999999999998E-3</v>
      </c>
      <c r="UR44">
        <v>4.5799999999999999E-3</v>
      </c>
      <c r="US44">
        <v>5.1200000000000004E-3</v>
      </c>
      <c r="UT44">
        <v>4.6600000000000001E-3</v>
      </c>
      <c r="UU44">
        <v>4.8700000000000002E-3</v>
      </c>
      <c r="UV44">
        <v>5.0899999999999999E-3</v>
      </c>
      <c r="UW44">
        <v>6.45E-3</v>
      </c>
      <c r="UX44">
        <v>4.6100000000000004E-3</v>
      </c>
      <c r="UY44">
        <v>4.96E-3</v>
      </c>
      <c r="UZ44">
        <v>5.7000000000000002E-3</v>
      </c>
      <c r="VA44">
        <v>7.4599999999999996E-3</v>
      </c>
      <c r="VB44">
        <v>5.62E-3</v>
      </c>
      <c r="VC44">
        <v>6.4700000000000001E-3</v>
      </c>
      <c r="VD44">
        <v>8.6800000000000002E-3</v>
      </c>
      <c r="VE44">
        <v>6.0299999999999998E-3</v>
      </c>
      <c r="VF44">
        <v>8.5599999999999999E-3</v>
      </c>
      <c r="VG44">
        <v>8.9099999999999995E-3</v>
      </c>
      <c r="VH44">
        <v>5.5799999999999999E-3</v>
      </c>
      <c r="VI44">
        <v>5.8999999999999999E-3</v>
      </c>
    </row>
    <row r="45" spans="1:581" x14ac:dyDescent="0.25">
      <c r="A45">
        <v>1100000</v>
      </c>
      <c r="B45">
        <v>3.98E-3</v>
      </c>
      <c r="C45">
        <v>4.5100000000000001E-3</v>
      </c>
      <c r="D45">
        <v>4.5100000000000001E-3</v>
      </c>
      <c r="E45">
        <v>5.5700000000000003E-3</v>
      </c>
      <c r="F45">
        <v>5.8599999999999998E-3</v>
      </c>
      <c r="G45">
        <v>6.45E-3</v>
      </c>
      <c r="H45">
        <v>4.8999999999999998E-3</v>
      </c>
      <c r="I45">
        <v>4.7099999999999998E-3</v>
      </c>
      <c r="J45">
        <v>4.3899999999999998E-3</v>
      </c>
      <c r="K45">
        <v>5.13E-3</v>
      </c>
      <c r="L45">
        <v>4.8999999999999998E-3</v>
      </c>
      <c r="M45">
        <v>4.64E-3</v>
      </c>
      <c r="N45">
        <v>4.47E-3</v>
      </c>
      <c r="O45">
        <v>5.3099999999999996E-3</v>
      </c>
      <c r="P45">
        <v>5.1999999999999998E-3</v>
      </c>
      <c r="Q45">
        <v>5.1799999999999997E-3</v>
      </c>
      <c r="R45">
        <v>5.0400000000000002E-3</v>
      </c>
      <c r="S45">
        <v>4.4099999999999999E-3</v>
      </c>
      <c r="T45">
        <v>4.3400000000000001E-3</v>
      </c>
      <c r="U45">
        <v>6.1199999999999996E-3</v>
      </c>
      <c r="V45">
        <v>4.3800000000000002E-3</v>
      </c>
      <c r="W45">
        <v>5.9899999999999997E-3</v>
      </c>
      <c r="X45">
        <v>4.1999999999999997E-3</v>
      </c>
      <c r="Y45">
        <v>5.8999999999999999E-3</v>
      </c>
      <c r="Z45">
        <v>3.8899999999999998E-3</v>
      </c>
      <c r="AA45">
        <v>6.1500000000000001E-3</v>
      </c>
      <c r="AB45">
        <v>6.96E-3</v>
      </c>
      <c r="AC45">
        <v>7.3600000000000002E-3</v>
      </c>
      <c r="AD45">
        <v>5.4999999999999997E-3</v>
      </c>
      <c r="AE45">
        <v>6.28E-3</v>
      </c>
      <c r="AF45">
        <v>6.4599999999999996E-3</v>
      </c>
      <c r="AG45">
        <v>5.7099999999999998E-3</v>
      </c>
      <c r="AH45">
        <v>5.6299999999999996E-3</v>
      </c>
      <c r="AI45">
        <v>6.1799999999999997E-3</v>
      </c>
      <c r="AJ45">
        <v>5.0800000000000003E-3</v>
      </c>
      <c r="AK45">
        <v>6.0699999999999999E-3</v>
      </c>
      <c r="AL45">
        <v>7.8799999999999999E-3</v>
      </c>
      <c r="AM45">
        <v>5.3899999999999998E-3</v>
      </c>
      <c r="AN45">
        <v>6.2599999999999999E-3</v>
      </c>
      <c r="AO45">
        <v>1.1599999999999999E-2</v>
      </c>
      <c r="AQ45">
        <v>7.4099999999999999E-3</v>
      </c>
      <c r="AR45">
        <v>6.5900000000000004E-3</v>
      </c>
      <c r="AS45">
        <v>6.9699999999999996E-3</v>
      </c>
      <c r="AT45">
        <v>5.4400000000000004E-3</v>
      </c>
      <c r="AU45">
        <v>6.1500000000000001E-3</v>
      </c>
      <c r="AV45">
        <v>6.1199999999999996E-3</v>
      </c>
      <c r="AW45">
        <v>6.2700000000000004E-3</v>
      </c>
      <c r="AX45">
        <v>6.1599999999999997E-3</v>
      </c>
      <c r="AY45">
        <v>5.6100000000000004E-3</v>
      </c>
      <c r="AZ45">
        <v>5.3299999999999997E-3</v>
      </c>
      <c r="BB45">
        <v>6.62E-3</v>
      </c>
      <c r="BC45">
        <v>7.2300000000000003E-3</v>
      </c>
      <c r="BD45">
        <v>7.5900000000000004E-3</v>
      </c>
      <c r="BE45">
        <v>8.9099999999999995E-3</v>
      </c>
      <c r="BF45">
        <v>1.026E-2</v>
      </c>
      <c r="BG45">
        <v>6.7099999999999998E-3</v>
      </c>
      <c r="BH45">
        <v>6.5199999999999998E-3</v>
      </c>
      <c r="BI45">
        <v>1.027E-2</v>
      </c>
      <c r="BJ45">
        <v>7.0200000000000002E-3</v>
      </c>
      <c r="BK45">
        <v>7.5300000000000002E-3</v>
      </c>
      <c r="BL45">
        <v>7.6099999999999996E-3</v>
      </c>
      <c r="BM45">
        <v>7.1999999999999998E-3</v>
      </c>
      <c r="BN45">
        <v>5.9899999999999997E-3</v>
      </c>
      <c r="BO45">
        <v>8.3899999999999999E-3</v>
      </c>
      <c r="BP45">
        <v>6.9100000000000003E-3</v>
      </c>
      <c r="BQ45">
        <v>5.9800000000000001E-3</v>
      </c>
      <c r="BR45">
        <v>5.64E-3</v>
      </c>
      <c r="BT45">
        <v>8.0199999999999994E-3</v>
      </c>
      <c r="BU45">
        <v>9.11E-3</v>
      </c>
      <c r="BV45">
        <v>9.1699999999999993E-3</v>
      </c>
      <c r="BW45">
        <v>8.8699999999999994E-3</v>
      </c>
      <c r="BX45">
        <v>8.6199999999999992E-3</v>
      </c>
      <c r="BY45">
        <v>8.8500000000000002E-3</v>
      </c>
      <c r="BZ45">
        <v>7.8300000000000002E-3</v>
      </c>
      <c r="CA45">
        <v>7.9900000000000006E-3</v>
      </c>
      <c r="CB45">
        <v>6.4999999999999997E-3</v>
      </c>
      <c r="CC45">
        <v>7.0099999999999997E-3</v>
      </c>
      <c r="CD45">
        <v>5.7800000000000004E-3</v>
      </c>
      <c r="CE45">
        <v>5.3899999999999998E-3</v>
      </c>
      <c r="CF45">
        <v>5.0699999999999999E-3</v>
      </c>
      <c r="CG45">
        <v>4.7099999999999998E-3</v>
      </c>
      <c r="CH45">
        <v>4.47E-3</v>
      </c>
      <c r="CI45">
        <v>4.3899999999999998E-3</v>
      </c>
      <c r="CJ45">
        <v>4.3800000000000002E-3</v>
      </c>
      <c r="CK45">
        <v>5.0099999999999997E-3</v>
      </c>
      <c r="CL45">
        <v>5.4599999999999996E-3</v>
      </c>
      <c r="CM45">
        <v>5.8900000000000003E-3</v>
      </c>
      <c r="CN45">
        <v>6.3200000000000001E-3</v>
      </c>
      <c r="CQ45">
        <v>5.2599999999999999E-3</v>
      </c>
      <c r="CR45">
        <v>6.0000000000000001E-3</v>
      </c>
      <c r="CS45">
        <v>6.5199999999999998E-3</v>
      </c>
      <c r="CT45">
        <v>6.9199999999999999E-3</v>
      </c>
      <c r="CU45">
        <v>5.5100000000000001E-3</v>
      </c>
      <c r="CV45">
        <v>5.28E-3</v>
      </c>
      <c r="CW45">
        <v>5.7400000000000003E-3</v>
      </c>
      <c r="CX45">
        <v>5.6299999999999996E-3</v>
      </c>
      <c r="CZ45">
        <v>4.64E-3</v>
      </c>
      <c r="DA45">
        <v>5.0499999999999998E-3</v>
      </c>
      <c r="DC45">
        <v>4.8900000000000002E-3</v>
      </c>
      <c r="DD45">
        <v>4.8199999999999996E-3</v>
      </c>
      <c r="DF45">
        <v>7.5199999999999998E-3</v>
      </c>
      <c r="DG45">
        <v>4.9399999999999999E-3</v>
      </c>
      <c r="DH45">
        <v>6.5100000000000002E-3</v>
      </c>
      <c r="DI45">
        <v>6.3499999999999997E-3</v>
      </c>
      <c r="DJ45">
        <v>6.45E-3</v>
      </c>
      <c r="DK45">
        <v>6.5100000000000002E-3</v>
      </c>
      <c r="DL45">
        <v>6.5199999999999998E-3</v>
      </c>
      <c r="DM45">
        <v>5.5199999999999997E-3</v>
      </c>
      <c r="DN45">
        <v>5.7299999999999999E-3</v>
      </c>
      <c r="DP45">
        <v>8.6300000000000005E-3</v>
      </c>
      <c r="DR45">
        <v>6.0600000000000003E-3</v>
      </c>
      <c r="DS45">
        <v>6.5799999999999999E-3</v>
      </c>
      <c r="DT45">
        <v>6.2300000000000003E-3</v>
      </c>
      <c r="DU45">
        <v>6.2599999999999999E-3</v>
      </c>
      <c r="DV45">
        <v>8.9200000000000008E-3</v>
      </c>
      <c r="DW45">
        <v>6.5300000000000002E-3</v>
      </c>
      <c r="DX45">
        <v>6.5199999999999998E-3</v>
      </c>
      <c r="DY45">
        <v>9.5399999999999999E-3</v>
      </c>
      <c r="DZ45">
        <v>8.9700000000000005E-3</v>
      </c>
      <c r="EA45">
        <v>5.4200000000000003E-3</v>
      </c>
      <c r="EC45">
        <v>4.9100000000000003E-3</v>
      </c>
      <c r="EF45">
        <v>1.941E-2</v>
      </c>
      <c r="EI45">
        <v>6.2100000000000002E-3</v>
      </c>
      <c r="EJ45">
        <v>5.3899999999999998E-3</v>
      </c>
      <c r="EK45">
        <v>5.7099999999999998E-3</v>
      </c>
      <c r="EL45">
        <v>6.1199999999999996E-3</v>
      </c>
      <c r="EM45">
        <v>6.45E-3</v>
      </c>
      <c r="EN45">
        <v>6.6100000000000004E-3</v>
      </c>
      <c r="EO45">
        <v>6.6899999999999998E-3</v>
      </c>
      <c r="EP45">
        <v>7.0400000000000003E-3</v>
      </c>
      <c r="EQ45">
        <v>7.1199999999999996E-3</v>
      </c>
      <c r="ER45">
        <v>5.8799999999999998E-3</v>
      </c>
      <c r="ES45">
        <v>5.7000000000000002E-3</v>
      </c>
      <c r="ET45">
        <v>5.7400000000000003E-3</v>
      </c>
      <c r="EU45">
        <v>1.031E-2</v>
      </c>
      <c r="EV45">
        <v>9.4599999999999997E-3</v>
      </c>
      <c r="EW45">
        <v>8.9599999999999992E-3</v>
      </c>
      <c r="EX45">
        <v>9.0500000000000008E-3</v>
      </c>
      <c r="EY45">
        <v>6.7000000000000002E-3</v>
      </c>
      <c r="EZ45">
        <v>7.0099999999999997E-3</v>
      </c>
      <c r="FA45">
        <v>6.28E-3</v>
      </c>
      <c r="FB45">
        <v>6.7499999999999999E-3</v>
      </c>
      <c r="FC45">
        <v>5.8399999999999997E-3</v>
      </c>
      <c r="FD45">
        <v>5.6899999999999997E-3</v>
      </c>
      <c r="FE45">
        <v>6.6899999999999998E-3</v>
      </c>
      <c r="FF45">
        <v>4.4299999999999999E-3</v>
      </c>
      <c r="FG45">
        <v>8.5299999999999994E-3</v>
      </c>
      <c r="FH45">
        <v>8.8699999999999994E-3</v>
      </c>
      <c r="FK45">
        <v>7.7200000000000003E-3</v>
      </c>
      <c r="FL45">
        <v>5.1000000000000004E-3</v>
      </c>
      <c r="FN45">
        <v>6.6100000000000004E-3</v>
      </c>
      <c r="FO45">
        <v>5.8199999999999997E-3</v>
      </c>
      <c r="FP45">
        <v>5.3200000000000001E-3</v>
      </c>
      <c r="FQ45">
        <v>7.1700000000000002E-3</v>
      </c>
      <c r="FR45">
        <v>7.3600000000000002E-3</v>
      </c>
      <c r="FS45">
        <v>7.5900000000000004E-3</v>
      </c>
      <c r="FT45">
        <v>7.2100000000000003E-3</v>
      </c>
      <c r="FU45">
        <v>7.0800000000000004E-3</v>
      </c>
      <c r="FV45">
        <v>7.0499999999999998E-3</v>
      </c>
      <c r="FW45">
        <v>6.8500000000000002E-3</v>
      </c>
      <c r="FX45">
        <v>7.1500000000000001E-3</v>
      </c>
      <c r="FY45">
        <v>7.6600000000000001E-3</v>
      </c>
      <c r="FZ45">
        <v>7.2100000000000003E-3</v>
      </c>
      <c r="GB45">
        <v>7.3800000000000003E-3</v>
      </c>
      <c r="GC45">
        <v>7.8200000000000006E-3</v>
      </c>
      <c r="GD45">
        <v>7.3299999999999997E-3</v>
      </c>
      <c r="GE45">
        <v>7.8600000000000007E-3</v>
      </c>
      <c r="GF45">
        <v>6.8700000000000002E-3</v>
      </c>
      <c r="GH45">
        <v>7.0000000000000001E-3</v>
      </c>
      <c r="GI45">
        <v>7.7499999999999999E-3</v>
      </c>
      <c r="GJ45">
        <v>7.8899999999999994E-3</v>
      </c>
      <c r="GO45">
        <v>7.1199999999999996E-3</v>
      </c>
      <c r="GP45">
        <v>6.4200000000000004E-3</v>
      </c>
      <c r="GQ45">
        <v>6.7299999999999999E-3</v>
      </c>
      <c r="GR45">
        <v>7.3899999999999999E-3</v>
      </c>
      <c r="GS45">
        <v>6.1999999999999998E-3</v>
      </c>
      <c r="GT45">
        <v>6.7400000000000003E-3</v>
      </c>
      <c r="GU45">
        <v>5.1599999999999997E-3</v>
      </c>
      <c r="GV45">
        <v>8.5000000000000006E-3</v>
      </c>
      <c r="GW45">
        <v>8.3800000000000003E-3</v>
      </c>
      <c r="GX45">
        <v>7.7999999999999996E-3</v>
      </c>
      <c r="GY45">
        <v>7.9399999999999991E-3</v>
      </c>
      <c r="GZ45">
        <v>7.1000000000000004E-3</v>
      </c>
      <c r="HA45">
        <v>5.2399999999999999E-3</v>
      </c>
      <c r="HB45">
        <v>4.7400000000000003E-3</v>
      </c>
      <c r="HC45">
        <v>5.8100000000000001E-3</v>
      </c>
      <c r="HE45">
        <v>5.6800000000000002E-3</v>
      </c>
      <c r="HG45">
        <v>8.6E-3</v>
      </c>
      <c r="HH45">
        <v>8.6599999999999993E-3</v>
      </c>
      <c r="HI45">
        <v>8.9599999999999992E-3</v>
      </c>
      <c r="HJ45">
        <v>4.5300000000000002E-3</v>
      </c>
      <c r="HK45">
        <v>6.77E-3</v>
      </c>
      <c r="HL45">
        <v>6.9899999999999997E-3</v>
      </c>
      <c r="HM45">
        <v>6.7499999999999999E-3</v>
      </c>
      <c r="HN45">
        <v>6.5799999999999999E-3</v>
      </c>
      <c r="HO45">
        <v>6.3400000000000001E-3</v>
      </c>
      <c r="HP45">
        <v>5.1200000000000004E-3</v>
      </c>
      <c r="HQ45">
        <v>6.3099999999999996E-3</v>
      </c>
      <c r="HS45">
        <v>1.055E-2</v>
      </c>
      <c r="HT45">
        <v>5.8799999999999998E-3</v>
      </c>
      <c r="HV45">
        <v>7.0299999999999998E-3</v>
      </c>
      <c r="HW45">
        <v>5.5599999999999998E-3</v>
      </c>
      <c r="HX45">
        <v>7.1599999999999997E-3</v>
      </c>
      <c r="HY45">
        <v>6.1399999999999996E-3</v>
      </c>
      <c r="HZ45">
        <v>4.0499999999999998E-3</v>
      </c>
      <c r="IA45">
        <v>7.3299999999999997E-3</v>
      </c>
      <c r="IB45">
        <v>9.1000000000000004E-3</v>
      </c>
      <c r="IC45">
        <v>7.6E-3</v>
      </c>
      <c r="ID45">
        <v>5.5100000000000001E-3</v>
      </c>
      <c r="IE45">
        <v>5.0899999999999999E-3</v>
      </c>
      <c r="IF45">
        <v>5.1900000000000002E-3</v>
      </c>
      <c r="IG45">
        <v>6.2300000000000003E-3</v>
      </c>
      <c r="IH45">
        <v>6.7200000000000003E-3</v>
      </c>
      <c r="II45">
        <v>4.8500000000000001E-3</v>
      </c>
      <c r="IJ45">
        <v>5.94E-3</v>
      </c>
      <c r="IK45">
        <v>6.5599999999999999E-3</v>
      </c>
      <c r="IL45">
        <v>7.2700000000000004E-3</v>
      </c>
      <c r="IM45">
        <v>8.0700000000000008E-3</v>
      </c>
      <c r="IN45">
        <v>8.7100000000000007E-3</v>
      </c>
      <c r="IO45">
        <v>9.5499999999999995E-3</v>
      </c>
      <c r="IP45">
        <v>1.1039999999999999E-2</v>
      </c>
      <c r="IQ45">
        <v>1.205E-2</v>
      </c>
      <c r="IR45">
        <v>1.316E-2</v>
      </c>
      <c r="IS45">
        <v>4.7000000000000002E-3</v>
      </c>
      <c r="IT45">
        <v>4.6600000000000001E-3</v>
      </c>
      <c r="IU45">
        <v>5.0600000000000003E-3</v>
      </c>
      <c r="IV45">
        <v>4.62E-3</v>
      </c>
      <c r="IW45">
        <v>5.3400000000000001E-3</v>
      </c>
      <c r="IY45">
        <v>4.4900000000000001E-3</v>
      </c>
      <c r="IZ45">
        <v>4.1700000000000001E-3</v>
      </c>
      <c r="JA45">
        <v>4.7099999999999998E-3</v>
      </c>
      <c r="JB45">
        <v>4.8599999999999997E-3</v>
      </c>
      <c r="JC45">
        <v>5.2300000000000003E-3</v>
      </c>
      <c r="JD45">
        <v>5.5900000000000004E-3</v>
      </c>
      <c r="JE45">
        <v>4.6600000000000001E-3</v>
      </c>
      <c r="JI45">
        <v>6.8100000000000001E-3</v>
      </c>
      <c r="JK45">
        <v>9.2999999999999992E-3</v>
      </c>
      <c r="JL45">
        <v>8.6099999999999996E-3</v>
      </c>
      <c r="JM45">
        <v>5.96E-3</v>
      </c>
      <c r="JN45">
        <v>7.7299999999999999E-3</v>
      </c>
      <c r="JP45">
        <v>5.5500000000000002E-3</v>
      </c>
      <c r="JR45">
        <v>6.0499999999999998E-3</v>
      </c>
      <c r="JT45">
        <v>6.4000000000000003E-3</v>
      </c>
      <c r="JU45">
        <v>7.7799999999999996E-3</v>
      </c>
      <c r="JV45">
        <v>5.8700000000000002E-3</v>
      </c>
      <c r="JW45">
        <v>6.3200000000000001E-3</v>
      </c>
      <c r="JX45">
        <v>5.8100000000000001E-3</v>
      </c>
      <c r="JY45">
        <v>6.94E-3</v>
      </c>
      <c r="JZ45">
        <v>7.2700000000000004E-3</v>
      </c>
      <c r="KA45">
        <v>7.0699999999999999E-3</v>
      </c>
      <c r="KB45">
        <v>5.7099999999999998E-3</v>
      </c>
      <c r="KC45">
        <v>5.96E-3</v>
      </c>
      <c r="KE45">
        <v>8.2400000000000008E-3</v>
      </c>
      <c r="KF45">
        <v>1.115E-2</v>
      </c>
      <c r="KG45">
        <v>1.1730000000000001E-2</v>
      </c>
      <c r="KH45">
        <v>1.1379999999999999E-2</v>
      </c>
      <c r="KI45">
        <v>7.77E-3</v>
      </c>
      <c r="KJ45">
        <v>7.8200000000000006E-3</v>
      </c>
      <c r="KK45">
        <v>7.8300000000000002E-3</v>
      </c>
      <c r="KL45">
        <v>8.1700000000000002E-3</v>
      </c>
      <c r="KM45">
        <v>8.3499999999999998E-3</v>
      </c>
      <c r="KN45">
        <v>5.1599999999999997E-3</v>
      </c>
      <c r="KO45">
        <v>5.9199999999999999E-3</v>
      </c>
      <c r="KP45">
        <v>7.4999999999999997E-3</v>
      </c>
      <c r="KQ45">
        <v>7.7600000000000004E-3</v>
      </c>
      <c r="KR45">
        <v>8.0700000000000008E-3</v>
      </c>
      <c r="KS45">
        <v>6.1900000000000002E-3</v>
      </c>
      <c r="KT45">
        <v>6.4200000000000004E-3</v>
      </c>
      <c r="KU45">
        <v>6.4000000000000003E-3</v>
      </c>
      <c r="KV45">
        <v>4.6299999999999996E-3</v>
      </c>
      <c r="KW45">
        <v>4.9199999999999999E-3</v>
      </c>
      <c r="KX45">
        <v>1.17E-2</v>
      </c>
      <c r="KY45">
        <v>6.5700000000000003E-3</v>
      </c>
      <c r="KZ45">
        <v>7.7799999999999996E-3</v>
      </c>
      <c r="LA45">
        <v>6.2199999999999998E-3</v>
      </c>
      <c r="LB45">
        <v>5.9699999999999996E-3</v>
      </c>
      <c r="LC45">
        <v>6.1000000000000004E-3</v>
      </c>
      <c r="LD45">
        <v>6.1000000000000004E-3</v>
      </c>
      <c r="LE45">
        <v>9.6399999999999993E-3</v>
      </c>
      <c r="LF45">
        <v>8.8999999999999999E-3</v>
      </c>
      <c r="LG45">
        <v>7.5100000000000002E-3</v>
      </c>
      <c r="LI45">
        <v>9.4199999999999996E-3</v>
      </c>
      <c r="LJ45">
        <v>9.92E-3</v>
      </c>
      <c r="LK45">
        <v>9.8799999999999999E-3</v>
      </c>
      <c r="LL45">
        <v>6.6699999999999997E-3</v>
      </c>
      <c r="LM45">
        <v>4.9800000000000001E-3</v>
      </c>
      <c r="LN45">
        <v>6.7600000000000004E-3</v>
      </c>
      <c r="LO45">
        <v>6.9100000000000003E-3</v>
      </c>
      <c r="LP45">
        <v>5.94E-3</v>
      </c>
      <c r="LR45">
        <v>9.3200000000000002E-3</v>
      </c>
      <c r="LS45">
        <v>1.048E-2</v>
      </c>
      <c r="LT45">
        <v>5.94E-3</v>
      </c>
      <c r="LU45">
        <v>8.1700000000000002E-3</v>
      </c>
      <c r="LV45">
        <v>9.2899999999999996E-3</v>
      </c>
      <c r="LW45">
        <v>4.7499999999999999E-3</v>
      </c>
      <c r="LX45">
        <v>5.5500000000000002E-3</v>
      </c>
      <c r="LY45">
        <v>7.2700000000000004E-3</v>
      </c>
      <c r="LZ45">
        <v>7.3000000000000001E-3</v>
      </c>
      <c r="MA45">
        <v>7.4099999999999999E-3</v>
      </c>
      <c r="MB45">
        <v>4.1599999999999996E-3</v>
      </c>
      <c r="MC45">
        <v>8.8199999999999997E-3</v>
      </c>
      <c r="MD45">
        <v>1.005E-2</v>
      </c>
      <c r="ME45">
        <v>1.303E-2</v>
      </c>
      <c r="MF45">
        <v>1.499E-2</v>
      </c>
      <c r="MG45">
        <v>1.355E-2</v>
      </c>
      <c r="MH45">
        <v>5.8500000000000002E-3</v>
      </c>
      <c r="MI45">
        <v>6.6600000000000001E-3</v>
      </c>
      <c r="MJ45">
        <v>6.5700000000000003E-3</v>
      </c>
      <c r="MK45">
        <v>6.2399999999999999E-3</v>
      </c>
      <c r="ML45">
        <v>7.6899999999999998E-3</v>
      </c>
      <c r="MM45">
        <v>6.6699999999999997E-3</v>
      </c>
      <c r="MN45">
        <v>5.45E-3</v>
      </c>
      <c r="MO45">
        <v>5.8900000000000003E-3</v>
      </c>
      <c r="MP45">
        <v>6.5799999999999999E-3</v>
      </c>
      <c r="MQ45">
        <v>4.5999999999999999E-3</v>
      </c>
      <c r="MR45">
        <v>6.0099999999999997E-3</v>
      </c>
      <c r="MS45">
        <v>6.3499999999999997E-3</v>
      </c>
      <c r="MT45">
        <v>7.5399999999999998E-3</v>
      </c>
      <c r="MU45">
        <v>4.8599999999999997E-3</v>
      </c>
      <c r="MV45">
        <v>5.5100000000000001E-3</v>
      </c>
      <c r="MW45">
        <v>5.7999999999999996E-3</v>
      </c>
      <c r="MX45">
        <v>5.9500000000000004E-3</v>
      </c>
      <c r="MY45">
        <v>6.45E-3</v>
      </c>
      <c r="MZ45">
        <v>7.2199999999999999E-3</v>
      </c>
      <c r="NA45">
        <v>6.5399999999999998E-3</v>
      </c>
      <c r="NB45">
        <v>6.4099999999999999E-3</v>
      </c>
      <c r="NC45">
        <v>4.1799999999999997E-3</v>
      </c>
      <c r="ND45">
        <v>1.289E-2</v>
      </c>
      <c r="NE45">
        <v>7.2500000000000004E-3</v>
      </c>
      <c r="NF45">
        <v>7.7400000000000004E-3</v>
      </c>
      <c r="NG45">
        <v>4.9800000000000001E-3</v>
      </c>
      <c r="NH45">
        <v>4.1900000000000001E-3</v>
      </c>
      <c r="NI45">
        <v>4.5300000000000002E-3</v>
      </c>
      <c r="NJ45">
        <v>4.9399999999999999E-3</v>
      </c>
      <c r="NK45">
        <v>4.47E-3</v>
      </c>
      <c r="NL45">
        <v>4.7099999999999998E-3</v>
      </c>
      <c r="NM45">
        <v>4.96E-3</v>
      </c>
      <c r="NN45">
        <v>5.2300000000000003E-3</v>
      </c>
      <c r="NO45">
        <v>5.4000000000000003E-3</v>
      </c>
      <c r="NQ45">
        <v>4.6699999999999997E-3</v>
      </c>
      <c r="NR45">
        <v>4.8199999999999996E-3</v>
      </c>
      <c r="NT45">
        <v>5.4200000000000003E-3</v>
      </c>
      <c r="NU45">
        <v>4.5199999999999997E-3</v>
      </c>
      <c r="NV45">
        <v>4.7499999999999999E-3</v>
      </c>
      <c r="NW45">
        <v>4.79E-3</v>
      </c>
      <c r="NX45">
        <v>4.9199999999999999E-3</v>
      </c>
      <c r="NY45">
        <v>5.0400000000000002E-3</v>
      </c>
      <c r="NZ45">
        <v>5.2599999999999999E-3</v>
      </c>
      <c r="OA45">
        <v>5.4599999999999996E-3</v>
      </c>
      <c r="OC45">
        <v>4.7800000000000004E-3</v>
      </c>
      <c r="OD45">
        <v>4.8999999999999998E-3</v>
      </c>
      <c r="OE45">
        <v>4.8999999999999998E-3</v>
      </c>
      <c r="OF45">
        <v>6.7000000000000002E-3</v>
      </c>
      <c r="OH45">
        <v>5.3600000000000002E-3</v>
      </c>
      <c r="OI45">
        <v>5.5500000000000002E-3</v>
      </c>
      <c r="OJ45">
        <v>5.7299999999999999E-3</v>
      </c>
      <c r="OK45">
        <v>5.8700000000000002E-3</v>
      </c>
      <c r="OL45">
        <v>6.0699999999999999E-3</v>
      </c>
      <c r="OM45">
        <v>4.8199999999999996E-3</v>
      </c>
      <c r="ON45">
        <v>5.0000000000000001E-3</v>
      </c>
      <c r="OO45">
        <v>5.1700000000000001E-3</v>
      </c>
      <c r="OP45">
        <v>5.5900000000000004E-3</v>
      </c>
      <c r="OQ45">
        <v>5.7999999999999996E-3</v>
      </c>
      <c r="OS45">
        <v>6.7099999999999998E-3</v>
      </c>
      <c r="OT45">
        <v>6.3899999999999998E-3</v>
      </c>
      <c r="OU45">
        <v>5.8399999999999997E-3</v>
      </c>
      <c r="OV45">
        <v>5.9699999999999996E-3</v>
      </c>
      <c r="OW45">
        <v>3.13E-3</v>
      </c>
      <c r="OX45">
        <v>3.7699999999999999E-3</v>
      </c>
      <c r="OY45">
        <v>4.5399999999999998E-3</v>
      </c>
      <c r="OZ45">
        <v>4.7200000000000002E-3</v>
      </c>
      <c r="PA45">
        <v>9.1199999999999996E-3</v>
      </c>
      <c r="PB45">
        <v>9.7000000000000003E-3</v>
      </c>
      <c r="PC45">
        <v>7.92E-3</v>
      </c>
      <c r="PD45">
        <v>6.94E-3</v>
      </c>
      <c r="PE45">
        <v>6.45E-3</v>
      </c>
      <c r="PF45">
        <v>6.1999999999999998E-3</v>
      </c>
      <c r="PG45">
        <v>5.3E-3</v>
      </c>
      <c r="PH45">
        <v>5.6800000000000002E-3</v>
      </c>
      <c r="PI45">
        <v>7.2399999999999999E-3</v>
      </c>
      <c r="PJ45">
        <v>6.7200000000000003E-3</v>
      </c>
      <c r="PK45">
        <v>6.2300000000000003E-3</v>
      </c>
      <c r="PL45">
        <v>6.0099999999999997E-3</v>
      </c>
      <c r="PM45">
        <v>5.4200000000000003E-3</v>
      </c>
      <c r="PN45">
        <v>4.9500000000000004E-3</v>
      </c>
      <c r="PO45">
        <v>4.9199999999999999E-3</v>
      </c>
      <c r="PP45">
        <v>5.1200000000000004E-3</v>
      </c>
      <c r="PQ45">
        <v>4.8700000000000002E-3</v>
      </c>
      <c r="PR45">
        <v>4.5199999999999997E-3</v>
      </c>
      <c r="PS45">
        <v>5.4900000000000001E-3</v>
      </c>
      <c r="PT45">
        <v>5.4099999999999999E-3</v>
      </c>
      <c r="PU45">
        <v>4.28E-3</v>
      </c>
      <c r="PV45">
        <v>4.0699999999999998E-3</v>
      </c>
      <c r="PW45">
        <v>4.2599999999999999E-3</v>
      </c>
      <c r="PX45">
        <v>4.6499999999999996E-3</v>
      </c>
      <c r="PY45">
        <v>5.11E-3</v>
      </c>
      <c r="QA45">
        <v>3.9399999999999999E-3</v>
      </c>
      <c r="QB45">
        <v>4.2900000000000004E-3</v>
      </c>
      <c r="QC45">
        <v>5.6499999999999996E-3</v>
      </c>
      <c r="QD45">
        <v>5.1599999999999997E-3</v>
      </c>
      <c r="QE45">
        <v>4.5399999999999998E-3</v>
      </c>
      <c r="QF45">
        <v>4.81E-3</v>
      </c>
      <c r="QG45">
        <v>6.7400000000000003E-3</v>
      </c>
      <c r="QH45">
        <v>4.7400000000000003E-3</v>
      </c>
      <c r="QI45">
        <v>5.1500000000000001E-3</v>
      </c>
      <c r="QK45">
        <v>4.96E-3</v>
      </c>
      <c r="QM45">
        <v>5.3800000000000002E-3</v>
      </c>
      <c r="QN45">
        <v>8.2500000000000004E-3</v>
      </c>
      <c r="QO45">
        <v>6.0099999999999997E-3</v>
      </c>
      <c r="QP45">
        <v>7.2100000000000003E-3</v>
      </c>
      <c r="QQ45">
        <v>7.7200000000000003E-3</v>
      </c>
      <c r="QR45">
        <v>8.3000000000000001E-3</v>
      </c>
      <c r="QS45">
        <v>8.2500000000000004E-3</v>
      </c>
      <c r="QT45">
        <v>6.1000000000000004E-3</v>
      </c>
      <c r="QU45">
        <v>6.1399999999999996E-3</v>
      </c>
      <c r="QV45">
        <v>6.2100000000000002E-3</v>
      </c>
      <c r="QW45">
        <v>6.11E-3</v>
      </c>
      <c r="QX45">
        <v>5.7499999999999999E-3</v>
      </c>
      <c r="QY45">
        <v>5.4400000000000004E-3</v>
      </c>
      <c r="QZ45">
        <v>5.8500000000000002E-3</v>
      </c>
      <c r="RA45">
        <v>6.6400000000000001E-3</v>
      </c>
      <c r="RB45">
        <v>7.8499999999999993E-3</v>
      </c>
      <c r="RC45">
        <v>6.5700000000000003E-3</v>
      </c>
      <c r="RD45">
        <v>1.0529999999999999E-2</v>
      </c>
      <c r="RE45">
        <v>8.1799999999999998E-3</v>
      </c>
      <c r="RF45">
        <v>7.5799999999999999E-3</v>
      </c>
      <c r="RG45">
        <v>5.4000000000000003E-3</v>
      </c>
      <c r="RH45">
        <v>5.3099999999999996E-3</v>
      </c>
      <c r="RI45">
        <v>8.0700000000000008E-3</v>
      </c>
      <c r="RJ45">
        <v>7.3299999999999997E-3</v>
      </c>
      <c r="RK45">
        <v>7.2399999999999999E-3</v>
      </c>
      <c r="RL45">
        <v>6.6699999999999997E-3</v>
      </c>
      <c r="RM45">
        <v>4.5900000000000003E-3</v>
      </c>
      <c r="RN45">
        <v>4.6800000000000001E-3</v>
      </c>
      <c r="RO45">
        <v>4.6800000000000001E-3</v>
      </c>
      <c r="RP45">
        <v>4.2900000000000004E-3</v>
      </c>
      <c r="RQ45">
        <v>4.6699999999999997E-3</v>
      </c>
      <c r="RR45">
        <v>4.45E-3</v>
      </c>
      <c r="RS45">
        <v>4.5599999999999998E-3</v>
      </c>
      <c r="RT45">
        <v>3.8700000000000002E-3</v>
      </c>
      <c r="RV45">
        <v>5.1599999999999997E-3</v>
      </c>
      <c r="RW45">
        <v>5.7499999999999999E-3</v>
      </c>
      <c r="RX45">
        <v>5.2399999999999999E-3</v>
      </c>
      <c r="RY45">
        <v>3.62E-3</v>
      </c>
      <c r="RZ45">
        <v>5.1200000000000004E-3</v>
      </c>
      <c r="SA45">
        <v>7.2899999999999996E-3</v>
      </c>
      <c r="SB45">
        <v>6.7099999999999998E-3</v>
      </c>
      <c r="SC45">
        <v>6.5700000000000003E-3</v>
      </c>
      <c r="SD45">
        <v>6.9300000000000004E-3</v>
      </c>
      <c r="SE45">
        <v>6.3099999999999996E-3</v>
      </c>
      <c r="SF45">
        <v>7.1799999999999998E-3</v>
      </c>
      <c r="SG45">
        <v>9.0200000000000002E-3</v>
      </c>
      <c r="SH45">
        <v>1.145E-2</v>
      </c>
      <c r="SI45">
        <v>6.2599999999999999E-3</v>
      </c>
      <c r="SJ45">
        <v>5.0200000000000002E-3</v>
      </c>
      <c r="SK45">
        <v>4.4999999999999997E-3</v>
      </c>
      <c r="SL45">
        <v>4.8300000000000001E-3</v>
      </c>
      <c r="SM45">
        <v>4.0299999999999997E-3</v>
      </c>
      <c r="SN45">
        <v>4.2599999999999999E-3</v>
      </c>
      <c r="SO45">
        <v>4.1200000000000004E-3</v>
      </c>
      <c r="SP45">
        <v>6.0400000000000002E-3</v>
      </c>
      <c r="SQ45">
        <v>5.11E-3</v>
      </c>
      <c r="SR45">
        <v>5.5799999999999999E-3</v>
      </c>
      <c r="SS45">
        <v>4.5300000000000002E-3</v>
      </c>
      <c r="ST45">
        <v>4.62E-3</v>
      </c>
      <c r="SU45">
        <v>4.7400000000000003E-3</v>
      </c>
      <c r="SW45">
        <v>4.9300000000000004E-3</v>
      </c>
      <c r="SX45">
        <v>5.6299999999999996E-3</v>
      </c>
      <c r="SY45">
        <v>4.5700000000000003E-3</v>
      </c>
      <c r="SZ45">
        <v>5.7000000000000002E-3</v>
      </c>
      <c r="TA45">
        <v>5.4299999999999999E-3</v>
      </c>
      <c r="TB45">
        <v>6.1399999999999996E-3</v>
      </c>
      <c r="TC45">
        <v>4.9899999999999996E-3</v>
      </c>
      <c r="TD45">
        <v>4.9699999999999996E-3</v>
      </c>
      <c r="TE45">
        <v>7.0699999999999999E-3</v>
      </c>
      <c r="TF45">
        <v>5.8900000000000003E-3</v>
      </c>
      <c r="TG45">
        <v>6.2199999999999998E-3</v>
      </c>
      <c r="TH45">
        <v>7.3299999999999997E-3</v>
      </c>
      <c r="TJ45">
        <v>6.8399999999999997E-3</v>
      </c>
      <c r="TK45">
        <v>4.4900000000000001E-3</v>
      </c>
      <c r="TL45">
        <v>4.1399999999999996E-3</v>
      </c>
      <c r="TM45">
        <v>3.8300000000000001E-3</v>
      </c>
      <c r="TN45">
        <v>5.11E-3</v>
      </c>
      <c r="TO45">
        <v>5.1900000000000002E-3</v>
      </c>
      <c r="TP45">
        <v>4.3E-3</v>
      </c>
      <c r="TQ45">
        <v>5.2900000000000004E-3</v>
      </c>
      <c r="TR45">
        <v>6.11E-3</v>
      </c>
      <c r="TS45">
        <v>6.2199999999999998E-3</v>
      </c>
      <c r="TT45">
        <v>6.13E-3</v>
      </c>
      <c r="TU45">
        <v>5.7000000000000002E-3</v>
      </c>
      <c r="TV45">
        <v>4.8599999999999997E-3</v>
      </c>
      <c r="TW45">
        <v>4.7600000000000003E-3</v>
      </c>
      <c r="TX45">
        <v>4.9899999999999996E-3</v>
      </c>
      <c r="TY45">
        <v>4.8500000000000001E-3</v>
      </c>
      <c r="TZ45">
        <v>5.1200000000000004E-3</v>
      </c>
      <c r="UA45">
        <v>5.0099999999999997E-3</v>
      </c>
      <c r="UB45">
        <v>4.79E-3</v>
      </c>
      <c r="UC45">
        <v>4.7200000000000002E-3</v>
      </c>
      <c r="UD45">
        <v>4.7699999999999999E-3</v>
      </c>
      <c r="UE45">
        <v>4.9100000000000003E-3</v>
      </c>
      <c r="UF45">
        <v>4.0800000000000003E-3</v>
      </c>
      <c r="UH45">
        <v>5.4599999999999996E-3</v>
      </c>
      <c r="UI45">
        <v>4.7200000000000002E-3</v>
      </c>
      <c r="UJ45">
        <v>5.2300000000000003E-3</v>
      </c>
      <c r="UK45">
        <v>5.1000000000000004E-3</v>
      </c>
      <c r="UL45">
        <v>5.3200000000000001E-3</v>
      </c>
      <c r="UM45">
        <v>5.9699999999999996E-3</v>
      </c>
      <c r="UN45">
        <v>4.8700000000000002E-3</v>
      </c>
      <c r="UO45">
        <v>5.0099999999999997E-3</v>
      </c>
      <c r="UR45">
        <v>4.5799999999999999E-3</v>
      </c>
      <c r="US45">
        <v>5.1000000000000004E-3</v>
      </c>
      <c r="UU45">
        <v>4.8500000000000001E-3</v>
      </c>
      <c r="UW45">
        <v>6.3499999999999997E-3</v>
      </c>
      <c r="UX45">
        <v>4.5399999999999998E-3</v>
      </c>
      <c r="UY45">
        <v>4.8999999999999998E-3</v>
      </c>
      <c r="UZ45">
        <v>5.64E-3</v>
      </c>
      <c r="VA45">
        <v>7.3600000000000002E-3</v>
      </c>
      <c r="VB45">
        <v>5.6100000000000004E-3</v>
      </c>
      <c r="VC45">
        <v>6.3600000000000002E-3</v>
      </c>
      <c r="VD45">
        <v>8.2500000000000004E-3</v>
      </c>
      <c r="VE45">
        <v>5.8199999999999997E-3</v>
      </c>
      <c r="VF45">
        <v>8.2100000000000003E-3</v>
      </c>
      <c r="VG45">
        <v>8.8000000000000005E-3</v>
      </c>
      <c r="VH45">
        <v>5.4799999999999996E-3</v>
      </c>
      <c r="VI45">
        <v>5.8500000000000002E-3</v>
      </c>
    </row>
    <row r="46" spans="1:581" x14ac:dyDescent="0.25">
      <c r="A46">
        <v>1150000</v>
      </c>
      <c r="B46">
        <v>3.9500000000000004E-3</v>
      </c>
      <c r="C46">
        <v>4.62E-3</v>
      </c>
      <c r="D46">
        <v>4.64E-3</v>
      </c>
      <c r="E46">
        <v>5.6100000000000004E-3</v>
      </c>
      <c r="F46">
        <v>5.9100000000000003E-3</v>
      </c>
      <c r="G46">
        <v>6.4799999999999996E-3</v>
      </c>
      <c r="H46">
        <v>4.9300000000000004E-3</v>
      </c>
      <c r="I46">
        <v>4.7600000000000003E-3</v>
      </c>
      <c r="J46">
        <v>4.5199999999999997E-3</v>
      </c>
      <c r="L46">
        <v>4.9100000000000003E-3</v>
      </c>
      <c r="M46">
        <v>4.6899999999999997E-3</v>
      </c>
      <c r="N46">
        <v>4.5500000000000002E-3</v>
      </c>
      <c r="O46">
        <v>5.2399999999999999E-3</v>
      </c>
      <c r="P46">
        <v>5.1200000000000004E-3</v>
      </c>
      <c r="Q46">
        <v>5.1200000000000004E-3</v>
      </c>
      <c r="R46">
        <v>4.9899999999999996E-3</v>
      </c>
      <c r="S46">
        <v>4.4400000000000004E-3</v>
      </c>
      <c r="T46">
        <v>4.3600000000000002E-3</v>
      </c>
      <c r="U46">
        <v>6.1199999999999996E-3</v>
      </c>
      <c r="V46">
        <v>4.4099999999999999E-3</v>
      </c>
      <c r="W46">
        <v>5.9800000000000001E-3</v>
      </c>
      <c r="X46">
        <v>4.1900000000000001E-3</v>
      </c>
      <c r="Y46">
        <v>5.8999999999999999E-3</v>
      </c>
      <c r="Z46">
        <v>3.8300000000000001E-3</v>
      </c>
      <c r="AA46">
        <v>5.9800000000000001E-3</v>
      </c>
      <c r="AB46">
        <v>6.9100000000000003E-3</v>
      </c>
      <c r="AC46">
        <v>7.4200000000000004E-3</v>
      </c>
      <c r="AD46">
        <v>5.4299999999999999E-3</v>
      </c>
      <c r="AE46">
        <v>6.1999999999999998E-3</v>
      </c>
      <c r="AF46">
        <v>6.3899999999999998E-3</v>
      </c>
      <c r="AG46">
        <v>5.5500000000000002E-3</v>
      </c>
      <c r="AH46">
        <v>5.4799999999999996E-3</v>
      </c>
      <c r="AI46">
        <v>5.9800000000000001E-3</v>
      </c>
      <c r="AJ46">
        <v>5.0099999999999997E-3</v>
      </c>
      <c r="AK46">
        <v>6.0699999999999999E-3</v>
      </c>
      <c r="AL46">
        <v>7.8200000000000006E-3</v>
      </c>
      <c r="AM46">
        <v>5.2100000000000002E-3</v>
      </c>
      <c r="AN46">
        <v>6.0899999999999999E-3</v>
      </c>
      <c r="AO46">
        <v>1.136E-2</v>
      </c>
      <c r="AP46">
        <v>6.3499999999999997E-3</v>
      </c>
      <c r="AQ46">
        <v>7.1500000000000001E-3</v>
      </c>
      <c r="AR46">
        <v>6.45E-3</v>
      </c>
      <c r="AS46">
        <v>6.79E-3</v>
      </c>
      <c r="AT46">
        <v>5.3099999999999996E-3</v>
      </c>
      <c r="AU46">
        <v>5.9800000000000001E-3</v>
      </c>
      <c r="AV46">
        <v>5.8599999999999998E-3</v>
      </c>
      <c r="AW46">
        <v>6.1000000000000004E-3</v>
      </c>
      <c r="AX46">
        <v>6.0200000000000002E-3</v>
      </c>
      <c r="AY46">
        <v>5.3699999999999998E-3</v>
      </c>
      <c r="AZ46">
        <v>5.13E-3</v>
      </c>
      <c r="BA46">
        <v>5.8599999999999998E-3</v>
      </c>
      <c r="BB46">
        <v>6.5799999999999999E-3</v>
      </c>
      <c r="BC46">
        <v>7.1300000000000001E-3</v>
      </c>
      <c r="BD46">
        <v>7.4999999999999997E-3</v>
      </c>
      <c r="BE46">
        <v>8.77E-3</v>
      </c>
      <c r="BF46">
        <v>1.017E-2</v>
      </c>
      <c r="BG46">
        <v>6.6100000000000004E-3</v>
      </c>
      <c r="BH46">
        <v>6.3499999999999997E-3</v>
      </c>
      <c r="BI46">
        <v>1.0109999999999999E-2</v>
      </c>
      <c r="BJ46">
        <v>6.8999999999999999E-3</v>
      </c>
      <c r="BK46">
        <v>7.4700000000000001E-3</v>
      </c>
      <c r="BL46">
        <v>7.5199999999999998E-3</v>
      </c>
      <c r="BM46">
        <v>7.1000000000000004E-3</v>
      </c>
      <c r="BN46">
        <v>5.9800000000000001E-3</v>
      </c>
      <c r="BO46">
        <v>8.3099999999999997E-3</v>
      </c>
      <c r="BP46">
        <v>6.9100000000000003E-3</v>
      </c>
      <c r="BQ46">
        <v>5.9300000000000004E-3</v>
      </c>
      <c r="BR46">
        <v>5.4799999999999996E-3</v>
      </c>
      <c r="BT46">
        <v>7.8200000000000006E-3</v>
      </c>
      <c r="BU46">
        <v>9.0200000000000002E-3</v>
      </c>
      <c r="BV46">
        <v>9.0600000000000003E-3</v>
      </c>
      <c r="BX46">
        <v>8.5299999999999994E-3</v>
      </c>
      <c r="BY46">
        <v>8.7899999999999992E-3</v>
      </c>
      <c r="BZ46">
        <v>7.7299999999999999E-3</v>
      </c>
      <c r="CA46">
        <v>7.8799999999999999E-3</v>
      </c>
      <c r="CB46">
        <v>6.43E-3</v>
      </c>
      <c r="CC46">
        <v>6.94E-3</v>
      </c>
      <c r="CD46">
        <v>5.7000000000000002E-3</v>
      </c>
      <c r="CE46">
        <v>5.3899999999999998E-3</v>
      </c>
      <c r="CF46">
        <v>5.0699999999999999E-3</v>
      </c>
      <c r="CG46">
        <v>4.7200000000000002E-3</v>
      </c>
      <c r="CI46">
        <v>4.3E-3</v>
      </c>
      <c r="CJ46">
        <v>4.28E-3</v>
      </c>
      <c r="CK46">
        <v>4.8799999999999998E-3</v>
      </c>
      <c r="CL46">
        <v>5.4299999999999999E-3</v>
      </c>
      <c r="CM46">
        <v>5.8500000000000002E-3</v>
      </c>
      <c r="CN46">
        <v>6.2500000000000003E-3</v>
      </c>
      <c r="CO46">
        <v>5.9500000000000004E-3</v>
      </c>
      <c r="CP46">
        <v>6.4000000000000003E-3</v>
      </c>
      <c r="CQ46">
        <v>5.2700000000000004E-3</v>
      </c>
      <c r="CS46">
        <v>6.45E-3</v>
      </c>
      <c r="CT46">
        <v>6.8399999999999997E-3</v>
      </c>
      <c r="CU46">
        <v>5.45E-3</v>
      </c>
      <c r="CV46">
        <v>5.2500000000000003E-3</v>
      </c>
      <c r="CW46">
        <v>5.6899999999999997E-3</v>
      </c>
      <c r="CY46">
        <v>4.96E-3</v>
      </c>
      <c r="CZ46">
        <v>4.5599999999999998E-3</v>
      </c>
      <c r="DA46">
        <v>5.0200000000000002E-3</v>
      </c>
      <c r="DB46">
        <v>4.9300000000000004E-3</v>
      </c>
      <c r="DC46">
        <v>4.8700000000000002E-3</v>
      </c>
      <c r="DD46">
        <v>4.79E-3</v>
      </c>
      <c r="DE46">
        <v>4.7299999999999998E-3</v>
      </c>
      <c r="DF46">
        <v>7.2899999999999996E-3</v>
      </c>
      <c r="DG46">
        <v>4.8300000000000001E-3</v>
      </c>
      <c r="DH46">
        <v>6.3899999999999998E-3</v>
      </c>
      <c r="DI46">
        <v>6.2100000000000002E-3</v>
      </c>
      <c r="DJ46">
        <v>6.3499999999999997E-3</v>
      </c>
      <c r="DK46">
        <v>6.3800000000000003E-3</v>
      </c>
      <c r="DL46">
        <v>6.43E-3</v>
      </c>
      <c r="DM46">
        <v>5.4999999999999997E-3</v>
      </c>
      <c r="DN46">
        <v>5.5999999999999999E-3</v>
      </c>
      <c r="DP46">
        <v>8.5699999999999995E-3</v>
      </c>
      <c r="DQ46">
        <v>8.3800000000000003E-3</v>
      </c>
      <c r="DR46">
        <v>5.9500000000000004E-3</v>
      </c>
      <c r="DS46">
        <v>6.4099999999999999E-3</v>
      </c>
      <c r="DT46">
        <v>6.11E-3</v>
      </c>
      <c r="DU46">
        <v>6.1599999999999997E-3</v>
      </c>
      <c r="DV46">
        <v>8.8500000000000002E-3</v>
      </c>
      <c r="DW46">
        <v>6.3800000000000003E-3</v>
      </c>
      <c r="DX46">
        <v>6.3899999999999998E-3</v>
      </c>
      <c r="DY46">
        <v>9.4500000000000001E-3</v>
      </c>
      <c r="DZ46">
        <v>8.9300000000000004E-3</v>
      </c>
      <c r="EA46">
        <v>5.3400000000000001E-3</v>
      </c>
      <c r="EB46">
        <v>5.28E-3</v>
      </c>
      <c r="EC46">
        <v>4.8500000000000001E-3</v>
      </c>
      <c r="EI46">
        <v>6.1599999999999997E-3</v>
      </c>
      <c r="EJ46">
        <v>5.4000000000000003E-3</v>
      </c>
      <c r="EL46">
        <v>6.0600000000000003E-3</v>
      </c>
      <c r="EM46">
        <v>6.3699999999999998E-3</v>
      </c>
      <c r="EN46">
        <v>6.5399999999999998E-3</v>
      </c>
      <c r="EO46">
        <v>6.6E-3</v>
      </c>
      <c r="EP46">
        <v>6.9499999999999996E-3</v>
      </c>
      <c r="EQ46">
        <v>7.0200000000000002E-3</v>
      </c>
      <c r="ER46">
        <v>5.7099999999999998E-3</v>
      </c>
      <c r="ES46">
        <v>5.5599999999999998E-3</v>
      </c>
      <c r="ET46">
        <v>5.5700000000000003E-3</v>
      </c>
      <c r="EU46">
        <v>1.0149999999999999E-2</v>
      </c>
      <c r="EV46">
        <v>9.3600000000000003E-3</v>
      </c>
      <c r="EW46">
        <v>8.8299999999999993E-3</v>
      </c>
      <c r="EX46">
        <v>8.9300000000000004E-3</v>
      </c>
      <c r="EY46">
        <v>6.6899999999999998E-3</v>
      </c>
      <c r="EZ46">
        <v>6.9899999999999997E-3</v>
      </c>
      <c r="FB46">
        <v>6.6299999999999996E-3</v>
      </c>
      <c r="FC46">
        <v>5.7099999999999998E-3</v>
      </c>
      <c r="FD46">
        <v>5.5900000000000004E-3</v>
      </c>
      <c r="FE46">
        <v>6.5799999999999999E-3</v>
      </c>
      <c r="FF46">
        <v>4.4200000000000003E-3</v>
      </c>
      <c r="FG46">
        <v>8.4600000000000005E-3</v>
      </c>
      <c r="FH46">
        <v>8.7899999999999992E-3</v>
      </c>
      <c r="FI46">
        <v>8.4499999999999992E-3</v>
      </c>
      <c r="FJ46">
        <v>8.4799999999999997E-3</v>
      </c>
      <c r="FK46">
        <v>7.6699999999999997E-3</v>
      </c>
      <c r="FL46">
        <v>5.0400000000000002E-3</v>
      </c>
      <c r="FN46">
        <v>6.4099999999999999E-3</v>
      </c>
      <c r="FO46">
        <v>5.7400000000000003E-3</v>
      </c>
      <c r="FP46">
        <v>5.2199999999999998E-3</v>
      </c>
      <c r="FQ46">
        <v>6.9699999999999996E-3</v>
      </c>
      <c r="FR46">
        <v>7.1399999999999996E-3</v>
      </c>
      <c r="FS46">
        <v>7.3699999999999998E-3</v>
      </c>
      <c r="FT46">
        <v>7.0600000000000003E-3</v>
      </c>
      <c r="FU46">
        <v>6.9199999999999999E-3</v>
      </c>
      <c r="FV46">
        <v>6.9199999999999999E-3</v>
      </c>
      <c r="FW46">
        <v>6.7600000000000004E-3</v>
      </c>
      <c r="FX46">
        <v>7.0099999999999997E-3</v>
      </c>
      <c r="FY46">
        <v>7.4799999999999997E-3</v>
      </c>
      <c r="FZ46">
        <v>7.0899999999999999E-3</v>
      </c>
      <c r="GA46">
        <v>7.5700000000000003E-3</v>
      </c>
      <c r="GB46">
        <v>7.2700000000000004E-3</v>
      </c>
      <c r="GC46">
        <v>7.7099999999999998E-3</v>
      </c>
      <c r="GD46">
        <v>7.2500000000000004E-3</v>
      </c>
      <c r="GE46">
        <v>7.7600000000000004E-3</v>
      </c>
      <c r="GF46">
        <v>6.7799999999999996E-3</v>
      </c>
      <c r="GG46">
        <v>6.79E-3</v>
      </c>
      <c r="GH46">
        <v>6.9300000000000004E-3</v>
      </c>
      <c r="GJ46">
        <v>7.8100000000000001E-3</v>
      </c>
      <c r="GK46">
        <v>7.9900000000000006E-3</v>
      </c>
      <c r="GL46">
        <v>8.2299999999999995E-3</v>
      </c>
      <c r="GM46">
        <v>7.2899999999999996E-3</v>
      </c>
      <c r="GO46">
        <v>7.0299999999999998E-3</v>
      </c>
      <c r="GP46">
        <v>6.2599999999999999E-3</v>
      </c>
      <c r="GQ46">
        <v>6.6100000000000004E-3</v>
      </c>
      <c r="GR46">
        <v>7.1999999999999998E-3</v>
      </c>
      <c r="GS46">
        <v>6.0899999999999999E-3</v>
      </c>
      <c r="GT46">
        <v>6.6499999999999997E-3</v>
      </c>
      <c r="GU46">
        <v>5.2100000000000002E-3</v>
      </c>
      <c r="GV46">
        <v>8.3999999999999995E-3</v>
      </c>
      <c r="GW46">
        <v>8.2400000000000008E-3</v>
      </c>
      <c r="GX46">
        <v>7.7099999999999998E-3</v>
      </c>
      <c r="GY46">
        <v>7.7299999999999999E-3</v>
      </c>
      <c r="GZ46">
        <v>6.9499999999999996E-3</v>
      </c>
      <c r="HA46">
        <v>5.1900000000000002E-3</v>
      </c>
      <c r="HB46">
        <v>4.7600000000000003E-3</v>
      </c>
      <c r="HC46">
        <v>5.7499999999999999E-3</v>
      </c>
      <c r="HE46">
        <v>5.6299999999999996E-3</v>
      </c>
      <c r="HF46">
        <v>6.9699999999999996E-3</v>
      </c>
      <c r="HG46">
        <v>8.5199999999999998E-3</v>
      </c>
      <c r="HH46">
        <v>8.5900000000000004E-3</v>
      </c>
      <c r="HI46">
        <v>8.8599999999999998E-3</v>
      </c>
      <c r="HJ46">
        <v>4.4999999999999997E-3</v>
      </c>
      <c r="HK46">
        <v>6.6E-3</v>
      </c>
      <c r="HL46">
        <v>6.8900000000000003E-3</v>
      </c>
      <c r="HM46">
        <v>6.6E-3</v>
      </c>
      <c r="HN46">
        <v>6.4599999999999996E-3</v>
      </c>
      <c r="HO46">
        <v>6.1799999999999997E-3</v>
      </c>
      <c r="HP46">
        <v>5.0800000000000003E-3</v>
      </c>
      <c r="HQ46">
        <v>6.1500000000000001E-3</v>
      </c>
      <c r="HR46">
        <v>7.4200000000000004E-3</v>
      </c>
      <c r="HS46">
        <v>1.04E-2</v>
      </c>
      <c r="HT46">
        <v>5.7499999999999999E-3</v>
      </c>
      <c r="HU46">
        <v>5.2900000000000004E-3</v>
      </c>
      <c r="HV46">
        <v>6.94E-3</v>
      </c>
      <c r="HW46">
        <v>5.4999999999999997E-3</v>
      </c>
      <c r="HX46">
        <v>6.9499999999999996E-3</v>
      </c>
      <c r="HY46">
        <v>6.0600000000000003E-3</v>
      </c>
      <c r="HZ46">
        <v>4.0099999999999997E-3</v>
      </c>
      <c r="IA46">
        <v>7.1999999999999998E-3</v>
      </c>
      <c r="IB46">
        <v>8.9499999999999996E-3</v>
      </c>
      <c r="IC46">
        <v>7.5300000000000002E-3</v>
      </c>
      <c r="IE46">
        <v>5.0000000000000001E-3</v>
      </c>
      <c r="IF46">
        <v>5.0899999999999999E-3</v>
      </c>
      <c r="IG46">
        <v>6.1000000000000004E-3</v>
      </c>
      <c r="IH46">
        <v>6.5700000000000003E-3</v>
      </c>
      <c r="II46">
        <v>4.7800000000000004E-3</v>
      </c>
      <c r="IJ46">
        <v>5.8399999999999997E-3</v>
      </c>
      <c r="IL46">
        <v>7.1799999999999998E-3</v>
      </c>
      <c r="IM46">
        <v>7.9500000000000005E-3</v>
      </c>
      <c r="IN46">
        <v>8.6E-3</v>
      </c>
      <c r="IO46">
        <v>9.4400000000000005E-3</v>
      </c>
      <c r="IP46">
        <v>1.093E-2</v>
      </c>
      <c r="IQ46">
        <v>1.1820000000000001E-2</v>
      </c>
      <c r="IR46">
        <v>1.2930000000000001E-2</v>
      </c>
      <c r="IS46">
        <v>4.7400000000000003E-3</v>
      </c>
      <c r="IT46">
        <v>4.5300000000000002E-3</v>
      </c>
      <c r="IU46">
        <v>4.9399999999999999E-3</v>
      </c>
      <c r="IV46">
        <v>4.5599999999999998E-3</v>
      </c>
      <c r="IW46">
        <v>5.2700000000000004E-3</v>
      </c>
      <c r="IX46">
        <v>3.5599999999999998E-3</v>
      </c>
      <c r="IY46">
        <v>4.47E-3</v>
      </c>
      <c r="IZ46">
        <v>4.15E-3</v>
      </c>
      <c r="JA46">
        <v>4.6800000000000001E-3</v>
      </c>
      <c r="JB46">
        <v>4.8199999999999996E-3</v>
      </c>
      <c r="JC46">
        <v>5.1900000000000002E-3</v>
      </c>
      <c r="JE46">
        <v>4.6100000000000004E-3</v>
      </c>
      <c r="JF46">
        <v>5.9500000000000004E-3</v>
      </c>
      <c r="JH46">
        <v>1.0999999999999999E-2</v>
      </c>
      <c r="JI46">
        <v>6.6699999999999997E-3</v>
      </c>
      <c r="JJ46">
        <v>5.8399999999999997E-3</v>
      </c>
      <c r="JK46">
        <v>9.1199999999999996E-3</v>
      </c>
      <c r="JL46">
        <v>8.4799999999999997E-3</v>
      </c>
      <c r="JM46">
        <v>5.8399999999999997E-3</v>
      </c>
      <c r="JN46">
        <v>7.6400000000000001E-3</v>
      </c>
      <c r="JP46">
        <v>5.3699999999999998E-3</v>
      </c>
      <c r="JQ46">
        <v>5.6899999999999997E-3</v>
      </c>
      <c r="JR46">
        <v>5.9800000000000001E-3</v>
      </c>
      <c r="JS46">
        <v>5.4299999999999999E-3</v>
      </c>
      <c r="JT46">
        <v>6.3400000000000001E-3</v>
      </c>
      <c r="JU46">
        <v>7.7999999999999996E-3</v>
      </c>
      <c r="JV46">
        <v>5.8599999999999998E-3</v>
      </c>
      <c r="JW46">
        <v>6.2100000000000002E-3</v>
      </c>
      <c r="JX46">
        <v>5.7299999999999999E-3</v>
      </c>
      <c r="JY46">
        <v>6.8700000000000002E-3</v>
      </c>
      <c r="JZ46">
        <v>7.1500000000000001E-3</v>
      </c>
      <c r="KA46">
        <v>6.94E-3</v>
      </c>
      <c r="KB46">
        <v>5.64E-3</v>
      </c>
      <c r="KC46">
        <v>5.8900000000000003E-3</v>
      </c>
      <c r="KD46">
        <v>6.43E-3</v>
      </c>
      <c r="KE46">
        <v>8.2199999999999999E-3</v>
      </c>
      <c r="KF46">
        <v>1.111E-2</v>
      </c>
      <c r="KG46">
        <v>1.1639999999999999E-2</v>
      </c>
      <c r="KH46">
        <v>1.142E-2</v>
      </c>
      <c r="KI46">
        <v>7.6299999999999996E-3</v>
      </c>
      <c r="KJ46">
        <v>7.6899999999999998E-3</v>
      </c>
      <c r="KK46">
        <v>7.6699999999999997E-3</v>
      </c>
      <c r="KL46">
        <v>8.0700000000000008E-3</v>
      </c>
      <c r="KM46">
        <v>8.1899999999999994E-3</v>
      </c>
      <c r="KN46">
        <v>5.1200000000000004E-3</v>
      </c>
      <c r="KP46">
        <v>7.4099999999999999E-3</v>
      </c>
      <c r="KQ46">
        <v>7.62E-3</v>
      </c>
      <c r="KR46">
        <v>7.92E-3</v>
      </c>
      <c r="KS46">
        <v>6.13E-3</v>
      </c>
      <c r="KT46">
        <v>6.3499999999999997E-3</v>
      </c>
      <c r="KU46">
        <v>6.4700000000000001E-3</v>
      </c>
      <c r="KV46">
        <v>4.7800000000000004E-3</v>
      </c>
      <c r="KW46">
        <v>4.8599999999999997E-3</v>
      </c>
      <c r="KX46">
        <v>1.159E-2</v>
      </c>
      <c r="KY46">
        <v>6.6299999999999996E-3</v>
      </c>
      <c r="KZ46">
        <v>7.8300000000000002E-3</v>
      </c>
      <c r="LA46">
        <v>6.11E-3</v>
      </c>
      <c r="LB46">
        <v>5.8599999999999998E-3</v>
      </c>
      <c r="LC46">
        <v>5.9899999999999997E-3</v>
      </c>
      <c r="LD46">
        <v>5.9899999999999997E-3</v>
      </c>
      <c r="LF46">
        <v>8.7399999999999995E-3</v>
      </c>
      <c r="LG46">
        <v>7.3099999999999997E-3</v>
      </c>
      <c r="LI46">
        <v>9.3299999999999998E-3</v>
      </c>
      <c r="LJ46">
        <v>9.7900000000000001E-3</v>
      </c>
      <c r="LK46">
        <v>9.7599999999999996E-3</v>
      </c>
      <c r="LL46">
        <v>6.5500000000000003E-3</v>
      </c>
      <c r="LM46">
        <v>4.8900000000000002E-3</v>
      </c>
      <c r="LN46">
        <v>6.5700000000000003E-3</v>
      </c>
      <c r="LO46">
        <v>6.7000000000000002E-3</v>
      </c>
      <c r="LP46">
        <v>5.79E-3</v>
      </c>
      <c r="LR46">
        <v>9.1999999999999998E-3</v>
      </c>
      <c r="LS46">
        <v>1.034E-2</v>
      </c>
      <c r="LT46">
        <v>5.8199999999999997E-3</v>
      </c>
      <c r="LU46">
        <v>7.8899999999999994E-3</v>
      </c>
      <c r="LV46">
        <v>8.9499999999999996E-3</v>
      </c>
      <c r="LW46">
        <v>4.7400000000000003E-3</v>
      </c>
      <c r="LX46">
        <v>5.5199999999999997E-3</v>
      </c>
      <c r="LZ46">
        <v>7.1900000000000002E-3</v>
      </c>
      <c r="MA46">
        <v>7.3299999999999997E-3</v>
      </c>
      <c r="MB46">
        <v>4.1799999999999997E-3</v>
      </c>
      <c r="MC46">
        <v>8.7799999999999996E-3</v>
      </c>
      <c r="MD46">
        <v>9.9100000000000004E-3</v>
      </c>
      <c r="ME46">
        <v>1.278E-2</v>
      </c>
      <c r="MF46">
        <v>1.481E-2</v>
      </c>
      <c r="MG46">
        <v>1.3310000000000001E-2</v>
      </c>
      <c r="MH46">
        <v>5.7600000000000004E-3</v>
      </c>
      <c r="MI46">
        <v>6.4799999999999996E-3</v>
      </c>
      <c r="MJ46">
        <v>6.3899999999999998E-3</v>
      </c>
      <c r="MK46">
        <v>6.0499999999999998E-3</v>
      </c>
      <c r="ML46">
        <v>7.4900000000000001E-3</v>
      </c>
      <c r="MM46">
        <v>6.45E-3</v>
      </c>
      <c r="MN46">
        <v>5.4000000000000003E-3</v>
      </c>
      <c r="MO46">
        <v>5.8100000000000001E-3</v>
      </c>
      <c r="MP46">
        <v>6.5500000000000003E-3</v>
      </c>
      <c r="MQ46">
        <v>4.5500000000000002E-3</v>
      </c>
      <c r="MR46">
        <v>5.9199999999999999E-3</v>
      </c>
      <c r="MS46">
        <v>6.2500000000000003E-3</v>
      </c>
      <c r="MT46">
        <v>7.4400000000000004E-3</v>
      </c>
      <c r="MU46">
        <v>4.8199999999999996E-3</v>
      </c>
      <c r="MV46">
        <v>5.47E-3</v>
      </c>
      <c r="MW46">
        <v>5.7299999999999999E-3</v>
      </c>
      <c r="MX46">
        <v>5.8799999999999998E-3</v>
      </c>
      <c r="MY46">
        <v>6.3699999999999998E-3</v>
      </c>
      <c r="MZ46">
        <v>7.1500000000000001E-3</v>
      </c>
      <c r="NA46">
        <v>6.43E-3</v>
      </c>
      <c r="NB46">
        <v>6.3099999999999996E-3</v>
      </c>
      <c r="NC46">
        <v>4.1900000000000001E-3</v>
      </c>
      <c r="ND46">
        <v>1.2800000000000001E-2</v>
      </c>
      <c r="NE46">
        <v>7.1199999999999996E-3</v>
      </c>
      <c r="NF46">
        <v>7.6299999999999996E-3</v>
      </c>
      <c r="NG46">
        <v>4.9100000000000003E-3</v>
      </c>
      <c r="NH46">
        <v>4.1599999999999996E-3</v>
      </c>
      <c r="NI46">
        <v>4.4900000000000001E-3</v>
      </c>
      <c r="NJ46">
        <v>4.8799999999999998E-3</v>
      </c>
      <c r="NL46">
        <v>4.6600000000000001E-3</v>
      </c>
      <c r="NM46">
        <v>4.8999999999999998E-3</v>
      </c>
      <c r="NN46">
        <v>5.1500000000000001E-3</v>
      </c>
      <c r="NO46">
        <v>5.3299999999999997E-3</v>
      </c>
      <c r="NP46">
        <v>4.5799999999999999E-3</v>
      </c>
      <c r="NQ46">
        <v>4.6100000000000004E-3</v>
      </c>
      <c r="NR46">
        <v>4.7699999999999999E-3</v>
      </c>
      <c r="NS46">
        <v>4.9399999999999999E-3</v>
      </c>
      <c r="NT46">
        <v>5.3600000000000002E-3</v>
      </c>
      <c r="NU46">
        <v>4.4600000000000004E-3</v>
      </c>
      <c r="NV46">
        <v>4.7000000000000002E-3</v>
      </c>
      <c r="NW46">
        <v>4.7400000000000003E-3</v>
      </c>
      <c r="NX46">
        <v>4.8799999999999998E-3</v>
      </c>
      <c r="NY46">
        <v>4.9699999999999996E-3</v>
      </c>
      <c r="NZ46">
        <v>5.2100000000000002E-3</v>
      </c>
      <c r="OA46">
        <v>5.4000000000000003E-3</v>
      </c>
      <c r="OB46">
        <v>4.4999999999999997E-3</v>
      </c>
      <c r="OC46">
        <v>4.7299999999999998E-3</v>
      </c>
      <c r="OF46">
        <v>6.6E-3</v>
      </c>
      <c r="OG46">
        <v>5.0200000000000002E-3</v>
      </c>
      <c r="OH46">
        <v>5.2900000000000004E-3</v>
      </c>
      <c r="OI46">
        <v>5.4599999999999996E-3</v>
      </c>
      <c r="OJ46">
        <v>5.6600000000000001E-3</v>
      </c>
      <c r="OM46">
        <v>4.81E-3</v>
      </c>
      <c r="ON46">
        <v>4.9699999999999996E-3</v>
      </c>
      <c r="OO46">
        <v>5.11E-3</v>
      </c>
      <c r="OP46">
        <v>5.5199999999999997E-3</v>
      </c>
      <c r="OQ46">
        <v>5.7000000000000002E-3</v>
      </c>
      <c r="OR46">
        <v>5.9899999999999997E-3</v>
      </c>
      <c r="OS46">
        <v>6.6299999999999996E-3</v>
      </c>
      <c r="OT46">
        <v>6.3200000000000001E-3</v>
      </c>
      <c r="OU46">
        <v>6.1700000000000001E-3</v>
      </c>
      <c r="OV46">
        <v>5.9100000000000003E-3</v>
      </c>
      <c r="OW46">
        <v>3.13E-3</v>
      </c>
      <c r="OX46">
        <v>3.96E-3</v>
      </c>
      <c r="OY46">
        <v>4.6800000000000001E-3</v>
      </c>
      <c r="PA46">
        <v>8.9999999999999993E-3</v>
      </c>
      <c r="PB46">
        <v>9.5499999999999995E-3</v>
      </c>
      <c r="PC46">
        <v>7.8399999999999997E-3</v>
      </c>
      <c r="PD46">
        <v>6.8799999999999998E-3</v>
      </c>
      <c r="PE46">
        <v>6.4099999999999999E-3</v>
      </c>
      <c r="PF46">
        <v>6.1700000000000001E-3</v>
      </c>
      <c r="PG46">
        <v>5.2700000000000004E-3</v>
      </c>
      <c r="PH46">
        <v>5.62E-3</v>
      </c>
      <c r="PI46">
        <v>7.1599999999999997E-3</v>
      </c>
      <c r="PK46">
        <v>6.1700000000000001E-3</v>
      </c>
      <c r="PL46">
        <v>5.9899999999999997E-3</v>
      </c>
      <c r="PN46">
        <v>4.9300000000000004E-3</v>
      </c>
      <c r="PO46">
        <v>4.8399999999999997E-3</v>
      </c>
      <c r="PP46">
        <v>5.0299999999999997E-3</v>
      </c>
      <c r="PQ46">
        <v>4.7400000000000003E-3</v>
      </c>
      <c r="PR46">
        <v>4.4299999999999999E-3</v>
      </c>
      <c r="PS46">
        <v>5.3600000000000002E-3</v>
      </c>
      <c r="PT46">
        <v>5.3400000000000001E-3</v>
      </c>
      <c r="PU46">
        <v>4.1999999999999997E-3</v>
      </c>
      <c r="PV46">
        <v>3.9399999999999999E-3</v>
      </c>
      <c r="PW46">
        <v>4.13E-3</v>
      </c>
      <c r="PX46">
        <v>4.47E-3</v>
      </c>
      <c r="PY46">
        <v>4.9199999999999999E-3</v>
      </c>
      <c r="QC46">
        <v>5.62E-3</v>
      </c>
      <c r="QD46">
        <v>5.1700000000000001E-3</v>
      </c>
      <c r="QE46">
        <v>4.5199999999999997E-3</v>
      </c>
      <c r="QF46">
        <v>4.8199999999999996E-3</v>
      </c>
      <c r="QG46">
        <v>6.7600000000000004E-3</v>
      </c>
      <c r="QH46">
        <v>4.7600000000000003E-3</v>
      </c>
      <c r="QI46">
        <v>5.1399999999999996E-3</v>
      </c>
      <c r="QJ46">
        <v>4.9800000000000001E-3</v>
      </c>
      <c r="QK46">
        <v>4.9500000000000004E-3</v>
      </c>
      <c r="QL46">
        <v>4.79E-3</v>
      </c>
      <c r="QM46">
        <v>5.3499999999999997E-3</v>
      </c>
      <c r="QN46">
        <v>8.2900000000000005E-3</v>
      </c>
      <c r="QO46">
        <v>5.9500000000000004E-3</v>
      </c>
      <c r="QP46">
        <v>7.26E-3</v>
      </c>
      <c r="QQ46">
        <v>7.7000000000000002E-3</v>
      </c>
      <c r="QR46">
        <v>8.2199999999999999E-3</v>
      </c>
      <c r="QU46">
        <v>6.0800000000000003E-3</v>
      </c>
      <c r="QV46">
        <v>6.13E-3</v>
      </c>
      <c r="QW46">
        <v>6.0499999999999998E-3</v>
      </c>
      <c r="QX46">
        <v>5.6899999999999997E-3</v>
      </c>
      <c r="QY46">
        <v>5.3800000000000002E-3</v>
      </c>
      <c r="QZ46">
        <v>5.7999999999999996E-3</v>
      </c>
      <c r="RA46">
        <v>6.5300000000000002E-3</v>
      </c>
      <c r="RB46">
        <v>7.6699999999999997E-3</v>
      </c>
      <c r="RC46">
        <v>6.4400000000000004E-3</v>
      </c>
      <c r="RD46">
        <v>1.039E-2</v>
      </c>
      <c r="RE46">
        <v>7.8899999999999994E-3</v>
      </c>
      <c r="RF46">
        <v>7.4400000000000004E-3</v>
      </c>
      <c r="RG46">
        <v>5.3200000000000001E-3</v>
      </c>
      <c r="RH46">
        <v>5.28E-3</v>
      </c>
      <c r="RI46">
        <v>7.9799999999999992E-3</v>
      </c>
      <c r="RJ46">
        <v>7.1399999999999996E-3</v>
      </c>
      <c r="RK46">
        <v>7.0600000000000003E-3</v>
      </c>
      <c r="RL46">
        <v>6.5399999999999998E-3</v>
      </c>
      <c r="RM46">
        <v>4.5500000000000002E-3</v>
      </c>
      <c r="RN46">
        <v>4.6499999999999996E-3</v>
      </c>
      <c r="RO46">
        <v>4.6499999999999996E-3</v>
      </c>
      <c r="RP46">
        <v>4.2500000000000003E-3</v>
      </c>
      <c r="RQ46">
        <v>4.6299999999999996E-3</v>
      </c>
      <c r="RR46">
        <v>4.4099999999999999E-3</v>
      </c>
      <c r="RS46">
        <v>4.5100000000000001E-3</v>
      </c>
      <c r="RT46">
        <v>3.8500000000000001E-3</v>
      </c>
      <c r="RU46">
        <v>4.6499999999999996E-3</v>
      </c>
      <c r="RV46">
        <v>5.11E-3</v>
      </c>
      <c r="RW46">
        <v>5.6899999999999997E-3</v>
      </c>
      <c r="RX46">
        <v>5.2100000000000002E-3</v>
      </c>
      <c r="RY46">
        <v>3.5999999999999999E-3</v>
      </c>
      <c r="RZ46">
        <v>5.0000000000000001E-3</v>
      </c>
      <c r="SA46">
        <v>7.0000000000000001E-3</v>
      </c>
      <c r="SB46">
        <v>6.5399999999999998E-3</v>
      </c>
      <c r="SC46">
        <v>6.4999999999999997E-3</v>
      </c>
      <c r="SD46">
        <v>6.8599999999999998E-3</v>
      </c>
      <c r="SE46">
        <v>6.2599999999999999E-3</v>
      </c>
      <c r="SF46">
        <v>7.11E-3</v>
      </c>
      <c r="SG46">
        <v>8.9499999999999996E-3</v>
      </c>
      <c r="SH46">
        <v>1.132E-2</v>
      </c>
      <c r="SI46">
        <v>6.1799999999999997E-3</v>
      </c>
      <c r="SJ46">
        <v>4.9800000000000001E-3</v>
      </c>
      <c r="SK46">
        <v>4.45E-3</v>
      </c>
      <c r="SL46">
        <v>4.79E-3</v>
      </c>
      <c r="SM46">
        <v>3.98E-3</v>
      </c>
      <c r="SO46">
        <v>4.0899999999999999E-3</v>
      </c>
      <c r="SP46">
        <v>6.0200000000000002E-3</v>
      </c>
      <c r="SS46">
        <v>4.5399999999999998E-3</v>
      </c>
      <c r="SU46">
        <v>4.7200000000000002E-3</v>
      </c>
      <c r="SV46">
        <v>4.5900000000000003E-3</v>
      </c>
      <c r="SW46">
        <v>4.9399999999999999E-3</v>
      </c>
      <c r="SX46">
        <v>5.5599999999999998E-3</v>
      </c>
      <c r="SY46">
        <v>4.5700000000000003E-3</v>
      </c>
      <c r="SZ46">
        <v>5.6600000000000001E-3</v>
      </c>
      <c r="TA46">
        <v>5.4000000000000003E-3</v>
      </c>
      <c r="TB46">
        <v>6.13E-3</v>
      </c>
      <c r="TD46">
        <v>4.9399999999999999E-3</v>
      </c>
      <c r="TE46">
        <v>7.0200000000000002E-3</v>
      </c>
      <c r="TF46">
        <v>5.8199999999999997E-3</v>
      </c>
      <c r="TG46">
        <v>6.1999999999999998E-3</v>
      </c>
      <c r="TH46">
        <v>7.26E-3</v>
      </c>
      <c r="TI46">
        <v>4.8999999999999998E-3</v>
      </c>
      <c r="TJ46">
        <v>6.8500000000000002E-3</v>
      </c>
      <c r="TK46">
        <v>4.4400000000000004E-3</v>
      </c>
      <c r="TL46">
        <v>4.1200000000000004E-3</v>
      </c>
      <c r="TM46">
        <v>3.82E-3</v>
      </c>
      <c r="TN46">
        <v>5.0699999999999999E-3</v>
      </c>
      <c r="TO46">
        <v>5.2199999999999998E-3</v>
      </c>
      <c r="TP46">
        <v>4.2599999999999999E-3</v>
      </c>
      <c r="TQ46">
        <v>5.28E-3</v>
      </c>
      <c r="TR46">
        <v>6.0600000000000003E-3</v>
      </c>
      <c r="TS46">
        <v>6.1199999999999996E-3</v>
      </c>
      <c r="TT46">
        <v>6.0499999999999998E-3</v>
      </c>
      <c r="TU46">
        <v>5.6299999999999996E-3</v>
      </c>
      <c r="TV46">
        <v>4.7800000000000004E-3</v>
      </c>
      <c r="TX46">
        <v>4.9899999999999996E-3</v>
      </c>
      <c r="TY46">
        <v>4.8799999999999998E-3</v>
      </c>
      <c r="TZ46">
        <v>5.11E-3</v>
      </c>
      <c r="UA46">
        <v>5.0299999999999997E-3</v>
      </c>
      <c r="UB46">
        <v>4.8300000000000001E-3</v>
      </c>
      <c r="UC46">
        <v>4.7200000000000002E-3</v>
      </c>
      <c r="UD46">
        <v>4.7600000000000003E-3</v>
      </c>
      <c r="UE46">
        <v>4.8999999999999998E-3</v>
      </c>
      <c r="UF46">
        <v>4.0200000000000001E-3</v>
      </c>
      <c r="UG46">
        <v>4.2500000000000003E-3</v>
      </c>
      <c r="UH46">
        <v>5.4400000000000004E-3</v>
      </c>
      <c r="UI46">
        <v>4.6800000000000001E-3</v>
      </c>
      <c r="UJ46">
        <v>5.2399999999999999E-3</v>
      </c>
      <c r="UK46">
        <v>5.0899999999999999E-3</v>
      </c>
      <c r="UL46">
        <v>5.2900000000000004E-3</v>
      </c>
      <c r="UM46">
        <v>5.9500000000000004E-3</v>
      </c>
      <c r="UN46">
        <v>4.8500000000000001E-3</v>
      </c>
      <c r="UO46">
        <v>5.0000000000000001E-3</v>
      </c>
      <c r="UP46">
        <v>6.6600000000000001E-3</v>
      </c>
      <c r="UQ46">
        <v>4.6899999999999997E-3</v>
      </c>
      <c r="UR46">
        <v>4.5799999999999999E-3</v>
      </c>
      <c r="US46">
        <v>5.0800000000000003E-3</v>
      </c>
      <c r="UT46">
        <v>4.64E-3</v>
      </c>
      <c r="UU46">
        <v>4.8300000000000001E-3</v>
      </c>
      <c r="UV46">
        <v>5.0600000000000003E-3</v>
      </c>
      <c r="UW46">
        <v>6.2700000000000004E-3</v>
      </c>
      <c r="UX46">
        <v>4.4900000000000001E-3</v>
      </c>
      <c r="UY46">
        <v>4.8500000000000001E-3</v>
      </c>
      <c r="UZ46">
        <v>5.5700000000000003E-3</v>
      </c>
      <c r="VA46">
        <v>7.26E-3</v>
      </c>
      <c r="VB46">
        <v>5.6100000000000004E-3</v>
      </c>
      <c r="VC46">
        <v>6.2700000000000004E-3</v>
      </c>
      <c r="VD46">
        <v>7.8700000000000003E-3</v>
      </c>
      <c r="VE46">
        <v>5.6499999999999996E-3</v>
      </c>
      <c r="VF46">
        <v>7.8899999999999994E-3</v>
      </c>
      <c r="VG46">
        <v>8.6999999999999994E-3</v>
      </c>
      <c r="VH46">
        <v>5.3600000000000002E-3</v>
      </c>
      <c r="VI46">
        <v>5.77E-3</v>
      </c>
    </row>
    <row r="47" spans="1:581" x14ac:dyDescent="0.25">
      <c r="A47">
        <v>1200000</v>
      </c>
      <c r="B47">
        <v>3.9300000000000003E-3</v>
      </c>
      <c r="C47">
        <v>4.7000000000000002E-3</v>
      </c>
      <c r="D47">
        <v>4.7400000000000003E-3</v>
      </c>
      <c r="E47">
        <v>5.6499999999999996E-3</v>
      </c>
      <c r="F47">
        <v>5.9500000000000004E-3</v>
      </c>
      <c r="G47">
        <v>6.4900000000000001E-3</v>
      </c>
      <c r="H47">
        <v>4.9500000000000004E-3</v>
      </c>
      <c r="I47">
        <v>4.79E-3</v>
      </c>
      <c r="J47">
        <v>4.62E-3</v>
      </c>
      <c r="K47">
        <v>5.11E-3</v>
      </c>
      <c r="L47">
        <v>4.9199999999999999E-3</v>
      </c>
      <c r="M47">
        <v>4.7200000000000002E-3</v>
      </c>
      <c r="N47">
        <v>4.62E-3</v>
      </c>
      <c r="O47">
        <v>5.1799999999999997E-3</v>
      </c>
      <c r="P47">
        <v>5.0600000000000003E-3</v>
      </c>
      <c r="R47">
        <v>4.9500000000000004E-3</v>
      </c>
      <c r="S47">
        <v>4.4900000000000001E-3</v>
      </c>
      <c r="T47">
        <v>4.3800000000000002E-3</v>
      </c>
      <c r="U47">
        <v>6.11E-3</v>
      </c>
      <c r="V47">
        <v>4.4600000000000004E-3</v>
      </c>
      <c r="W47">
        <v>5.96E-3</v>
      </c>
      <c r="X47">
        <v>4.2100000000000002E-3</v>
      </c>
      <c r="Y47">
        <v>5.8999999999999999E-3</v>
      </c>
      <c r="Z47">
        <v>3.8E-3</v>
      </c>
      <c r="AA47">
        <v>5.8300000000000001E-3</v>
      </c>
      <c r="AB47">
        <v>6.8799999999999998E-3</v>
      </c>
      <c r="AC47">
        <v>7.2199999999999999E-3</v>
      </c>
      <c r="AD47">
        <v>5.3800000000000002E-3</v>
      </c>
      <c r="AE47">
        <v>6.1199999999999996E-3</v>
      </c>
      <c r="AF47">
        <v>6.3200000000000001E-3</v>
      </c>
      <c r="AG47">
        <v>5.4099999999999999E-3</v>
      </c>
      <c r="AH47">
        <v>5.3400000000000001E-3</v>
      </c>
      <c r="AI47">
        <v>5.7999999999999996E-3</v>
      </c>
      <c r="AJ47">
        <v>4.9199999999999999E-3</v>
      </c>
      <c r="AK47">
        <v>6.0699999999999999E-3</v>
      </c>
      <c r="AL47">
        <v>7.7499999999999999E-3</v>
      </c>
      <c r="AM47">
        <v>5.0400000000000002E-3</v>
      </c>
      <c r="AN47">
        <v>5.9300000000000004E-3</v>
      </c>
      <c r="AO47">
        <v>1.116E-2</v>
      </c>
      <c r="AP47">
        <v>6.2300000000000003E-3</v>
      </c>
      <c r="AQ47">
        <v>6.9100000000000003E-3</v>
      </c>
      <c r="AR47">
        <v>6.28E-3</v>
      </c>
      <c r="AS47">
        <v>6.6499999999999997E-3</v>
      </c>
      <c r="AT47">
        <v>5.2100000000000002E-3</v>
      </c>
      <c r="AU47">
        <v>5.8199999999999997E-3</v>
      </c>
      <c r="AV47">
        <v>5.6499999999999996E-3</v>
      </c>
      <c r="AW47">
        <v>5.94E-3</v>
      </c>
      <c r="AX47">
        <v>5.8799999999999998E-3</v>
      </c>
      <c r="AY47">
        <v>5.1000000000000004E-3</v>
      </c>
      <c r="AZ47">
        <v>5.0000000000000001E-3</v>
      </c>
      <c r="BA47">
        <v>5.64E-3</v>
      </c>
      <c r="BB47">
        <v>6.4900000000000001E-3</v>
      </c>
      <c r="BC47">
        <v>7.0200000000000002E-3</v>
      </c>
      <c r="BD47">
        <v>7.3699999999999998E-3</v>
      </c>
      <c r="BE47">
        <v>8.6499999999999997E-3</v>
      </c>
      <c r="BF47">
        <v>1.01E-2</v>
      </c>
      <c r="BG47">
        <v>6.5399999999999998E-3</v>
      </c>
      <c r="BI47">
        <v>9.9600000000000001E-3</v>
      </c>
      <c r="BJ47">
        <v>6.79E-3</v>
      </c>
      <c r="BK47">
        <v>7.3699999999999998E-3</v>
      </c>
      <c r="BL47">
        <v>7.45E-3</v>
      </c>
      <c r="BM47">
        <v>7.0099999999999997E-3</v>
      </c>
      <c r="BN47">
        <v>5.9899999999999997E-3</v>
      </c>
      <c r="BO47">
        <v>8.2000000000000007E-3</v>
      </c>
      <c r="BP47">
        <v>6.8900000000000003E-3</v>
      </c>
      <c r="BQ47">
        <v>5.9100000000000003E-3</v>
      </c>
      <c r="BR47">
        <v>5.3299999999999997E-3</v>
      </c>
      <c r="BT47">
        <v>7.6499999999999997E-3</v>
      </c>
      <c r="BU47">
        <v>8.94E-3</v>
      </c>
      <c r="BV47">
        <v>8.9700000000000005E-3</v>
      </c>
      <c r="BW47">
        <v>8.6899999999999998E-3</v>
      </c>
      <c r="BX47">
        <v>8.4399999999999996E-3</v>
      </c>
      <c r="BY47">
        <v>8.6899999999999998E-3</v>
      </c>
      <c r="BZ47">
        <v>7.6299999999999996E-3</v>
      </c>
      <c r="CA47">
        <v>7.79E-3</v>
      </c>
      <c r="CB47">
        <v>6.3699999999999998E-3</v>
      </c>
      <c r="CC47">
        <v>6.8799999999999998E-3</v>
      </c>
      <c r="CD47">
        <v>5.6299999999999996E-3</v>
      </c>
      <c r="CE47">
        <v>5.3899999999999998E-3</v>
      </c>
      <c r="CF47">
        <v>5.0800000000000003E-3</v>
      </c>
      <c r="CG47">
        <v>4.7400000000000003E-3</v>
      </c>
      <c r="CH47">
        <v>4.45E-3</v>
      </c>
      <c r="CI47">
        <v>4.2399999999999998E-3</v>
      </c>
      <c r="CJ47">
        <v>4.1900000000000001E-3</v>
      </c>
      <c r="CK47">
        <v>4.7600000000000003E-3</v>
      </c>
      <c r="CL47">
        <v>5.4200000000000003E-3</v>
      </c>
      <c r="CM47">
        <v>5.79E-3</v>
      </c>
      <c r="CN47">
        <v>6.1700000000000001E-3</v>
      </c>
      <c r="CO47">
        <v>5.8999999999999999E-3</v>
      </c>
      <c r="CP47">
        <v>6.3099999999999996E-3</v>
      </c>
      <c r="CQ47">
        <v>5.2900000000000004E-3</v>
      </c>
      <c r="CR47">
        <v>5.8999999999999999E-3</v>
      </c>
      <c r="CS47">
        <v>6.3899999999999998E-3</v>
      </c>
      <c r="CT47">
        <v>6.77E-3</v>
      </c>
      <c r="CU47">
        <v>5.4000000000000003E-3</v>
      </c>
      <c r="CV47">
        <v>5.2199999999999998E-3</v>
      </c>
      <c r="CW47">
        <v>5.6499999999999996E-3</v>
      </c>
      <c r="CX47">
        <v>5.5399999999999998E-3</v>
      </c>
      <c r="CY47">
        <v>4.8700000000000002E-3</v>
      </c>
      <c r="CZ47">
        <v>4.4799999999999996E-3</v>
      </c>
      <c r="DA47">
        <v>4.9899999999999996E-3</v>
      </c>
      <c r="DC47">
        <v>4.8399999999999997E-3</v>
      </c>
      <c r="DD47">
        <v>4.7699999999999999E-3</v>
      </c>
      <c r="DE47">
        <v>4.7099999999999998E-3</v>
      </c>
      <c r="DF47">
        <v>7.11E-3</v>
      </c>
      <c r="DG47">
        <v>4.7299999999999998E-3</v>
      </c>
      <c r="DH47">
        <v>6.2500000000000003E-3</v>
      </c>
      <c r="DI47">
        <v>6.0899999999999999E-3</v>
      </c>
      <c r="DJ47">
        <v>6.2300000000000003E-3</v>
      </c>
      <c r="DK47">
        <v>6.2700000000000004E-3</v>
      </c>
      <c r="DL47">
        <v>6.3299999999999997E-3</v>
      </c>
      <c r="DN47">
        <v>5.4999999999999997E-3</v>
      </c>
      <c r="DP47">
        <v>8.5100000000000002E-3</v>
      </c>
      <c r="DQ47">
        <v>8.3099999999999997E-3</v>
      </c>
      <c r="DR47">
        <v>5.8300000000000001E-3</v>
      </c>
      <c r="DS47">
        <v>6.2599999999999999E-3</v>
      </c>
      <c r="DT47">
        <v>5.9899999999999997E-3</v>
      </c>
      <c r="DV47">
        <v>8.77E-3</v>
      </c>
      <c r="DW47">
        <v>6.2399999999999999E-3</v>
      </c>
      <c r="DX47">
        <v>6.2700000000000004E-3</v>
      </c>
      <c r="DY47">
        <v>9.3600000000000003E-3</v>
      </c>
      <c r="DZ47">
        <v>8.8999999999999999E-3</v>
      </c>
      <c r="EA47">
        <v>5.2700000000000004E-3</v>
      </c>
      <c r="EB47">
        <v>5.2100000000000002E-3</v>
      </c>
      <c r="EC47">
        <v>4.81E-3</v>
      </c>
      <c r="EI47">
        <v>6.13E-3</v>
      </c>
      <c r="EJ47">
        <v>5.4200000000000003E-3</v>
      </c>
      <c r="EK47">
        <v>5.6100000000000004E-3</v>
      </c>
      <c r="EL47">
        <v>5.9800000000000001E-3</v>
      </c>
      <c r="EM47">
        <v>6.3E-3</v>
      </c>
      <c r="EN47">
        <v>6.4799999999999996E-3</v>
      </c>
      <c r="EO47">
        <v>6.5199999999999998E-3</v>
      </c>
      <c r="EP47">
        <v>6.8700000000000002E-3</v>
      </c>
      <c r="EQ47">
        <v>6.9300000000000004E-3</v>
      </c>
      <c r="ER47">
        <v>5.5599999999999998E-3</v>
      </c>
      <c r="ES47">
        <v>5.4400000000000004E-3</v>
      </c>
      <c r="ET47">
        <v>5.4099999999999999E-3</v>
      </c>
      <c r="EU47">
        <v>1.001E-2</v>
      </c>
      <c r="EV47">
        <v>9.2800000000000001E-3</v>
      </c>
      <c r="EW47">
        <v>8.6999999999999994E-3</v>
      </c>
      <c r="EX47">
        <v>8.8199999999999997E-3</v>
      </c>
      <c r="EY47">
        <v>6.6800000000000002E-3</v>
      </c>
      <c r="EZ47">
        <v>6.96E-3</v>
      </c>
      <c r="FA47">
        <v>6.0400000000000002E-3</v>
      </c>
      <c r="FB47">
        <v>6.5199999999999998E-3</v>
      </c>
      <c r="FC47">
        <v>5.5900000000000004E-3</v>
      </c>
      <c r="FD47">
        <v>5.4900000000000001E-3</v>
      </c>
      <c r="FF47">
        <v>4.4200000000000003E-3</v>
      </c>
      <c r="FG47">
        <v>8.3999999999999995E-3</v>
      </c>
      <c r="FH47">
        <v>8.7100000000000007E-3</v>
      </c>
      <c r="FI47">
        <v>8.3800000000000003E-3</v>
      </c>
      <c r="FJ47">
        <v>8.4100000000000008E-3</v>
      </c>
      <c r="FK47">
        <v>7.6E-3</v>
      </c>
      <c r="FL47">
        <v>4.9800000000000001E-3</v>
      </c>
      <c r="FN47">
        <v>6.2399999999999999E-3</v>
      </c>
      <c r="FO47">
        <v>5.6299999999999996E-3</v>
      </c>
      <c r="FP47">
        <v>5.13E-3</v>
      </c>
      <c r="FQ47">
        <v>6.7799999999999996E-3</v>
      </c>
      <c r="FR47">
        <v>6.94E-3</v>
      </c>
      <c r="FS47">
        <v>7.1999999999999998E-3</v>
      </c>
      <c r="FT47">
        <v>6.9800000000000001E-3</v>
      </c>
      <c r="FU47">
        <v>6.77E-3</v>
      </c>
      <c r="FV47">
        <v>6.8100000000000001E-3</v>
      </c>
      <c r="FW47">
        <v>6.6699999999999997E-3</v>
      </c>
      <c r="FX47">
        <v>6.8700000000000002E-3</v>
      </c>
      <c r="FY47">
        <v>7.3299999999999997E-3</v>
      </c>
      <c r="FZ47">
        <v>6.9899999999999997E-3</v>
      </c>
      <c r="GA47">
        <v>7.45E-3</v>
      </c>
      <c r="GC47">
        <v>7.6299999999999996E-3</v>
      </c>
      <c r="GD47">
        <v>7.1700000000000002E-3</v>
      </c>
      <c r="GE47">
        <v>7.6899999999999998E-3</v>
      </c>
      <c r="GF47">
        <v>6.6899999999999998E-3</v>
      </c>
      <c r="GG47">
        <v>6.7099999999999998E-3</v>
      </c>
      <c r="GH47">
        <v>6.8500000000000002E-3</v>
      </c>
      <c r="GI47">
        <v>7.6E-3</v>
      </c>
      <c r="GJ47">
        <v>7.7400000000000004E-3</v>
      </c>
      <c r="GK47">
        <v>7.9100000000000004E-3</v>
      </c>
      <c r="GL47">
        <v>8.1499999999999993E-3</v>
      </c>
      <c r="GM47">
        <v>7.2100000000000003E-3</v>
      </c>
      <c r="GO47">
        <v>6.9699999999999996E-3</v>
      </c>
      <c r="GP47">
        <v>6.11E-3</v>
      </c>
      <c r="GQ47">
        <v>6.5199999999999998E-3</v>
      </c>
      <c r="GR47">
        <v>7.0200000000000002E-3</v>
      </c>
      <c r="GS47">
        <v>5.9500000000000004E-3</v>
      </c>
      <c r="GU47">
        <v>5.3E-3</v>
      </c>
      <c r="GV47">
        <v>8.3199999999999993E-3</v>
      </c>
      <c r="GW47">
        <v>8.1300000000000001E-3</v>
      </c>
      <c r="GX47">
        <v>7.6299999999999996E-3</v>
      </c>
      <c r="GY47">
        <v>7.5399999999999998E-3</v>
      </c>
      <c r="GZ47">
        <v>6.8100000000000001E-3</v>
      </c>
      <c r="HA47">
        <v>5.1599999999999997E-3</v>
      </c>
      <c r="HB47">
        <v>4.7800000000000004E-3</v>
      </c>
      <c r="HC47">
        <v>5.7099999999999998E-3</v>
      </c>
      <c r="HE47">
        <v>5.64E-3</v>
      </c>
      <c r="HF47">
        <v>7.0800000000000004E-3</v>
      </c>
      <c r="HG47">
        <v>8.4600000000000005E-3</v>
      </c>
      <c r="HH47">
        <v>8.5400000000000007E-3</v>
      </c>
      <c r="HI47">
        <v>8.77E-3</v>
      </c>
      <c r="HJ47">
        <v>4.4900000000000001E-3</v>
      </c>
      <c r="HK47">
        <v>6.4400000000000004E-3</v>
      </c>
      <c r="HL47">
        <v>6.7299999999999999E-3</v>
      </c>
      <c r="HM47">
        <v>6.4700000000000001E-3</v>
      </c>
      <c r="HN47">
        <v>6.3600000000000002E-3</v>
      </c>
      <c r="HO47">
        <v>6.0400000000000002E-3</v>
      </c>
      <c r="HP47">
        <v>5.0400000000000002E-3</v>
      </c>
      <c r="HQ47">
        <v>6.0200000000000002E-3</v>
      </c>
      <c r="HR47">
        <v>7.2700000000000004E-3</v>
      </c>
      <c r="HS47">
        <v>1.0279999999999999E-2</v>
      </c>
      <c r="HT47">
        <v>5.5999999999999999E-3</v>
      </c>
      <c r="HU47">
        <v>5.2399999999999999E-3</v>
      </c>
      <c r="HV47">
        <v>6.8799999999999998E-3</v>
      </c>
      <c r="HW47">
        <v>5.4400000000000004E-3</v>
      </c>
      <c r="HX47">
        <v>6.79E-3</v>
      </c>
      <c r="HY47">
        <v>6.0099999999999997E-3</v>
      </c>
      <c r="HZ47">
        <v>3.9699999999999996E-3</v>
      </c>
      <c r="IA47">
        <v>7.0899999999999999E-3</v>
      </c>
      <c r="IB47">
        <v>8.8299999999999993E-3</v>
      </c>
      <c r="IC47">
        <v>7.4599999999999996E-3</v>
      </c>
      <c r="ID47">
        <v>5.3099999999999996E-3</v>
      </c>
      <c r="IE47">
        <v>4.9100000000000003E-3</v>
      </c>
      <c r="IF47">
        <v>5.0000000000000001E-3</v>
      </c>
      <c r="IG47">
        <v>5.9899999999999997E-3</v>
      </c>
      <c r="IH47">
        <v>6.4400000000000004E-3</v>
      </c>
      <c r="II47">
        <v>4.7000000000000002E-3</v>
      </c>
      <c r="IJ47">
        <v>5.7600000000000004E-3</v>
      </c>
      <c r="IK47">
        <v>6.4099999999999999E-3</v>
      </c>
      <c r="IL47">
        <v>7.0899999999999999E-3</v>
      </c>
      <c r="IM47">
        <v>7.8600000000000007E-3</v>
      </c>
      <c r="IN47">
        <v>8.5100000000000002E-3</v>
      </c>
      <c r="IO47">
        <v>9.3600000000000003E-3</v>
      </c>
      <c r="IP47">
        <v>1.0869999999999999E-2</v>
      </c>
      <c r="IQ47">
        <v>1.162E-2</v>
      </c>
      <c r="IR47">
        <v>1.273E-2</v>
      </c>
      <c r="IS47">
        <v>4.7800000000000004E-3</v>
      </c>
      <c r="IT47">
        <v>4.4200000000000003E-3</v>
      </c>
      <c r="IU47">
        <v>4.8399999999999997E-3</v>
      </c>
      <c r="IV47">
        <v>4.5199999999999997E-3</v>
      </c>
      <c r="IW47">
        <v>5.2199999999999998E-3</v>
      </c>
      <c r="IX47">
        <v>3.5400000000000002E-3</v>
      </c>
      <c r="IY47">
        <v>4.4400000000000004E-3</v>
      </c>
      <c r="IZ47">
        <v>4.1099999999999999E-3</v>
      </c>
      <c r="JA47">
        <v>4.64E-3</v>
      </c>
      <c r="JC47">
        <v>5.1399999999999996E-3</v>
      </c>
      <c r="JD47">
        <v>5.47E-3</v>
      </c>
      <c r="JE47">
        <v>4.5799999999999999E-3</v>
      </c>
      <c r="JF47">
        <v>5.9699999999999996E-3</v>
      </c>
      <c r="JG47">
        <v>9.5200000000000007E-3</v>
      </c>
      <c r="JH47">
        <v>1.072E-2</v>
      </c>
      <c r="JI47">
        <v>6.5300000000000002E-3</v>
      </c>
      <c r="JJ47">
        <v>5.7600000000000004E-3</v>
      </c>
      <c r="JK47">
        <v>8.9599999999999992E-3</v>
      </c>
      <c r="JL47">
        <v>8.3599999999999994E-3</v>
      </c>
      <c r="JM47">
        <v>5.7499999999999999E-3</v>
      </c>
      <c r="JN47">
        <v>7.43E-3</v>
      </c>
      <c r="JP47">
        <v>5.2199999999999998E-3</v>
      </c>
      <c r="JQ47">
        <v>5.6499999999999996E-3</v>
      </c>
      <c r="JR47">
        <v>5.9199999999999999E-3</v>
      </c>
      <c r="JS47">
        <v>5.3800000000000002E-3</v>
      </c>
      <c r="JT47">
        <v>6.3E-3</v>
      </c>
      <c r="JU47">
        <v>7.7600000000000004E-3</v>
      </c>
      <c r="JV47">
        <v>5.8700000000000002E-3</v>
      </c>
      <c r="JW47">
        <v>6.11E-3</v>
      </c>
      <c r="JX47">
        <v>5.6600000000000001E-3</v>
      </c>
      <c r="JY47">
        <v>6.7999999999999996E-3</v>
      </c>
      <c r="JZ47">
        <v>7.0099999999999997E-3</v>
      </c>
      <c r="KA47">
        <v>6.8100000000000001E-3</v>
      </c>
      <c r="KB47">
        <v>5.5999999999999999E-3</v>
      </c>
      <c r="KC47">
        <v>5.8300000000000001E-3</v>
      </c>
      <c r="KD47">
        <v>6.3499999999999997E-3</v>
      </c>
      <c r="KF47">
        <v>1.103E-2</v>
      </c>
      <c r="KG47">
        <v>1.157E-2</v>
      </c>
      <c r="KH47">
        <v>1.14E-2</v>
      </c>
      <c r="KJ47">
        <v>7.5799999999999999E-3</v>
      </c>
      <c r="KK47">
        <v>7.5399999999999998E-3</v>
      </c>
      <c r="KL47">
        <v>7.92E-3</v>
      </c>
      <c r="KM47">
        <v>8.0400000000000003E-3</v>
      </c>
      <c r="KN47">
        <v>5.1000000000000004E-3</v>
      </c>
      <c r="KP47">
        <v>7.3400000000000002E-3</v>
      </c>
      <c r="KQ47">
        <v>7.4999999999999997E-3</v>
      </c>
      <c r="KR47">
        <v>7.8200000000000006E-3</v>
      </c>
      <c r="KS47">
        <v>6.1000000000000004E-3</v>
      </c>
      <c r="KU47">
        <v>6.5300000000000002E-3</v>
      </c>
      <c r="KV47">
        <v>4.9300000000000004E-3</v>
      </c>
      <c r="KW47">
        <v>4.81E-3</v>
      </c>
      <c r="KX47">
        <v>1.149E-2</v>
      </c>
      <c r="KY47">
        <v>6.7000000000000002E-3</v>
      </c>
      <c r="KZ47">
        <v>7.8700000000000003E-3</v>
      </c>
      <c r="LA47">
        <v>5.9800000000000001E-3</v>
      </c>
      <c r="LB47">
        <v>5.7800000000000004E-3</v>
      </c>
      <c r="LC47">
        <v>5.8999999999999999E-3</v>
      </c>
      <c r="LD47">
        <v>5.8999999999999999E-3</v>
      </c>
      <c r="LE47">
        <v>9.3500000000000007E-3</v>
      </c>
      <c r="LF47">
        <v>8.5900000000000004E-3</v>
      </c>
      <c r="LG47">
        <v>7.1399999999999996E-3</v>
      </c>
      <c r="LI47">
        <v>9.2499999999999995E-3</v>
      </c>
      <c r="LJ47">
        <v>9.6600000000000002E-3</v>
      </c>
      <c r="LK47">
        <v>9.6600000000000002E-3</v>
      </c>
      <c r="LL47">
        <v>6.45E-3</v>
      </c>
      <c r="LM47">
        <v>4.79E-3</v>
      </c>
      <c r="LN47">
        <v>6.4200000000000004E-3</v>
      </c>
      <c r="LO47">
        <v>6.5100000000000002E-3</v>
      </c>
      <c r="LP47">
        <v>5.6699999999999997E-3</v>
      </c>
      <c r="LR47">
        <v>9.11E-3</v>
      </c>
      <c r="LS47">
        <v>1.022E-2</v>
      </c>
      <c r="LT47">
        <v>5.7000000000000002E-3</v>
      </c>
      <c r="LU47">
        <v>7.6299999999999996E-3</v>
      </c>
      <c r="LV47">
        <v>8.6400000000000001E-3</v>
      </c>
      <c r="LW47">
        <v>4.7499999999999999E-3</v>
      </c>
      <c r="LY47">
        <v>7.0699999999999999E-3</v>
      </c>
      <c r="LZ47">
        <v>7.1000000000000004E-3</v>
      </c>
      <c r="MA47">
        <v>7.2500000000000004E-3</v>
      </c>
      <c r="MB47">
        <v>4.1999999999999997E-3</v>
      </c>
      <c r="MC47">
        <v>8.7799999999999996E-3</v>
      </c>
      <c r="MD47">
        <v>9.7900000000000001E-3</v>
      </c>
      <c r="ME47">
        <v>1.255E-2</v>
      </c>
      <c r="MF47">
        <v>1.4670000000000001E-2</v>
      </c>
      <c r="MG47">
        <v>1.315E-2</v>
      </c>
      <c r="MH47">
        <v>5.64E-3</v>
      </c>
      <c r="MI47">
        <v>6.2899999999999996E-3</v>
      </c>
      <c r="MJ47">
        <v>6.2599999999999999E-3</v>
      </c>
      <c r="MK47">
        <v>5.8799999999999998E-3</v>
      </c>
      <c r="ML47">
        <v>7.3000000000000001E-3</v>
      </c>
      <c r="MM47">
        <v>6.2700000000000004E-3</v>
      </c>
      <c r="MN47">
        <v>5.3600000000000002E-3</v>
      </c>
      <c r="MO47">
        <v>5.7400000000000003E-3</v>
      </c>
      <c r="MP47">
        <v>6.5300000000000002E-3</v>
      </c>
      <c r="MQ47">
        <v>4.47E-3</v>
      </c>
      <c r="MR47">
        <v>5.8399999999999997E-3</v>
      </c>
      <c r="MS47">
        <v>6.1700000000000001E-3</v>
      </c>
      <c r="MT47">
        <v>7.3499999999999998E-3</v>
      </c>
      <c r="MU47">
        <v>4.7999999999999996E-3</v>
      </c>
      <c r="MV47">
        <v>5.4099999999999999E-3</v>
      </c>
      <c r="MW47">
        <v>5.6800000000000002E-3</v>
      </c>
      <c r="MX47">
        <v>5.8199999999999997E-3</v>
      </c>
      <c r="MY47">
        <v>6.3099999999999996E-3</v>
      </c>
      <c r="MZ47">
        <v>7.0699999999999999E-3</v>
      </c>
      <c r="NA47">
        <v>6.3400000000000001E-3</v>
      </c>
      <c r="NB47">
        <v>6.2199999999999998E-3</v>
      </c>
      <c r="NC47">
        <v>4.0600000000000002E-3</v>
      </c>
      <c r="ND47">
        <v>1.2699999999999999E-2</v>
      </c>
      <c r="NE47">
        <v>7.0099999999999997E-3</v>
      </c>
      <c r="NF47">
        <v>7.5199999999999998E-3</v>
      </c>
      <c r="NG47">
        <v>4.8599999999999997E-3</v>
      </c>
      <c r="NH47">
        <v>4.1200000000000004E-3</v>
      </c>
      <c r="NI47">
        <v>4.4299999999999999E-3</v>
      </c>
      <c r="NJ47">
        <v>4.8300000000000001E-3</v>
      </c>
      <c r="NK47">
        <v>4.3800000000000002E-3</v>
      </c>
      <c r="NL47">
        <v>4.5999999999999999E-3</v>
      </c>
      <c r="NM47">
        <v>4.8500000000000001E-3</v>
      </c>
      <c r="NN47">
        <v>5.0800000000000003E-3</v>
      </c>
      <c r="NO47">
        <v>5.28E-3</v>
      </c>
      <c r="NP47">
        <v>4.5500000000000002E-3</v>
      </c>
      <c r="NQ47">
        <v>4.5500000000000002E-3</v>
      </c>
      <c r="NR47">
        <v>4.7099999999999998E-3</v>
      </c>
      <c r="NS47">
        <v>4.8799999999999998E-3</v>
      </c>
      <c r="NT47">
        <v>5.3099999999999996E-3</v>
      </c>
      <c r="NU47">
        <v>4.4200000000000003E-3</v>
      </c>
      <c r="NW47">
        <v>4.7000000000000002E-3</v>
      </c>
      <c r="NX47">
        <v>4.81E-3</v>
      </c>
      <c r="NY47">
        <v>4.9199999999999999E-3</v>
      </c>
      <c r="NZ47">
        <v>5.13E-3</v>
      </c>
      <c r="OA47">
        <v>5.3400000000000001E-3</v>
      </c>
      <c r="OB47">
        <v>4.4600000000000004E-3</v>
      </c>
      <c r="OC47">
        <v>4.6899999999999997E-3</v>
      </c>
      <c r="OD47">
        <v>4.7999999999999996E-3</v>
      </c>
      <c r="OE47">
        <v>4.7999999999999996E-3</v>
      </c>
      <c r="OF47">
        <v>6.5300000000000002E-3</v>
      </c>
      <c r="OG47">
        <v>4.9699999999999996E-3</v>
      </c>
      <c r="OI47">
        <v>5.3899999999999998E-3</v>
      </c>
      <c r="OJ47">
        <v>5.5999999999999999E-3</v>
      </c>
      <c r="OK47">
        <v>5.7400000000000003E-3</v>
      </c>
      <c r="OL47">
        <v>5.9100000000000003E-3</v>
      </c>
      <c r="OM47">
        <v>4.81E-3</v>
      </c>
      <c r="ON47">
        <v>4.96E-3</v>
      </c>
      <c r="OO47">
        <v>5.0499999999999998E-3</v>
      </c>
      <c r="OP47">
        <v>5.4599999999999996E-3</v>
      </c>
      <c r="OQ47">
        <v>5.6299999999999996E-3</v>
      </c>
      <c r="OR47">
        <v>5.9199999999999999E-3</v>
      </c>
      <c r="OS47">
        <v>6.5599999999999999E-3</v>
      </c>
      <c r="OU47">
        <v>6.2500000000000003E-3</v>
      </c>
      <c r="OV47">
        <v>5.8100000000000001E-3</v>
      </c>
      <c r="OW47">
        <v>3.1700000000000001E-3</v>
      </c>
      <c r="OX47">
        <v>4.1399999999999996E-3</v>
      </c>
      <c r="OY47">
        <v>4.8199999999999996E-3</v>
      </c>
      <c r="OZ47">
        <v>4.7800000000000004E-3</v>
      </c>
      <c r="PA47">
        <v>8.9099999999999995E-3</v>
      </c>
      <c r="PB47">
        <v>9.4199999999999996E-3</v>
      </c>
      <c r="PC47">
        <v>7.77E-3</v>
      </c>
      <c r="PD47">
        <v>6.8199999999999997E-3</v>
      </c>
      <c r="PE47">
        <v>6.3699999999999998E-3</v>
      </c>
      <c r="PF47">
        <v>6.1500000000000001E-3</v>
      </c>
      <c r="PG47">
        <v>5.2300000000000003E-3</v>
      </c>
      <c r="PH47">
        <v>5.5700000000000003E-3</v>
      </c>
      <c r="PI47">
        <v>7.11E-3</v>
      </c>
      <c r="PJ47">
        <v>6.6100000000000004E-3</v>
      </c>
      <c r="PK47">
        <v>6.11E-3</v>
      </c>
      <c r="PL47">
        <v>5.9699999999999996E-3</v>
      </c>
      <c r="PM47">
        <v>5.3600000000000002E-3</v>
      </c>
      <c r="PN47">
        <v>4.9100000000000003E-3</v>
      </c>
      <c r="PO47">
        <v>4.79E-3</v>
      </c>
      <c r="PP47">
        <v>4.96E-3</v>
      </c>
      <c r="PQ47">
        <v>4.6299999999999996E-3</v>
      </c>
      <c r="PR47">
        <v>4.3400000000000001E-3</v>
      </c>
      <c r="PS47">
        <v>5.2500000000000003E-3</v>
      </c>
      <c r="PT47">
        <v>5.2500000000000003E-3</v>
      </c>
      <c r="PU47">
        <v>4.13E-3</v>
      </c>
      <c r="PV47">
        <v>3.8300000000000001E-3</v>
      </c>
      <c r="PW47">
        <v>4.0099999999999997E-3</v>
      </c>
      <c r="PX47">
        <v>4.3200000000000001E-3</v>
      </c>
      <c r="PY47">
        <v>4.7400000000000003E-3</v>
      </c>
      <c r="QA47">
        <v>3.9100000000000003E-3</v>
      </c>
      <c r="QB47">
        <v>4.2700000000000004E-3</v>
      </c>
      <c r="QC47">
        <v>5.5900000000000004E-3</v>
      </c>
      <c r="QD47">
        <v>5.1799999999999997E-3</v>
      </c>
      <c r="QE47">
        <v>4.5100000000000001E-3</v>
      </c>
      <c r="QG47">
        <v>6.7799999999999996E-3</v>
      </c>
      <c r="QH47">
        <v>4.7699999999999999E-3</v>
      </c>
      <c r="QI47">
        <v>5.1399999999999996E-3</v>
      </c>
      <c r="QJ47">
        <v>4.96E-3</v>
      </c>
      <c r="QK47">
        <v>4.9500000000000004E-3</v>
      </c>
      <c r="QL47">
        <v>4.7800000000000004E-3</v>
      </c>
      <c r="QM47">
        <v>5.3299999999999997E-3</v>
      </c>
      <c r="QO47">
        <v>5.8999999999999999E-3</v>
      </c>
      <c r="QP47">
        <v>7.3000000000000001E-3</v>
      </c>
      <c r="QQ47">
        <v>7.6899999999999998E-3</v>
      </c>
      <c r="QR47">
        <v>8.1600000000000006E-3</v>
      </c>
      <c r="QS47">
        <v>8.0999999999999996E-3</v>
      </c>
      <c r="QT47">
        <v>5.9800000000000001E-3</v>
      </c>
      <c r="QU47">
        <v>6.0299999999999998E-3</v>
      </c>
      <c r="QV47">
        <v>6.0699999999999999E-3</v>
      </c>
      <c r="QX47">
        <v>5.62E-3</v>
      </c>
      <c r="QY47">
        <v>5.3299999999999997E-3</v>
      </c>
      <c r="QZ47">
        <v>5.7400000000000003E-3</v>
      </c>
      <c r="RA47">
        <v>6.4200000000000004E-3</v>
      </c>
      <c r="RB47">
        <v>7.5100000000000002E-3</v>
      </c>
      <c r="RC47">
        <v>6.3200000000000001E-3</v>
      </c>
      <c r="RD47">
        <v>0.01</v>
      </c>
      <c r="RE47">
        <v>7.6400000000000001E-3</v>
      </c>
      <c r="RF47">
        <v>7.3200000000000001E-3</v>
      </c>
      <c r="RG47">
        <v>5.2599999999999999E-3</v>
      </c>
      <c r="RH47">
        <v>5.2300000000000003E-3</v>
      </c>
      <c r="RI47">
        <v>7.8600000000000007E-3</v>
      </c>
      <c r="RJ47">
        <v>6.9699999999999996E-3</v>
      </c>
      <c r="RK47">
        <v>6.8999999999999999E-3</v>
      </c>
      <c r="RL47">
        <v>6.4400000000000004E-3</v>
      </c>
      <c r="RM47">
        <v>4.5100000000000001E-3</v>
      </c>
      <c r="RN47">
        <v>4.62E-3</v>
      </c>
      <c r="RO47">
        <v>4.62E-3</v>
      </c>
      <c r="RP47">
        <v>4.2300000000000003E-3</v>
      </c>
      <c r="RQ47">
        <v>4.5900000000000003E-3</v>
      </c>
      <c r="RR47">
        <v>4.3800000000000002E-3</v>
      </c>
      <c r="RS47">
        <v>4.4799999999999996E-3</v>
      </c>
      <c r="RT47">
        <v>3.8300000000000001E-3</v>
      </c>
      <c r="RU47">
        <v>4.64E-3</v>
      </c>
      <c r="RV47">
        <v>5.0800000000000003E-3</v>
      </c>
      <c r="RW47">
        <v>5.64E-3</v>
      </c>
      <c r="RX47">
        <v>5.1599999999999997E-3</v>
      </c>
      <c r="RY47">
        <v>3.5799999999999998E-3</v>
      </c>
      <c r="RZ47">
        <v>4.8999999999999998E-3</v>
      </c>
      <c r="SA47">
        <v>6.7400000000000003E-3</v>
      </c>
      <c r="SB47">
        <v>6.3200000000000001E-3</v>
      </c>
      <c r="SC47">
        <v>6.4400000000000004E-3</v>
      </c>
      <c r="SD47">
        <v>6.8199999999999997E-3</v>
      </c>
      <c r="SE47">
        <v>6.2199999999999998E-3</v>
      </c>
      <c r="SF47">
        <v>7.0499999999999998E-3</v>
      </c>
      <c r="SG47">
        <v>8.8400000000000006E-3</v>
      </c>
      <c r="SH47">
        <v>1.1209999999999999E-2</v>
      </c>
      <c r="SI47">
        <v>6.11E-3</v>
      </c>
      <c r="SJ47">
        <v>4.9300000000000004E-3</v>
      </c>
      <c r="SK47">
        <v>4.4000000000000003E-3</v>
      </c>
      <c r="SM47">
        <v>3.9300000000000003E-3</v>
      </c>
      <c r="SN47">
        <v>4.2100000000000002E-3</v>
      </c>
      <c r="SO47">
        <v>4.0600000000000002E-3</v>
      </c>
      <c r="SP47">
        <v>6.0000000000000001E-3</v>
      </c>
      <c r="SQ47">
        <v>5.0000000000000001E-3</v>
      </c>
      <c r="SR47">
        <v>5.5399999999999998E-3</v>
      </c>
      <c r="SS47">
        <v>4.5399999999999998E-3</v>
      </c>
      <c r="ST47">
        <v>4.62E-3</v>
      </c>
      <c r="SU47">
        <v>4.7299999999999998E-3</v>
      </c>
      <c r="SV47">
        <v>4.5999999999999999E-3</v>
      </c>
      <c r="SW47">
        <v>4.9699999999999996E-3</v>
      </c>
      <c r="SX47">
        <v>5.4900000000000001E-3</v>
      </c>
      <c r="SY47">
        <v>4.5599999999999998E-3</v>
      </c>
      <c r="SZ47">
        <v>5.6299999999999996E-3</v>
      </c>
      <c r="TB47">
        <v>6.11E-3</v>
      </c>
      <c r="TC47">
        <v>4.9699999999999996E-3</v>
      </c>
      <c r="TE47">
        <v>6.9800000000000001E-3</v>
      </c>
      <c r="TF47">
        <v>5.7600000000000004E-3</v>
      </c>
      <c r="TG47">
        <v>6.1900000000000002E-3</v>
      </c>
      <c r="TH47">
        <v>7.1799999999999998E-3</v>
      </c>
      <c r="TI47">
        <v>4.8999999999999998E-3</v>
      </c>
      <c r="TJ47">
        <v>6.8599999999999998E-3</v>
      </c>
      <c r="TK47">
        <v>4.4099999999999999E-3</v>
      </c>
      <c r="TL47">
        <v>4.0899999999999999E-3</v>
      </c>
      <c r="TM47">
        <v>3.8E-3</v>
      </c>
      <c r="TN47">
        <v>5.0400000000000002E-3</v>
      </c>
      <c r="TP47">
        <v>4.2199999999999998E-3</v>
      </c>
      <c r="TQ47">
        <v>5.2700000000000004E-3</v>
      </c>
      <c r="TS47">
        <v>6.0499999999999998E-3</v>
      </c>
      <c r="TT47">
        <v>5.9899999999999997E-3</v>
      </c>
      <c r="TU47">
        <v>5.5799999999999999E-3</v>
      </c>
      <c r="TV47">
        <v>4.7099999999999998E-3</v>
      </c>
      <c r="TW47">
        <v>4.7000000000000002E-3</v>
      </c>
      <c r="TX47">
        <v>4.9800000000000001E-3</v>
      </c>
      <c r="TY47">
        <v>4.8999999999999998E-3</v>
      </c>
      <c r="TZ47">
        <v>5.11E-3</v>
      </c>
      <c r="UA47">
        <v>5.0400000000000002E-3</v>
      </c>
      <c r="UB47">
        <v>4.8500000000000001E-3</v>
      </c>
      <c r="UC47">
        <v>4.7000000000000002E-3</v>
      </c>
      <c r="UD47">
        <v>4.7600000000000003E-3</v>
      </c>
      <c r="UE47">
        <v>4.9100000000000003E-3</v>
      </c>
      <c r="UF47">
        <v>3.98E-3</v>
      </c>
      <c r="UG47">
        <v>4.2599999999999999E-3</v>
      </c>
      <c r="UH47">
        <v>5.4099999999999999E-3</v>
      </c>
      <c r="UI47">
        <v>4.6299999999999996E-3</v>
      </c>
      <c r="UJ47">
        <v>5.2500000000000003E-3</v>
      </c>
      <c r="UK47">
        <v>5.0800000000000003E-3</v>
      </c>
      <c r="UL47">
        <v>5.2700000000000004E-3</v>
      </c>
      <c r="UN47">
        <v>4.8500000000000001E-3</v>
      </c>
      <c r="UO47">
        <v>4.9699999999999996E-3</v>
      </c>
      <c r="UP47">
        <v>6.6100000000000004E-3</v>
      </c>
      <c r="UQ47">
        <v>4.6899999999999997E-3</v>
      </c>
      <c r="UR47">
        <v>4.5799999999999999E-3</v>
      </c>
      <c r="US47">
        <v>5.0499999999999998E-3</v>
      </c>
      <c r="UT47">
        <v>4.64E-3</v>
      </c>
      <c r="UU47">
        <v>4.8199999999999996E-3</v>
      </c>
      <c r="UV47">
        <v>5.0499999999999998E-3</v>
      </c>
      <c r="UW47">
        <v>6.1799999999999997E-3</v>
      </c>
      <c r="UX47">
        <v>4.4299999999999999E-3</v>
      </c>
      <c r="UY47">
        <v>4.79E-3</v>
      </c>
      <c r="UZ47">
        <v>5.5100000000000001E-3</v>
      </c>
      <c r="VA47">
        <v>7.1799999999999998E-3</v>
      </c>
      <c r="VB47">
        <v>5.6100000000000004E-3</v>
      </c>
      <c r="VC47">
        <v>6.1999999999999998E-3</v>
      </c>
      <c r="VD47">
        <v>7.5700000000000003E-3</v>
      </c>
      <c r="VE47">
        <v>5.5100000000000001E-3</v>
      </c>
      <c r="VF47">
        <v>7.6499999999999997E-3</v>
      </c>
      <c r="VG47">
        <v>8.5800000000000008E-3</v>
      </c>
      <c r="VI47">
        <v>5.6899999999999997E-3</v>
      </c>
    </row>
    <row r="48" spans="1:581" x14ac:dyDescent="0.25">
      <c r="A48">
        <v>1250000</v>
      </c>
      <c r="B48">
        <v>3.9199999999999999E-3</v>
      </c>
      <c r="C48">
        <v>4.7600000000000003E-3</v>
      </c>
      <c r="D48">
        <v>4.8199999999999996E-3</v>
      </c>
      <c r="E48">
        <v>5.6699999999999997E-3</v>
      </c>
      <c r="F48">
        <v>5.9800000000000001E-3</v>
      </c>
      <c r="H48">
        <v>4.96E-3</v>
      </c>
      <c r="I48">
        <v>4.8199999999999996E-3</v>
      </c>
      <c r="J48">
        <v>4.7000000000000002E-3</v>
      </c>
      <c r="K48">
        <v>5.11E-3</v>
      </c>
      <c r="L48">
        <v>4.9199999999999999E-3</v>
      </c>
      <c r="M48">
        <v>4.7499999999999999E-3</v>
      </c>
      <c r="N48">
        <v>4.6600000000000001E-3</v>
      </c>
      <c r="O48">
        <v>5.1200000000000004E-3</v>
      </c>
      <c r="P48">
        <v>5.0099999999999997E-3</v>
      </c>
      <c r="Q48">
        <v>5.0200000000000002E-3</v>
      </c>
      <c r="R48">
        <v>4.8999999999999998E-3</v>
      </c>
      <c r="S48">
        <v>4.5199999999999997E-3</v>
      </c>
      <c r="T48">
        <v>4.3899999999999998E-3</v>
      </c>
      <c r="U48">
        <v>6.0899999999999999E-3</v>
      </c>
      <c r="V48">
        <v>4.5100000000000001E-3</v>
      </c>
      <c r="W48">
        <v>5.9500000000000004E-3</v>
      </c>
      <c r="X48">
        <v>4.2199999999999998E-3</v>
      </c>
      <c r="Y48">
        <v>5.9100000000000003E-3</v>
      </c>
      <c r="Z48">
        <v>3.81E-3</v>
      </c>
      <c r="AA48">
        <v>5.6800000000000002E-3</v>
      </c>
      <c r="AB48">
        <v>6.8599999999999998E-3</v>
      </c>
      <c r="AC48">
        <v>7.1199999999999996E-3</v>
      </c>
      <c r="AE48">
        <v>6.0600000000000003E-3</v>
      </c>
      <c r="AF48">
        <v>6.2700000000000004E-3</v>
      </c>
      <c r="AG48">
        <v>5.28E-3</v>
      </c>
      <c r="AH48">
        <v>5.2199999999999998E-3</v>
      </c>
      <c r="AI48">
        <v>5.62E-3</v>
      </c>
      <c r="AJ48">
        <v>4.8399999999999997E-3</v>
      </c>
      <c r="AK48">
        <v>6.0800000000000003E-3</v>
      </c>
      <c r="AL48">
        <v>7.6899999999999998E-3</v>
      </c>
      <c r="AM48">
        <v>4.8799999999999998E-3</v>
      </c>
      <c r="AN48">
        <v>5.79E-3</v>
      </c>
      <c r="AO48">
        <v>1.098E-2</v>
      </c>
      <c r="AP48">
        <v>6.1199999999999996E-3</v>
      </c>
      <c r="AQ48">
        <v>6.6899999999999998E-3</v>
      </c>
      <c r="AR48">
        <v>6.11E-3</v>
      </c>
      <c r="AS48">
        <v>6.4700000000000001E-3</v>
      </c>
      <c r="AT48">
        <v>5.0699999999999999E-3</v>
      </c>
      <c r="AU48">
        <v>5.6800000000000002E-3</v>
      </c>
      <c r="AV48">
        <v>5.45E-3</v>
      </c>
      <c r="AW48">
        <v>5.7999999999999996E-3</v>
      </c>
      <c r="AX48">
        <v>5.7299999999999999E-3</v>
      </c>
      <c r="AY48">
        <v>5.0600000000000003E-3</v>
      </c>
      <c r="AZ48">
        <v>5.0499999999999998E-3</v>
      </c>
      <c r="BA48">
        <v>5.45E-3</v>
      </c>
      <c r="BB48">
        <v>6.4000000000000003E-3</v>
      </c>
      <c r="BC48">
        <v>6.9300000000000004E-3</v>
      </c>
      <c r="BD48">
        <v>7.26E-3</v>
      </c>
      <c r="BE48">
        <v>8.5400000000000007E-3</v>
      </c>
      <c r="BF48">
        <v>9.9900000000000006E-3</v>
      </c>
      <c r="BG48">
        <v>6.4900000000000001E-3</v>
      </c>
      <c r="BH48">
        <v>6.0899999999999999E-3</v>
      </c>
      <c r="BI48">
        <v>9.8300000000000002E-3</v>
      </c>
      <c r="BJ48">
        <v>6.6899999999999998E-3</v>
      </c>
      <c r="BK48">
        <v>7.26E-3</v>
      </c>
      <c r="BL48">
        <v>7.3499999999999998E-3</v>
      </c>
      <c r="BM48">
        <v>6.9300000000000004E-3</v>
      </c>
      <c r="BN48">
        <v>6.0000000000000001E-3</v>
      </c>
      <c r="BO48">
        <v>8.09E-3</v>
      </c>
      <c r="BR48">
        <v>5.1900000000000002E-3</v>
      </c>
      <c r="BT48">
        <v>7.4900000000000001E-3</v>
      </c>
      <c r="BU48">
        <v>8.8800000000000007E-3</v>
      </c>
      <c r="BV48">
        <v>8.8900000000000003E-3</v>
      </c>
      <c r="BW48">
        <v>8.5900000000000004E-3</v>
      </c>
      <c r="BX48">
        <v>8.3700000000000007E-3</v>
      </c>
      <c r="BY48">
        <v>8.5800000000000008E-3</v>
      </c>
      <c r="BZ48">
        <v>7.5300000000000002E-3</v>
      </c>
      <c r="CA48">
        <v>7.7000000000000002E-3</v>
      </c>
      <c r="CB48">
        <v>6.3299999999999997E-3</v>
      </c>
      <c r="CC48">
        <v>6.8300000000000001E-3</v>
      </c>
      <c r="CD48">
        <v>5.5799999999999999E-3</v>
      </c>
      <c r="CE48">
        <v>5.4000000000000003E-3</v>
      </c>
      <c r="CF48">
        <v>5.0899999999999999E-3</v>
      </c>
      <c r="CG48">
        <v>4.7600000000000003E-3</v>
      </c>
      <c r="CH48">
        <v>4.47E-3</v>
      </c>
      <c r="CI48">
        <v>4.2300000000000003E-3</v>
      </c>
      <c r="CJ48">
        <v>4.1099999999999999E-3</v>
      </c>
      <c r="CK48">
        <v>4.6499999999999996E-3</v>
      </c>
      <c r="CL48">
        <v>5.4099999999999999E-3</v>
      </c>
      <c r="CM48">
        <v>5.7400000000000003E-3</v>
      </c>
      <c r="CN48">
        <v>6.1000000000000004E-3</v>
      </c>
      <c r="CP48">
        <v>6.2399999999999999E-3</v>
      </c>
      <c r="CQ48">
        <v>5.3200000000000001E-3</v>
      </c>
      <c r="CS48">
        <v>6.3200000000000001E-3</v>
      </c>
      <c r="CT48">
        <v>6.7200000000000003E-3</v>
      </c>
      <c r="CU48">
        <v>5.3699999999999998E-3</v>
      </c>
      <c r="CV48">
        <v>5.1900000000000002E-3</v>
      </c>
      <c r="CW48">
        <v>5.5900000000000004E-3</v>
      </c>
      <c r="CX48">
        <v>5.5199999999999997E-3</v>
      </c>
      <c r="CY48">
        <v>4.7699999999999999E-3</v>
      </c>
      <c r="CZ48">
        <v>4.4200000000000003E-3</v>
      </c>
      <c r="DA48">
        <v>4.96E-3</v>
      </c>
      <c r="DB48">
        <v>4.8799999999999998E-3</v>
      </c>
      <c r="DC48">
        <v>4.8199999999999996E-3</v>
      </c>
      <c r="DD48">
        <v>4.7499999999999999E-3</v>
      </c>
      <c r="DE48">
        <v>4.7000000000000002E-3</v>
      </c>
      <c r="DF48">
        <v>6.96E-3</v>
      </c>
      <c r="DG48">
        <v>4.6499999999999996E-3</v>
      </c>
      <c r="DH48">
        <v>6.1199999999999996E-3</v>
      </c>
      <c r="DJ48">
        <v>6.1199999999999996E-3</v>
      </c>
      <c r="DK48">
        <v>6.1700000000000001E-3</v>
      </c>
      <c r="DL48">
        <v>6.2500000000000003E-3</v>
      </c>
      <c r="DN48">
        <v>5.4099999999999999E-3</v>
      </c>
      <c r="DP48">
        <v>8.4600000000000005E-3</v>
      </c>
      <c r="DQ48">
        <v>8.2400000000000008E-3</v>
      </c>
      <c r="DR48">
        <v>5.7200000000000003E-3</v>
      </c>
      <c r="DS48">
        <v>6.13E-3</v>
      </c>
      <c r="DT48">
        <v>5.8999999999999999E-3</v>
      </c>
      <c r="DV48">
        <v>8.6899999999999998E-3</v>
      </c>
      <c r="DW48">
        <v>6.1000000000000004E-3</v>
      </c>
      <c r="DY48">
        <v>9.2899999999999996E-3</v>
      </c>
      <c r="DZ48">
        <v>8.8599999999999998E-3</v>
      </c>
      <c r="EA48">
        <v>5.1900000000000002E-3</v>
      </c>
      <c r="EB48">
        <v>5.1599999999999997E-3</v>
      </c>
      <c r="EC48">
        <v>4.7600000000000003E-3</v>
      </c>
      <c r="EF48">
        <v>1.1730000000000001E-2</v>
      </c>
      <c r="EI48">
        <v>6.1000000000000004E-3</v>
      </c>
      <c r="EJ48">
        <v>5.4299999999999999E-3</v>
      </c>
      <c r="EK48">
        <v>5.5599999999999998E-3</v>
      </c>
      <c r="EL48">
        <v>5.9100000000000003E-3</v>
      </c>
      <c r="EM48">
        <v>6.2500000000000003E-3</v>
      </c>
      <c r="EO48">
        <v>6.4599999999999996E-3</v>
      </c>
      <c r="EP48">
        <v>6.7999999999999996E-3</v>
      </c>
      <c r="EQ48">
        <v>6.8599999999999998E-3</v>
      </c>
      <c r="ER48">
        <v>5.4200000000000003E-3</v>
      </c>
      <c r="ES48">
        <v>5.3200000000000001E-3</v>
      </c>
      <c r="ET48">
        <v>5.2700000000000004E-3</v>
      </c>
      <c r="EU48">
        <v>9.8799999999999999E-3</v>
      </c>
      <c r="EV48">
        <v>9.1699999999999993E-3</v>
      </c>
      <c r="EW48">
        <v>8.5900000000000004E-3</v>
      </c>
      <c r="EX48">
        <v>8.7299999999999999E-3</v>
      </c>
      <c r="EY48">
        <v>6.6699999999999997E-3</v>
      </c>
      <c r="EZ48">
        <v>6.9300000000000004E-3</v>
      </c>
      <c r="FA48">
        <v>5.9300000000000004E-3</v>
      </c>
      <c r="FB48">
        <v>6.43E-3</v>
      </c>
      <c r="FC48">
        <v>5.4900000000000001E-3</v>
      </c>
      <c r="FD48">
        <v>5.4000000000000003E-3</v>
      </c>
      <c r="FE48">
        <v>6.3699999999999998E-3</v>
      </c>
      <c r="FF48">
        <v>4.3899999999999998E-3</v>
      </c>
      <c r="FG48">
        <v>8.3499999999999998E-3</v>
      </c>
      <c r="FH48">
        <v>8.6499999999999997E-3</v>
      </c>
      <c r="FI48">
        <v>8.3099999999999997E-3</v>
      </c>
      <c r="FJ48">
        <v>8.3499999999999998E-3</v>
      </c>
      <c r="FK48">
        <v>7.5199999999999998E-3</v>
      </c>
      <c r="FL48">
        <v>4.9199999999999999E-3</v>
      </c>
      <c r="FN48">
        <v>6.0899999999999999E-3</v>
      </c>
      <c r="FO48">
        <v>5.5199999999999997E-3</v>
      </c>
      <c r="FP48">
        <v>5.0499999999999998E-3</v>
      </c>
      <c r="FQ48">
        <v>6.6100000000000004E-3</v>
      </c>
      <c r="FR48">
        <v>6.7600000000000004E-3</v>
      </c>
      <c r="FS48">
        <v>7.1000000000000004E-3</v>
      </c>
      <c r="FT48">
        <v>6.8300000000000001E-3</v>
      </c>
      <c r="FU48">
        <v>6.6499999999999997E-3</v>
      </c>
      <c r="FV48">
        <v>6.7099999999999998E-3</v>
      </c>
      <c r="FW48">
        <v>6.5399999999999998E-3</v>
      </c>
      <c r="FX48">
        <v>6.7499999999999999E-3</v>
      </c>
      <c r="FY48">
        <v>7.1900000000000002E-3</v>
      </c>
      <c r="FZ48">
        <v>6.9199999999999999E-3</v>
      </c>
      <c r="GA48">
        <v>7.3499999999999998E-3</v>
      </c>
      <c r="GB48">
        <v>7.0800000000000004E-3</v>
      </c>
      <c r="GC48">
        <v>7.5700000000000003E-3</v>
      </c>
      <c r="GD48">
        <v>7.0899999999999999E-3</v>
      </c>
      <c r="GE48">
        <v>7.62E-3</v>
      </c>
      <c r="GF48">
        <v>6.6100000000000004E-3</v>
      </c>
      <c r="GG48">
        <v>6.6400000000000001E-3</v>
      </c>
      <c r="GH48">
        <v>6.7799999999999996E-3</v>
      </c>
      <c r="GI48">
        <v>7.5199999999999998E-3</v>
      </c>
      <c r="GK48">
        <v>7.8300000000000002E-3</v>
      </c>
      <c r="GL48">
        <v>8.0800000000000004E-3</v>
      </c>
      <c r="GM48">
        <v>7.1399999999999996E-3</v>
      </c>
      <c r="GP48">
        <v>5.9899999999999997E-3</v>
      </c>
      <c r="GQ48">
        <v>6.4200000000000004E-3</v>
      </c>
      <c r="GR48">
        <v>6.8500000000000002E-3</v>
      </c>
      <c r="GS48">
        <v>5.8399999999999997E-3</v>
      </c>
      <c r="GT48">
        <v>6.43E-3</v>
      </c>
      <c r="GU48">
        <v>5.4099999999999999E-3</v>
      </c>
      <c r="GV48">
        <v>8.2500000000000004E-3</v>
      </c>
      <c r="GW48">
        <v>8.0199999999999994E-3</v>
      </c>
      <c r="GX48">
        <v>7.5599999999999999E-3</v>
      </c>
      <c r="GY48">
        <v>7.3699999999999998E-3</v>
      </c>
      <c r="GZ48">
        <v>6.6899999999999998E-3</v>
      </c>
      <c r="HA48">
        <v>5.13E-3</v>
      </c>
      <c r="HB48">
        <v>4.7800000000000004E-3</v>
      </c>
      <c r="HC48">
        <v>5.6899999999999997E-3</v>
      </c>
      <c r="HE48">
        <v>5.6899999999999997E-3</v>
      </c>
      <c r="HF48">
        <v>7.1599999999999997E-3</v>
      </c>
      <c r="HG48">
        <v>8.3999999999999995E-3</v>
      </c>
      <c r="HH48">
        <v>8.4600000000000005E-3</v>
      </c>
      <c r="HI48">
        <v>8.6800000000000002E-3</v>
      </c>
      <c r="HJ48">
        <v>4.4600000000000004E-3</v>
      </c>
      <c r="HK48">
        <v>6.28E-3</v>
      </c>
      <c r="HL48">
        <v>6.6E-3</v>
      </c>
      <c r="HM48">
        <v>6.3499999999999997E-3</v>
      </c>
      <c r="HN48">
        <v>6.3099999999999996E-3</v>
      </c>
      <c r="HO48">
        <v>5.9100000000000003E-3</v>
      </c>
      <c r="HP48">
        <v>5.0000000000000001E-3</v>
      </c>
      <c r="HQ48">
        <v>5.8999999999999999E-3</v>
      </c>
      <c r="HR48">
        <v>7.0899999999999999E-3</v>
      </c>
      <c r="HS48">
        <v>1.0120000000000001E-2</v>
      </c>
      <c r="HT48">
        <v>5.47E-3</v>
      </c>
      <c r="HU48">
        <v>5.1999999999999998E-3</v>
      </c>
      <c r="HV48">
        <v>6.8199999999999997E-3</v>
      </c>
      <c r="HW48">
        <v>5.3899999999999998E-3</v>
      </c>
      <c r="HX48">
        <v>6.5700000000000003E-3</v>
      </c>
      <c r="HY48">
        <v>5.9199999999999999E-3</v>
      </c>
      <c r="HZ48">
        <v>3.9500000000000004E-3</v>
      </c>
      <c r="IA48">
        <v>7.0000000000000001E-3</v>
      </c>
      <c r="IB48">
        <v>8.7299999999999999E-3</v>
      </c>
      <c r="IC48">
        <v>7.4000000000000003E-3</v>
      </c>
      <c r="IE48">
        <v>4.8399999999999997E-3</v>
      </c>
      <c r="IF48">
        <v>4.9399999999999999E-3</v>
      </c>
      <c r="IG48">
        <v>5.8999999999999999E-3</v>
      </c>
      <c r="IH48">
        <v>6.3200000000000001E-3</v>
      </c>
      <c r="II48">
        <v>4.64E-3</v>
      </c>
      <c r="IJ48">
        <v>5.7000000000000002E-3</v>
      </c>
      <c r="IK48">
        <v>6.3299999999999997E-3</v>
      </c>
      <c r="IL48">
        <v>7.0099999999999997E-3</v>
      </c>
      <c r="IM48">
        <v>7.7799999999999996E-3</v>
      </c>
      <c r="IN48">
        <v>8.43E-3</v>
      </c>
      <c r="IO48">
        <v>9.2499999999999995E-3</v>
      </c>
      <c r="IP48">
        <v>1.0699999999999999E-2</v>
      </c>
      <c r="IQ48">
        <v>1.1440000000000001E-2</v>
      </c>
      <c r="IR48">
        <v>1.257E-2</v>
      </c>
      <c r="IS48">
        <v>4.81E-3</v>
      </c>
      <c r="IT48">
        <v>4.3400000000000001E-3</v>
      </c>
      <c r="IU48">
        <v>4.7299999999999998E-3</v>
      </c>
      <c r="IV48">
        <v>4.4799999999999996E-3</v>
      </c>
      <c r="IW48">
        <v>5.1799999999999997E-3</v>
      </c>
      <c r="IX48">
        <v>3.5200000000000001E-3</v>
      </c>
      <c r="IY48">
        <v>4.4299999999999999E-3</v>
      </c>
      <c r="JA48">
        <v>4.6100000000000004E-3</v>
      </c>
      <c r="JB48">
        <v>4.7400000000000003E-3</v>
      </c>
      <c r="JD48">
        <v>5.4200000000000003E-3</v>
      </c>
      <c r="JE48">
        <v>4.5399999999999998E-3</v>
      </c>
      <c r="JG48">
        <v>9.5999999999999992E-3</v>
      </c>
      <c r="JH48">
        <v>1.0489999999999999E-2</v>
      </c>
      <c r="JI48">
        <v>6.4200000000000004E-3</v>
      </c>
      <c r="JJ48">
        <v>5.6699999999999997E-3</v>
      </c>
      <c r="JK48">
        <v>8.8100000000000001E-3</v>
      </c>
      <c r="JL48">
        <v>8.26E-3</v>
      </c>
      <c r="JM48">
        <v>5.6600000000000001E-3</v>
      </c>
      <c r="JN48">
        <v>7.2399999999999999E-3</v>
      </c>
      <c r="JP48">
        <v>5.0800000000000003E-3</v>
      </c>
      <c r="JQ48">
        <v>5.6299999999999996E-3</v>
      </c>
      <c r="JR48">
        <v>5.8700000000000002E-3</v>
      </c>
      <c r="JS48">
        <v>5.3499999999999997E-3</v>
      </c>
      <c r="JT48">
        <v>6.2599999999999999E-3</v>
      </c>
      <c r="JU48">
        <v>7.7499999999999999E-3</v>
      </c>
      <c r="JV48">
        <v>5.8900000000000003E-3</v>
      </c>
      <c r="JW48">
        <v>6.0200000000000002E-3</v>
      </c>
      <c r="JX48">
        <v>5.5900000000000004E-3</v>
      </c>
      <c r="JY48">
        <v>6.7099999999999998E-3</v>
      </c>
      <c r="JZ48">
        <v>6.8900000000000003E-3</v>
      </c>
      <c r="KA48">
        <v>6.6800000000000002E-3</v>
      </c>
      <c r="KB48">
        <v>5.5599999999999998E-3</v>
      </c>
      <c r="KC48">
        <v>5.79E-3</v>
      </c>
      <c r="KD48">
        <v>6.2899999999999996E-3</v>
      </c>
      <c r="KE48">
        <v>8.1899999999999994E-3</v>
      </c>
      <c r="KF48">
        <v>1.0959999999999999E-2</v>
      </c>
      <c r="KG48">
        <v>1.15E-2</v>
      </c>
      <c r="KH48">
        <v>1.1350000000000001E-2</v>
      </c>
      <c r="KI48">
        <v>7.3899999999999999E-3</v>
      </c>
      <c r="KJ48">
        <v>7.4900000000000001E-3</v>
      </c>
      <c r="KK48">
        <v>7.43E-3</v>
      </c>
      <c r="KL48">
        <v>7.7999999999999996E-3</v>
      </c>
      <c r="KM48">
        <v>7.92E-3</v>
      </c>
      <c r="KN48">
        <v>5.0800000000000003E-3</v>
      </c>
      <c r="KO48">
        <v>6.5599999999999999E-3</v>
      </c>
      <c r="KP48">
        <v>7.26E-3</v>
      </c>
      <c r="KQ48">
        <v>7.3800000000000003E-3</v>
      </c>
      <c r="KR48">
        <v>7.7200000000000003E-3</v>
      </c>
      <c r="KS48">
        <v>6.0800000000000003E-3</v>
      </c>
      <c r="KT48">
        <v>6.3600000000000002E-3</v>
      </c>
      <c r="KU48">
        <v>6.5799999999999999E-3</v>
      </c>
      <c r="KV48">
        <v>5.0400000000000002E-3</v>
      </c>
      <c r="KW48">
        <v>4.7600000000000003E-3</v>
      </c>
      <c r="KX48">
        <v>1.136E-2</v>
      </c>
      <c r="KZ48">
        <v>7.8899999999999994E-3</v>
      </c>
      <c r="LA48">
        <v>5.8799999999999998E-3</v>
      </c>
      <c r="LB48">
        <v>5.7000000000000002E-3</v>
      </c>
      <c r="LC48">
        <v>5.8199999999999997E-3</v>
      </c>
      <c r="LD48">
        <v>5.8199999999999997E-3</v>
      </c>
      <c r="LE48">
        <v>9.2300000000000004E-3</v>
      </c>
      <c r="LF48">
        <v>8.4600000000000005E-3</v>
      </c>
      <c r="LG48">
        <v>7.0299999999999998E-3</v>
      </c>
      <c r="LI48">
        <v>9.1999999999999998E-3</v>
      </c>
      <c r="LJ48">
        <v>9.5399999999999999E-3</v>
      </c>
      <c r="LK48">
        <v>9.5700000000000004E-3</v>
      </c>
      <c r="LL48">
        <v>6.3400000000000001E-3</v>
      </c>
      <c r="LM48">
        <v>4.7099999999999998E-3</v>
      </c>
      <c r="LN48">
        <v>6.2300000000000003E-3</v>
      </c>
      <c r="LO48">
        <v>6.3499999999999997E-3</v>
      </c>
      <c r="LP48">
        <v>5.5399999999999998E-3</v>
      </c>
      <c r="LR48">
        <v>9.0500000000000008E-3</v>
      </c>
      <c r="LS48">
        <v>1.0120000000000001E-2</v>
      </c>
      <c r="LT48">
        <v>5.5900000000000004E-3</v>
      </c>
      <c r="LU48">
        <v>7.3899999999999999E-3</v>
      </c>
      <c r="LV48">
        <v>8.3800000000000003E-3</v>
      </c>
      <c r="LW48">
        <v>4.7600000000000003E-3</v>
      </c>
      <c r="LX48">
        <v>5.5100000000000001E-3</v>
      </c>
      <c r="LY48">
        <v>6.9699999999999996E-3</v>
      </c>
      <c r="LZ48">
        <v>7.0200000000000002E-3</v>
      </c>
      <c r="MA48">
        <v>7.1500000000000001E-3</v>
      </c>
      <c r="MB48">
        <v>4.2199999999999998E-3</v>
      </c>
      <c r="MC48">
        <v>8.6700000000000006E-3</v>
      </c>
      <c r="MD48">
        <v>9.6799999999999994E-3</v>
      </c>
      <c r="ME48">
        <v>1.234E-2</v>
      </c>
      <c r="MF48">
        <v>1.46E-2</v>
      </c>
      <c r="MG48">
        <v>1.303E-2</v>
      </c>
      <c r="MH48">
        <v>5.5199999999999997E-3</v>
      </c>
      <c r="MI48">
        <v>6.13E-3</v>
      </c>
      <c r="MJ48">
        <v>6.1799999999999997E-3</v>
      </c>
      <c r="MK48">
        <v>5.7200000000000003E-3</v>
      </c>
      <c r="ML48">
        <v>7.0899999999999999E-3</v>
      </c>
      <c r="MM48">
        <v>6.11E-3</v>
      </c>
      <c r="MN48">
        <v>5.2900000000000004E-3</v>
      </c>
      <c r="MO48">
        <v>5.6800000000000002E-3</v>
      </c>
      <c r="MP48">
        <v>6.5100000000000002E-3</v>
      </c>
      <c r="MQ48">
        <v>4.3899999999999998E-3</v>
      </c>
      <c r="MR48">
        <v>5.7800000000000004E-3</v>
      </c>
      <c r="MS48">
        <v>6.0699999999999999E-3</v>
      </c>
      <c r="MT48">
        <v>7.28E-3</v>
      </c>
      <c r="MU48">
        <v>4.7800000000000004E-3</v>
      </c>
      <c r="MV48">
        <v>5.3499999999999997E-3</v>
      </c>
      <c r="MW48">
        <v>5.6299999999999996E-3</v>
      </c>
      <c r="MX48">
        <v>5.77E-3</v>
      </c>
      <c r="MY48">
        <v>6.2599999999999999E-3</v>
      </c>
      <c r="MZ48">
        <v>7.0000000000000001E-3</v>
      </c>
      <c r="NA48">
        <v>6.2599999999999999E-3</v>
      </c>
      <c r="NB48">
        <v>6.1500000000000001E-3</v>
      </c>
      <c r="NC48">
        <v>3.9699999999999996E-3</v>
      </c>
      <c r="ND48">
        <v>1.26E-2</v>
      </c>
      <c r="NE48">
        <v>6.8599999999999998E-3</v>
      </c>
      <c r="NF48">
        <v>7.43E-3</v>
      </c>
      <c r="NG48">
        <v>4.8199999999999996E-3</v>
      </c>
      <c r="NH48">
        <v>4.0800000000000003E-3</v>
      </c>
      <c r="NI48">
        <v>4.4000000000000003E-3</v>
      </c>
      <c r="NJ48">
        <v>4.7800000000000004E-3</v>
      </c>
      <c r="NK48">
        <v>4.3400000000000001E-3</v>
      </c>
      <c r="NM48">
        <v>4.7999999999999996E-3</v>
      </c>
      <c r="NN48">
        <v>5.0299999999999997E-3</v>
      </c>
      <c r="NO48">
        <v>5.2100000000000002E-3</v>
      </c>
      <c r="NP48">
        <v>4.5199999999999997E-3</v>
      </c>
      <c r="NQ48">
        <v>4.4900000000000001E-3</v>
      </c>
      <c r="NR48">
        <v>4.6600000000000001E-3</v>
      </c>
      <c r="NS48">
        <v>4.8300000000000001E-3</v>
      </c>
      <c r="NT48">
        <v>5.2500000000000003E-3</v>
      </c>
      <c r="NU48">
        <v>4.3800000000000002E-3</v>
      </c>
      <c r="NV48">
        <v>4.5999999999999999E-3</v>
      </c>
      <c r="NW48">
        <v>4.6600000000000001E-3</v>
      </c>
      <c r="NX48">
        <v>4.7400000000000003E-3</v>
      </c>
      <c r="NZ48">
        <v>5.0600000000000003E-3</v>
      </c>
      <c r="OA48">
        <v>5.2700000000000004E-3</v>
      </c>
      <c r="OB48">
        <v>4.4299999999999999E-3</v>
      </c>
      <c r="OC48">
        <v>4.64E-3</v>
      </c>
      <c r="OD48">
        <v>4.7400000000000003E-3</v>
      </c>
      <c r="OE48">
        <v>4.7400000000000003E-3</v>
      </c>
      <c r="OF48">
        <v>6.4400000000000004E-3</v>
      </c>
      <c r="OG48">
        <v>4.9300000000000004E-3</v>
      </c>
      <c r="OH48">
        <v>5.1900000000000002E-3</v>
      </c>
      <c r="OI48">
        <v>5.3299999999999997E-3</v>
      </c>
      <c r="OJ48">
        <v>5.5300000000000002E-3</v>
      </c>
      <c r="OK48">
        <v>5.6600000000000001E-3</v>
      </c>
      <c r="OL48">
        <v>5.8300000000000001E-3</v>
      </c>
      <c r="OM48">
        <v>4.8300000000000001E-3</v>
      </c>
      <c r="ON48">
        <v>4.96E-3</v>
      </c>
      <c r="OO48">
        <v>5.0099999999999997E-3</v>
      </c>
      <c r="OP48">
        <v>5.3899999999999998E-3</v>
      </c>
      <c r="OQ48">
        <v>5.5700000000000003E-3</v>
      </c>
      <c r="OR48">
        <v>5.8700000000000002E-3</v>
      </c>
      <c r="OS48">
        <v>6.4799999999999996E-3</v>
      </c>
      <c r="OT48">
        <v>6.2100000000000002E-3</v>
      </c>
      <c r="OU48">
        <v>6.2599999999999999E-3</v>
      </c>
      <c r="OV48">
        <v>5.7200000000000003E-3</v>
      </c>
      <c r="OW48">
        <v>3.2299999999999998E-3</v>
      </c>
      <c r="OX48">
        <v>4.3E-3</v>
      </c>
      <c r="OY48">
        <v>4.9300000000000004E-3</v>
      </c>
      <c r="PA48">
        <v>8.8299999999999993E-3</v>
      </c>
      <c r="PB48">
        <v>9.3100000000000006E-3</v>
      </c>
      <c r="PC48">
        <v>7.7099999999999998E-3</v>
      </c>
      <c r="PD48">
        <v>6.7600000000000004E-3</v>
      </c>
      <c r="PE48">
        <v>6.3400000000000001E-3</v>
      </c>
      <c r="PF48">
        <v>6.1399999999999996E-3</v>
      </c>
      <c r="PG48">
        <v>5.2100000000000002E-3</v>
      </c>
      <c r="PH48">
        <v>5.5300000000000002E-3</v>
      </c>
      <c r="PJ48">
        <v>6.5500000000000003E-3</v>
      </c>
      <c r="PK48">
        <v>6.0699999999999999E-3</v>
      </c>
      <c r="PL48">
        <v>5.9500000000000004E-3</v>
      </c>
      <c r="PM48">
        <v>5.3400000000000001E-3</v>
      </c>
      <c r="PN48">
        <v>4.9100000000000003E-3</v>
      </c>
      <c r="PO48">
        <v>4.7200000000000002E-3</v>
      </c>
      <c r="PP48">
        <v>4.8999999999999998E-3</v>
      </c>
      <c r="PQ48">
        <v>4.5100000000000001E-3</v>
      </c>
      <c r="PR48">
        <v>4.2500000000000003E-3</v>
      </c>
      <c r="PS48">
        <v>5.1599999999999997E-3</v>
      </c>
      <c r="PT48">
        <v>5.1799999999999997E-3</v>
      </c>
      <c r="PU48">
        <v>4.0699999999999998E-3</v>
      </c>
      <c r="PV48">
        <v>3.7299999999999998E-3</v>
      </c>
      <c r="PW48">
        <v>3.8999999999999998E-3</v>
      </c>
      <c r="PX48">
        <v>4.1799999999999997E-3</v>
      </c>
      <c r="PY48">
        <v>4.5700000000000003E-3</v>
      </c>
      <c r="PZ48">
        <v>5.0099999999999997E-3</v>
      </c>
      <c r="QA48">
        <v>3.9100000000000003E-3</v>
      </c>
      <c r="QB48">
        <v>4.2700000000000004E-3</v>
      </c>
      <c r="QD48">
        <v>5.2100000000000002E-3</v>
      </c>
      <c r="QE48">
        <v>4.4999999999999997E-3</v>
      </c>
      <c r="QF48">
        <v>4.8399999999999997E-3</v>
      </c>
      <c r="QG48">
        <v>6.8100000000000001E-3</v>
      </c>
      <c r="QH48">
        <v>4.7800000000000004E-3</v>
      </c>
      <c r="QI48">
        <v>5.13E-3</v>
      </c>
      <c r="QJ48">
        <v>4.9399999999999999E-3</v>
      </c>
      <c r="QK48">
        <v>4.9500000000000004E-3</v>
      </c>
      <c r="QL48">
        <v>4.7800000000000004E-3</v>
      </c>
      <c r="QM48">
        <v>5.3200000000000001E-3</v>
      </c>
      <c r="QN48">
        <v>8.3000000000000001E-3</v>
      </c>
      <c r="QO48">
        <v>5.8700000000000002E-3</v>
      </c>
      <c r="QP48">
        <v>7.3499999999999998E-3</v>
      </c>
      <c r="QQ48">
        <v>7.6800000000000002E-3</v>
      </c>
      <c r="QR48">
        <v>8.0999999999999996E-3</v>
      </c>
      <c r="QS48">
        <v>8.0199999999999994E-3</v>
      </c>
      <c r="QT48">
        <v>5.9199999999999999E-3</v>
      </c>
      <c r="QU48">
        <v>5.96E-3</v>
      </c>
      <c r="QV48">
        <v>6.0000000000000001E-3</v>
      </c>
      <c r="QW48">
        <v>5.96E-3</v>
      </c>
      <c r="QX48">
        <v>5.5599999999999998E-3</v>
      </c>
      <c r="QY48">
        <v>5.28E-3</v>
      </c>
      <c r="QZ48">
        <v>5.6800000000000002E-3</v>
      </c>
      <c r="RA48">
        <v>6.3099999999999996E-3</v>
      </c>
      <c r="RB48">
        <v>7.3800000000000003E-3</v>
      </c>
      <c r="RC48">
        <v>6.2199999999999998E-3</v>
      </c>
      <c r="RD48">
        <v>9.6699999999999998E-3</v>
      </c>
      <c r="RE48">
        <v>7.4200000000000004E-3</v>
      </c>
      <c r="RF48">
        <v>7.2100000000000003E-3</v>
      </c>
      <c r="RG48">
        <v>5.2100000000000002E-3</v>
      </c>
      <c r="RH48">
        <v>5.1799999999999997E-3</v>
      </c>
      <c r="RI48">
        <v>7.7400000000000004E-3</v>
      </c>
      <c r="RJ48">
        <v>6.8199999999999997E-3</v>
      </c>
      <c r="RK48">
        <v>6.7600000000000004E-3</v>
      </c>
      <c r="RL48">
        <v>6.3699999999999998E-3</v>
      </c>
      <c r="RM48">
        <v>4.4799999999999996E-3</v>
      </c>
      <c r="RN48">
        <v>4.5799999999999999E-3</v>
      </c>
      <c r="RO48">
        <v>4.5799999999999999E-3</v>
      </c>
      <c r="RP48">
        <v>4.1900000000000001E-3</v>
      </c>
      <c r="RQ48">
        <v>4.5500000000000002E-3</v>
      </c>
      <c r="RR48">
        <v>4.3400000000000001E-3</v>
      </c>
      <c r="RS48">
        <v>4.45E-3</v>
      </c>
      <c r="RT48">
        <v>3.81E-3</v>
      </c>
      <c r="RU48">
        <v>4.6100000000000004E-3</v>
      </c>
      <c r="RV48">
        <v>5.0299999999999997E-3</v>
      </c>
      <c r="RW48">
        <v>5.5799999999999999E-3</v>
      </c>
      <c r="RX48">
        <v>5.1200000000000004E-3</v>
      </c>
      <c r="RY48">
        <v>3.5599999999999998E-3</v>
      </c>
      <c r="RZ48">
        <v>4.81E-3</v>
      </c>
      <c r="SA48">
        <v>6.5100000000000002E-3</v>
      </c>
      <c r="SB48">
        <v>6.13E-3</v>
      </c>
      <c r="SC48">
        <v>6.3600000000000002E-3</v>
      </c>
      <c r="SD48">
        <v>6.7600000000000004E-3</v>
      </c>
      <c r="SE48">
        <v>6.1500000000000001E-3</v>
      </c>
      <c r="SF48">
        <v>7.0000000000000001E-3</v>
      </c>
      <c r="SG48">
        <v>8.7399999999999995E-3</v>
      </c>
      <c r="SH48">
        <v>1.111E-2</v>
      </c>
      <c r="SI48">
        <v>6.0600000000000003E-3</v>
      </c>
      <c r="SJ48">
        <v>4.8999999999999998E-3</v>
      </c>
      <c r="SK48">
        <v>4.3800000000000002E-3</v>
      </c>
      <c r="SL48">
        <v>4.7299999999999998E-3</v>
      </c>
      <c r="SN48">
        <v>4.1900000000000001E-3</v>
      </c>
      <c r="SO48">
        <v>4.0400000000000002E-3</v>
      </c>
      <c r="SP48">
        <v>5.96E-3</v>
      </c>
      <c r="SQ48">
        <v>4.9399999999999999E-3</v>
      </c>
      <c r="SR48">
        <v>5.5199999999999997E-3</v>
      </c>
      <c r="SS48">
        <v>4.5599999999999998E-3</v>
      </c>
      <c r="ST48">
        <v>4.6100000000000004E-3</v>
      </c>
      <c r="SU48">
        <v>4.7499999999999999E-3</v>
      </c>
      <c r="SV48">
        <v>4.62E-3</v>
      </c>
      <c r="SW48">
        <v>4.9800000000000001E-3</v>
      </c>
      <c r="SX48">
        <v>5.4299999999999999E-3</v>
      </c>
      <c r="SY48">
        <v>4.5599999999999998E-3</v>
      </c>
      <c r="SZ48">
        <v>5.6100000000000004E-3</v>
      </c>
      <c r="TA48">
        <v>5.3499999999999997E-3</v>
      </c>
      <c r="TB48">
        <v>6.0899999999999999E-3</v>
      </c>
      <c r="TC48">
        <v>4.96E-3</v>
      </c>
      <c r="TD48">
        <v>4.8700000000000002E-3</v>
      </c>
      <c r="TE48">
        <v>6.94E-3</v>
      </c>
      <c r="TF48">
        <v>5.7099999999999998E-3</v>
      </c>
      <c r="TG48">
        <v>6.1700000000000001E-3</v>
      </c>
      <c r="TH48">
        <v>7.11E-3</v>
      </c>
      <c r="TI48">
        <v>4.9100000000000003E-3</v>
      </c>
      <c r="TJ48">
        <v>6.8599999999999998E-3</v>
      </c>
      <c r="TK48">
        <v>4.3899999999999998E-3</v>
      </c>
      <c r="TL48">
        <v>4.0699999999999998E-3</v>
      </c>
      <c r="TM48">
        <v>3.81E-3</v>
      </c>
      <c r="TN48">
        <v>5.0000000000000001E-3</v>
      </c>
      <c r="TO48">
        <v>5.28E-3</v>
      </c>
      <c r="TP48">
        <v>4.1799999999999997E-3</v>
      </c>
      <c r="TQ48">
        <v>5.2700000000000004E-3</v>
      </c>
      <c r="TR48">
        <v>5.9899999999999997E-3</v>
      </c>
      <c r="TS48">
        <v>5.9899999999999997E-3</v>
      </c>
      <c r="TT48">
        <v>5.94E-3</v>
      </c>
      <c r="TU48">
        <v>5.5399999999999998E-3</v>
      </c>
      <c r="TW48">
        <v>4.6800000000000001E-3</v>
      </c>
      <c r="TX48">
        <v>4.9800000000000001E-3</v>
      </c>
      <c r="TY48">
        <v>4.9199999999999999E-3</v>
      </c>
      <c r="TZ48">
        <v>5.11E-3</v>
      </c>
      <c r="UA48">
        <v>5.0600000000000003E-3</v>
      </c>
      <c r="UB48">
        <v>4.8700000000000002E-3</v>
      </c>
      <c r="UC48">
        <v>4.6899999999999997E-3</v>
      </c>
      <c r="UD48">
        <v>4.7400000000000003E-3</v>
      </c>
      <c r="UE48">
        <v>4.9100000000000003E-3</v>
      </c>
      <c r="UF48">
        <v>3.9300000000000003E-3</v>
      </c>
      <c r="UG48">
        <v>4.2700000000000004E-3</v>
      </c>
      <c r="UH48">
        <v>5.3899999999999998E-3</v>
      </c>
      <c r="UI48">
        <v>4.5700000000000003E-3</v>
      </c>
      <c r="UK48">
        <v>5.0699999999999999E-3</v>
      </c>
      <c r="UL48">
        <v>5.2700000000000004E-3</v>
      </c>
      <c r="UM48">
        <v>5.9100000000000003E-3</v>
      </c>
      <c r="UN48">
        <v>4.8500000000000001E-3</v>
      </c>
      <c r="UO48">
        <v>4.9500000000000004E-3</v>
      </c>
      <c r="UQ48">
        <v>4.6800000000000001E-3</v>
      </c>
      <c r="UR48">
        <v>4.5799999999999999E-3</v>
      </c>
      <c r="US48">
        <v>5.0400000000000002E-3</v>
      </c>
      <c r="UT48">
        <v>4.6299999999999996E-3</v>
      </c>
      <c r="UU48">
        <v>4.81E-3</v>
      </c>
      <c r="UV48">
        <v>5.0499999999999998E-3</v>
      </c>
      <c r="UW48">
        <v>6.1000000000000004E-3</v>
      </c>
      <c r="UX48">
        <v>4.3800000000000002E-3</v>
      </c>
      <c r="UY48">
        <v>4.7400000000000003E-3</v>
      </c>
      <c r="UZ48">
        <v>5.4599999999999996E-3</v>
      </c>
      <c r="VA48">
        <v>7.11E-3</v>
      </c>
      <c r="VB48">
        <v>5.6100000000000004E-3</v>
      </c>
      <c r="VC48">
        <v>6.1000000000000004E-3</v>
      </c>
      <c r="VD48">
        <v>7.4200000000000004E-3</v>
      </c>
      <c r="VE48">
        <v>5.3800000000000002E-3</v>
      </c>
      <c r="VF48">
        <v>7.5199999999999998E-3</v>
      </c>
      <c r="VG48">
        <v>8.4700000000000001E-3</v>
      </c>
      <c r="VH48">
        <v>5.1500000000000001E-3</v>
      </c>
      <c r="VI48">
        <v>5.6100000000000004E-3</v>
      </c>
    </row>
    <row r="49" spans="1:581" x14ac:dyDescent="0.25">
      <c r="A49">
        <v>1300000</v>
      </c>
      <c r="B49">
        <v>3.9300000000000003E-3</v>
      </c>
      <c r="C49">
        <v>4.81E-3</v>
      </c>
      <c r="E49">
        <v>5.6899999999999997E-3</v>
      </c>
      <c r="F49">
        <v>6.0099999999999997E-3</v>
      </c>
      <c r="G49">
        <v>6.5199999999999998E-3</v>
      </c>
      <c r="H49">
        <v>4.9800000000000001E-3</v>
      </c>
      <c r="I49">
        <v>4.8500000000000001E-3</v>
      </c>
      <c r="J49">
        <v>4.7600000000000003E-3</v>
      </c>
      <c r="K49">
        <v>5.1000000000000004E-3</v>
      </c>
      <c r="L49">
        <v>4.9300000000000004E-3</v>
      </c>
      <c r="M49">
        <v>4.7800000000000004E-3</v>
      </c>
      <c r="N49">
        <v>4.7000000000000002E-3</v>
      </c>
      <c r="O49">
        <v>5.0800000000000003E-3</v>
      </c>
      <c r="P49">
        <v>4.96E-3</v>
      </c>
      <c r="Q49">
        <v>4.96E-3</v>
      </c>
      <c r="R49">
        <v>4.8599999999999997E-3</v>
      </c>
      <c r="S49">
        <v>4.5599999999999998E-3</v>
      </c>
      <c r="U49">
        <v>6.0699999999999999E-3</v>
      </c>
      <c r="V49">
        <v>4.5500000000000002E-3</v>
      </c>
      <c r="W49">
        <v>5.9300000000000004E-3</v>
      </c>
      <c r="X49">
        <v>4.2599999999999999E-3</v>
      </c>
      <c r="Y49">
        <v>5.8900000000000003E-3</v>
      </c>
      <c r="Z49">
        <v>3.8300000000000001E-3</v>
      </c>
      <c r="AA49">
        <v>5.5399999999999998E-3</v>
      </c>
      <c r="AB49">
        <v>6.8399999999999997E-3</v>
      </c>
      <c r="AC49">
        <v>7.0400000000000003E-3</v>
      </c>
      <c r="AD49">
        <v>5.3E-3</v>
      </c>
      <c r="AE49">
        <v>6.0000000000000001E-3</v>
      </c>
      <c r="AF49">
        <v>6.2199999999999998E-3</v>
      </c>
      <c r="AG49">
        <v>5.1500000000000001E-3</v>
      </c>
      <c r="AH49">
        <v>5.1000000000000004E-3</v>
      </c>
      <c r="AI49">
        <v>5.4599999999999996E-3</v>
      </c>
      <c r="AJ49">
        <v>4.7699999999999999E-3</v>
      </c>
      <c r="AK49">
        <v>6.0899999999999999E-3</v>
      </c>
      <c r="AL49">
        <v>7.6299999999999996E-3</v>
      </c>
      <c r="AM49">
        <v>4.7299999999999998E-3</v>
      </c>
      <c r="AN49">
        <v>5.6600000000000001E-3</v>
      </c>
      <c r="AO49">
        <v>1.0829999999999999E-2</v>
      </c>
      <c r="AP49">
        <v>5.9800000000000001E-3</v>
      </c>
      <c r="AQ49">
        <v>6.4799999999999996E-3</v>
      </c>
      <c r="AR49">
        <v>5.96E-3</v>
      </c>
      <c r="AS49">
        <v>6.3E-3</v>
      </c>
      <c r="AT49">
        <v>4.9399999999999999E-3</v>
      </c>
      <c r="AU49">
        <v>5.5599999999999998E-3</v>
      </c>
      <c r="AV49">
        <v>5.28E-3</v>
      </c>
      <c r="AW49">
        <v>5.6800000000000002E-3</v>
      </c>
      <c r="AX49">
        <v>5.5999999999999999E-3</v>
      </c>
      <c r="AY49">
        <v>5.0899999999999999E-3</v>
      </c>
      <c r="AZ49">
        <v>5.11E-3</v>
      </c>
      <c r="BA49">
        <v>5.2700000000000004E-3</v>
      </c>
      <c r="BB49">
        <v>6.3200000000000001E-3</v>
      </c>
      <c r="BC49">
        <v>6.8300000000000001E-3</v>
      </c>
      <c r="BD49">
        <v>7.1599999999999997E-3</v>
      </c>
      <c r="BE49">
        <v>8.4600000000000005E-3</v>
      </c>
      <c r="BF49">
        <v>9.8600000000000007E-3</v>
      </c>
      <c r="BG49">
        <v>6.4599999999999996E-3</v>
      </c>
      <c r="BH49">
        <v>5.94E-3</v>
      </c>
      <c r="BI49">
        <v>9.7199999999999995E-3</v>
      </c>
      <c r="BJ49">
        <v>6.5900000000000004E-3</v>
      </c>
      <c r="BK49">
        <v>7.1799999999999998E-3</v>
      </c>
      <c r="BL49">
        <v>7.26E-3</v>
      </c>
      <c r="BM49">
        <v>6.8700000000000002E-3</v>
      </c>
      <c r="BN49">
        <v>6.0099999999999997E-3</v>
      </c>
      <c r="BO49">
        <v>8.0000000000000002E-3</v>
      </c>
      <c r="BP49">
        <v>6.8500000000000002E-3</v>
      </c>
      <c r="BQ49">
        <v>5.8399999999999997E-3</v>
      </c>
      <c r="BR49">
        <v>5.0699999999999999E-3</v>
      </c>
      <c r="BT49">
        <v>7.3499999999999998E-3</v>
      </c>
      <c r="BV49">
        <v>8.8199999999999997E-3</v>
      </c>
      <c r="BW49">
        <v>8.5100000000000002E-3</v>
      </c>
      <c r="BX49">
        <v>8.3099999999999997E-3</v>
      </c>
      <c r="BY49">
        <v>8.4799999999999997E-3</v>
      </c>
      <c r="BZ49">
        <v>7.45E-3</v>
      </c>
      <c r="CA49">
        <v>7.62E-3</v>
      </c>
      <c r="CC49">
        <v>6.7799999999999996E-3</v>
      </c>
      <c r="CD49">
        <v>5.5399999999999998E-3</v>
      </c>
      <c r="CE49">
        <v>5.4000000000000003E-3</v>
      </c>
      <c r="CF49">
        <v>5.1000000000000004E-3</v>
      </c>
      <c r="CG49">
        <v>4.7800000000000004E-3</v>
      </c>
      <c r="CH49">
        <v>4.4900000000000001E-3</v>
      </c>
      <c r="CI49">
        <v>4.2300000000000003E-3</v>
      </c>
      <c r="CJ49">
        <v>4.0499999999999998E-3</v>
      </c>
      <c r="CK49">
        <v>4.5399999999999998E-3</v>
      </c>
      <c r="CL49">
        <v>5.4000000000000003E-3</v>
      </c>
      <c r="CM49">
        <v>5.6899999999999997E-3</v>
      </c>
      <c r="CN49">
        <v>6.0299999999999998E-3</v>
      </c>
      <c r="CO49">
        <v>5.8100000000000001E-3</v>
      </c>
      <c r="CP49">
        <v>6.1799999999999997E-3</v>
      </c>
      <c r="CQ49">
        <v>5.3400000000000001E-3</v>
      </c>
      <c r="CR49">
        <v>5.8199999999999997E-3</v>
      </c>
      <c r="CS49">
        <v>6.2700000000000004E-3</v>
      </c>
      <c r="CT49">
        <v>6.6699999999999997E-3</v>
      </c>
      <c r="CU49">
        <v>5.3200000000000001E-3</v>
      </c>
      <c r="CW49">
        <v>5.5399999999999998E-3</v>
      </c>
      <c r="CX49">
        <v>5.4799999999999996E-3</v>
      </c>
      <c r="CY49">
        <v>4.6499999999999996E-3</v>
      </c>
      <c r="CZ49">
        <v>4.3800000000000002E-3</v>
      </c>
      <c r="DA49">
        <v>4.9399999999999999E-3</v>
      </c>
      <c r="DB49">
        <v>4.8500000000000001E-3</v>
      </c>
      <c r="DC49">
        <v>4.7999999999999996E-3</v>
      </c>
      <c r="DD49">
        <v>4.7400000000000003E-3</v>
      </c>
      <c r="DE49">
        <v>4.6800000000000001E-3</v>
      </c>
      <c r="DF49">
        <v>6.79E-3</v>
      </c>
      <c r="DG49">
        <v>4.5799999999999999E-3</v>
      </c>
      <c r="DH49">
        <v>6.0099999999999997E-3</v>
      </c>
      <c r="DI49">
        <v>5.8900000000000003E-3</v>
      </c>
      <c r="DJ49">
        <v>6.0299999999999998E-3</v>
      </c>
      <c r="DK49">
        <v>6.0800000000000003E-3</v>
      </c>
      <c r="DL49">
        <v>6.1799999999999997E-3</v>
      </c>
      <c r="DN49">
        <v>5.3400000000000001E-3</v>
      </c>
      <c r="DP49">
        <v>8.3899999999999999E-3</v>
      </c>
      <c r="DQ49">
        <v>8.1799999999999998E-3</v>
      </c>
      <c r="DR49">
        <v>5.62E-3</v>
      </c>
      <c r="DS49">
        <v>6.0099999999999997E-3</v>
      </c>
      <c r="DT49">
        <v>5.8199999999999997E-3</v>
      </c>
      <c r="DV49">
        <v>8.6300000000000005E-3</v>
      </c>
      <c r="DW49">
        <v>5.9899999999999997E-3</v>
      </c>
      <c r="DX49">
        <v>6.0499999999999998E-3</v>
      </c>
      <c r="DY49">
        <v>9.2200000000000008E-3</v>
      </c>
      <c r="DZ49">
        <v>8.8199999999999997E-3</v>
      </c>
      <c r="EA49">
        <v>5.1399999999999996E-3</v>
      </c>
      <c r="EB49">
        <v>5.11E-3</v>
      </c>
      <c r="EC49">
        <v>4.6899999999999997E-3</v>
      </c>
      <c r="EF49">
        <v>1.132E-2</v>
      </c>
      <c r="EI49">
        <v>6.0600000000000003E-3</v>
      </c>
      <c r="EJ49">
        <v>5.4200000000000003E-3</v>
      </c>
      <c r="EK49">
        <v>5.5199999999999997E-3</v>
      </c>
      <c r="EL49">
        <v>5.8500000000000002E-3</v>
      </c>
      <c r="EM49">
        <v>6.1999999999999998E-3</v>
      </c>
      <c r="EN49">
        <v>6.3400000000000001E-3</v>
      </c>
      <c r="EP49">
        <v>6.7400000000000003E-3</v>
      </c>
      <c r="EQ49">
        <v>6.79E-3</v>
      </c>
      <c r="ER49">
        <v>5.3E-3</v>
      </c>
      <c r="ES49">
        <v>5.2199999999999998E-3</v>
      </c>
      <c r="ET49">
        <v>5.1399999999999996E-3</v>
      </c>
      <c r="EU49">
        <v>9.7599999999999996E-3</v>
      </c>
      <c r="EV49">
        <v>9.0500000000000008E-3</v>
      </c>
      <c r="EW49">
        <v>8.4899999999999993E-3</v>
      </c>
      <c r="EX49">
        <v>8.6499999999999997E-3</v>
      </c>
      <c r="EY49">
        <v>6.6699999999999997E-3</v>
      </c>
      <c r="EZ49">
        <v>6.9100000000000003E-3</v>
      </c>
      <c r="FA49">
        <v>5.8199999999999997E-3</v>
      </c>
      <c r="FC49">
        <v>5.4099999999999999E-3</v>
      </c>
      <c r="FD49">
        <v>5.3400000000000001E-3</v>
      </c>
      <c r="FE49">
        <v>6.2599999999999999E-3</v>
      </c>
      <c r="FF49">
        <v>4.3800000000000002E-3</v>
      </c>
      <c r="FG49">
        <v>8.3099999999999997E-3</v>
      </c>
      <c r="FH49">
        <v>8.6E-3</v>
      </c>
      <c r="FI49">
        <v>8.26E-3</v>
      </c>
      <c r="FJ49">
        <v>8.3099999999999997E-3</v>
      </c>
      <c r="FK49">
        <v>7.45E-3</v>
      </c>
      <c r="FL49">
        <v>4.8799999999999998E-3</v>
      </c>
      <c r="FN49">
        <v>5.9699999999999996E-3</v>
      </c>
      <c r="FO49">
        <v>5.4099999999999999E-3</v>
      </c>
      <c r="FP49">
        <v>4.9800000000000001E-3</v>
      </c>
      <c r="FQ49">
        <v>6.4599999999999996E-3</v>
      </c>
      <c r="FR49">
        <v>6.5900000000000004E-3</v>
      </c>
      <c r="FS49">
        <v>6.9899999999999997E-3</v>
      </c>
      <c r="FT49">
        <v>6.7099999999999998E-3</v>
      </c>
      <c r="FU49">
        <v>6.5399999999999998E-3</v>
      </c>
      <c r="FV49">
        <v>6.6E-3</v>
      </c>
      <c r="FW49">
        <v>6.43E-3</v>
      </c>
      <c r="FX49">
        <v>6.6400000000000001E-3</v>
      </c>
      <c r="FY49">
        <v>7.0699999999999999E-3</v>
      </c>
      <c r="FZ49">
        <v>6.8799999999999998E-3</v>
      </c>
      <c r="GA49">
        <v>7.28E-3</v>
      </c>
      <c r="GB49">
        <v>6.9800000000000001E-3</v>
      </c>
      <c r="GC49">
        <v>7.5100000000000002E-3</v>
      </c>
      <c r="GD49">
        <v>7.0200000000000002E-3</v>
      </c>
      <c r="GE49">
        <v>7.5399999999999998E-3</v>
      </c>
      <c r="GF49">
        <v>6.5500000000000003E-3</v>
      </c>
      <c r="GG49">
        <v>6.5799999999999999E-3</v>
      </c>
      <c r="GH49">
        <v>6.7200000000000003E-3</v>
      </c>
      <c r="GI49">
        <v>7.45E-3</v>
      </c>
      <c r="GJ49">
        <v>7.6099999999999996E-3</v>
      </c>
      <c r="GK49">
        <v>7.7600000000000004E-3</v>
      </c>
      <c r="GL49">
        <v>8.0099999999999998E-3</v>
      </c>
      <c r="GM49">
        <v>7.0899999999999999E-3</v>
      </c>
      <c r="GO49">
        <v>6.8199999999999997E-3</v>
      </c>
      <c r="GP49">
        <v>5.8700000000000002E-3</v>
      </c>
      <c r="GQ49">
        <v>6.2899999999999996E-3</v>
      </c>
      <c r="GR49">
        <v>6.6899999999999998E-3</v>
      </c>
      <c r="GS49">
        <v>5.7400000000000003E-3</v>
      </c>
      <c r="GT49">
        <v>6.3200000000000001E-3</v>
      </c>
      <c r="GU49">
        <v>5.5100000000000001E-3</v>
      </c>
      <c r="GV49">
        <v>8.1899999999999994E-3</v>
      </c>
      <c r="GW49">
        <v>7.9299999999999995E-3</v>
      </c>
      <c r="GX49">
        <v>7.4900000000000001E-3</v>
      </c>
      <c r="GY49">
        <v>7.2399999999999999E-3</v>
      </c>
      <c r="GZ49">
        <v>6.5799999999999999E-3</v>
      </c>
      <c r="HA49">
        <v>5.11E-3</v>
      </c>
      <c r="HB49">
        <v>4.79E-3</v>
      </c>
      <c r="HC49">
        <v>5.6800000000000002E-3</v>
      </c>
      <c r="HE49">
        <v>5.77E-3</v>
      </c>
      <c r="HF49">
        <v>7.2300000000000003E-3</v>
      </c>
      <c r="HG49">
        <v>8.3400000000000002E-3</v>
      </c>
      <c r="HI49">
        <v>8.6E-3</v>
      </c>
      <c r="HJ49">
        <v>4.4400000000000004E-3</v>
      </c>
      <c r="HK49">
        <v>6.13E-3</v>
      </c>
      <c r="HL49">
        <v>6.4799999999999996E-3</v>
      </c>
      <c r="HM49">
        <v>6.2500000000000003E-3</v>
      </c>
      <c r="HN49">
        <v>6.1900000000000002E-3</v>
      </c>
      <c r="HO49">
        <v>5.79E-3</v>
      </c>
      <c r="HP49">
        <v>4.9699999999999996E-3</v>
      </c>
      <c r="HQ49">
        <v>5.7600000000000004E-3</v>
      </c>
      <c r="HR49">
        <v>6.8799999999999998E-3</v>
      </c>
      <c r="HS49">
        <v>9.9600000000000001E-3</v>
      </c>
      <c r="HT49">
        <v>5.3600000000000002E-3</v>
      </c>
      <c r="HU49">
        <v>5.1700000000000001E-3</v>
      </c>
      <c r="HV49">
        <v>6.7099999999999998E-3</v>
      </c>
      <c r="HW49">
        <v>5.3499999999999997E-3</v>
      </c>
      <c r="HX49">
        <v>6.3600000000000002E-3</v>
      </c>
      <c r="HY49">
        <v>5.8300000000000001E-3</v>
      </c>
      <c r="HZ49">
        <v>3.9300000000000003E-3</v>
      </c>
      <c r="IA49">
        <v>6.9199999999999999E-3</v>
      </c>
      <c r="IB49">
        <v>8.6300000000000005E-3</v>
      </c>
      <c r="IC49">
        <v>7.3400000000000002E-3</v>
      </c>
      <c r="ID49">
        <v>5.1500000000000001E-3</v>
      </c>
      <c r="IE49">
        <v>4.7800000000000004E-3</v>
      </c>
      <c r="IG49">
        <v>5.8100000000000001E-3</v>
      </c>
      <c r="IH49">
        <v>6.2199999999999998E-3</v>
      </c>
      <c r="II49">
        <v>4.5799999999999999E-3</v>
      </c>
      <c r="IJ49">
        <v>5.64E-3</v>
      </c>
      <c r="IK49">
        <v>6.2599999999999999E-3</v>
      </c>
      <c r="IL49">
        <v>6.94E-3</v>
      </c>
      <c r="IM49">
        <v>7.7200000000000003E-3</v>
      </c>
      <c r="IN49">
        <v>8.3499999999999998E-3</v>
      </c>
      <c r="IO49">
        <v>9.1400000000000006E-3</v>
      </c>
      <c r="IP49">
        <v>1.0529999999999999E-2</v>
      </c>
      <c r="IQ49">
        <v>1.1270000000000001E-2</v>
      </c>
      <c r="IR49">
        <v>1.244E-2</v>
      </c>
      <c r="IS49">
        <v>4.8300000000000001E-3</v>
      </c>
      <c r="IT49">
        <v>4.2500000000000003E-3</v>
      </c>
      <c r="IU49">
        <v>4.6299999999999996E-3</v>
      </c>
      <c r="IV49">
        <v>4.4299999999999999E-3</v>
      </c>
      <c r="IW49">
        <v>5.1200000000000004E-3</v>
      </c>
      <c r="IX49">
        <v>3.5000000000000001E-3</v>
      </c>
      <c r="IY49">
        <v>4.4099999999999999E-3</v>
      </c>
      <c r="IZ49">
        <v>4.0600000000000002E-3</v>
      </c>
      <c r="JA49">
        <v>4.5900000000000003E-3</v>
      </c>
      <c r="JB49">
        <v>4.7000000000000002E-3</v>
      </c>
      <c r="JC49">
        <v>5.0600000000000003E-3</v>
      </c>
      <c r="JE49">
        <v>4.5100000000000001E-3</v>
      </c>
      <c r="JF49">
        <v>5.9699999999999996E-3</v>
      </c>
      <c r="JG49">
        <v>9.6100000000000005E-3</v>
      </c>
      <c r="JH49">
        <v>1.0290000000000001E-2</v>
      </c>
      <c r="JI49">
        <v>6.3299999999999997E-3</v>
      </c>
      <c r="JJ49">
        <v>5.5900000000000004E-3</v>
      </c>
      <c r="JK49">
        <v>8.6700000000000006E-3</v>
      </c>
      <c r="JL49">
        <v>8.1899999999999994E-3</v>
      </c>
      <c r="JM49">
        <v>5.5799999999999999E-3</v>
      </c>
      <c r="JN49">
        <v>7.0699999999999999E-3</v>
      </c>
      <c r="JP49">
        <v>4.96E-3</v>
      </c>
      <c r="JQ49">
        <v>5.6100000000000004E-3</v>
      </c>
      <c r="JR49">
        <v>5.8300000000000001E-3</v>
      </c>
      <c r="JS49">
        <v>5.3E-3</v>
      </c>
      <c r="JT49">
        <v>6.2199999999999998E-3</v>
      </c>
      <c r="JU49">
        <v>7.7099999999999998E-3</v>
      </c>
      <c r="JV49">
        <v>5.9199999999999999E-3</v>
      </c>
      <c r="JW49">
        <v>5.94E-3</v>
      </c>
      <c r="JX49">
        <v>5.5199999999999997E-3</v>
      </c>
      <c r="JY49">
        <v>6.6400000000000001E-3</v>
      </c>
      <c r="JZ49">
        <v>6.7799999999999996E-3</v>
      </c>
      <c r="KA49">
        <v>6.5599999999999999E-3</v>
      </c>
      <c r="KB49">
        <v>5.5100000000000001E-3</v>
      </c>
      <c r="KD49">
        <v>6.2399999999999999E-3</v>
      </c>
      <c r="KE49">
        <v>8.2100000000000003E-3</v>
      </c>
      <c r="KF49">
        <v>1.091E-2</v>
      </c>
      <c r="KG49">
        <v>1.142E-2</v>
      </c>
      <c r="KH49">
        <v>1.145E-2</v>
      </c>
      <c r="KI49">
        <v>7.26E-3</v>
      </c>
      <c r="KJ49">
        <v>7.43E-3</v>
      </c>
      <c r="KK49">
        <v>7.3299999999999997E-3</v>
      </c>
      <c r="KL49">
        <v>7.7000000000000002E-3</v>
      </c>
      <c r="KM49">
        <v>7.7999999999999996E-3</v>
      </c>
      <c r="KN49">
        <v>5.11E-3</v>
      </c>
      <c r="KO49">
        <v>6.6600000000000001E-3</v>
      </c>
      <c r="KP49">
        <v>7.1599999999999997E-3</v>
      </c>
      <c r="KQ49">
        <v>7.28E-3</v>
      </c>
      <c r="KR49">
        <v>7.5799999999999999E-3</v>
      </c>
      <c r="KS49">
        <v>6.0800000000000003E-3</v>
      </c>
      <c r="KT49">
        <v>6.3600000000000002E-3</v>
      </c>
      <c r="KU49">
        <v>6.62E-3</v>
      </c>
      <c r="KV49">
        <v>5.1399999999999996E-3</v>
      </c>
      <c r="KW49">
        <v>4.7400000000000003E-3</v>
      </c>
      <c r="KX49">
        <v>1.124E-2</v>
      </c>
      <c r="KY49">
        <v>6.8500000000000002E-3</v>
      </c>
      <c r="KZ49">
        <v>7.9299999999999995E-3</v>
      </c>
      <c r="LA49">
        <v>5.79E-3</v>
      </c>
      <c r="LB49">
        <v>5.6499999999999996E-3</v>
      </c>
      <c r="LC49">
        <v>5.7499999999999999E-3</v>
      </c>
      <c r="LD49">
        <v>5.7499999999999999E-3</v>
      </c>
      <c r="LE49">
        <v>9.11E-3</v>
      </c>
      <c r="LF49">
        <v>8.3300000000000006E-3</v>
      </c>
      <c r="LG49">
        <v>6.9100000000000003E-3</v>
      </c>
      <c r="LI49">
        <v>9.1000000000000004E-3</v>
      </c>
      <c r="LJ49">
        <v>9.4400000000000005E-3</v>
      </c>
      <c r="LK49">
        <v>9.4900000000000002E-3</v>
      </c>
      <c r="LM49">
        <v>4.64E-3</v>
      </c>
      <c r="LN49">
        <v>6.0600000000000003E-3</v>
      </c>
      <c r="LO49">
        <v>6.2300000000000003E-3</v>
      </c>
      <c r="LP49">
        <v>5.4299999999999999E-3</v>
      </c>
      <c r="LR49">
        <v>8.9899999999999997E-3</v>
      </c>
      <c r="LS49">
        <v>9.9900000000000006E-3</v>
      </c>
      <c r="LT49">
        <v>5.4999999999999997E-3</v>
      </c>
      <c r="LU49">
        <v>7.1700000000000002E-3</v>
      </c>
      <c r="LV49">
        <v>8.1099999999999992E-3</v>
      </c>
      <c r="LW49">
        <v>4.7699999999999999E-3</v>
      </c>
      <c r="LX49">
        <v>5.5100000000000001E-3</v>
      </c>
      <c r="LY49">
        <v>6.8799999999999998E-3</v>
      </c>
      <c r="LZ49">
        <v>6.9499999999999996E-3</v>
      </c>
      <c r="MA49">
        <v>7.0699999999999999E-3</v>
      </c>
      <c r="MB49">
        <v>4.2500000000000003E-3</v>
      </c>
      <c r="MC49">
        <v>8.5699999999999995E-3</v>
      </c>
      <c r="MD49">
        <v>9.5700000000000004E-3</v>
      </c>
      <c r="ME49">
        <v>1.2149999999999999E-2</v>
      </c>
      <c r="MF49">
        <v>1.455E-2</v>
      </c>
      <c r="MG49">
        <v>1.3050000000000001E-2</v>
      </c>
      <c r="MH49">
        <v>5.4000000000000003E-3</v>
      </c>
      <c r="MI49">
        <v>5.9699999999999996E-3</v>
      </c>
      <c r="MJ49">
        <v>6.0299999999999998E-3</v>
      </c>
      <c r="MK49">
        <v>5.5700000000000003E-3</v>
      </c>
      <c r="ML49">
        <v>6.8999999999999999E-3</v>
      </c>
      <c r="MM49">
        <v>5.9500000000000004E-3</v>
      </c>
      <c r="MN49">
        <v>5.2300000000000003E-3</v>
      </c>
      <c r="MO49">
        <v>5.64E-3</v>
      </c>
      <c r="MP49">
        <v>6.4999999999999997E-3</v>
      </c>
      <c r="MQ49">
        <v>4.3299999999999996E-3</v>
      </c>
      <c r="MS49">
        <v>5.9699999999999996E-3</v>
      </c>
      <c r="MT49">
        <v>7.2100000000000003E-3</v>
      </c>
      <c r="MU49">
        <v>4.7600000000000003E-3</v>
      </c>
      <c r="MV49">
        <v>5.3E-3</v>
      </c>
      <c r="MW49">
        <v>5.5900000000000004E-3</v>
      </c>
      <c r="MY49">
        <v>6.1900000000000002E-3</v>
      </c>
      <c r="MZ49">
        <v>6.9499999999999996E-3</v>
      </c>
      <c r="NA49">
        <v>6.1999999999999998E-3</v>
      </c>
      <c r="NB49">
        <v>6.1000000000000004E-3</v>
      </c>
      <c r="NC49">
        <v>3.9100000000000003E-3</v>
      </c>
      <c r="ND49">
        <v>1.255E-2</v>
      </c>
      <c r="NE49">
        <v>6.7400000000000003E-3</v>
      </c>
      <c r="NF49">
        <v>7.3600000000000002E-3</v>
      </c>
      <c r="NG49">
        <v>4.7699999999999999E-3</v>
      </c>
      <c r="NH49">
        <v>4.0600000000000002E-3</v>
      </c>
      <c r="NJ49">
        <v>4.7400000000000003E-3</v>
      </c>
      <c r="NK49">
        <v>4.3E-3</v>
      </c>
      <c r="NL49">
        <v>4.5199999999999997E-3</v>
      </c>
      <c r="NM49">
        <v>4.7600000000000003E-3</v>
      </c>
      <c r="NN49">
        <v>4.9899999999999996E-3</v>
      </c>
      <c r="NP49">
        <v>4.5100000000000001E-3</v>
      </c>
      <c r="NQ49">
        <v>4.4400000000000004E-3</v>
      </c>
      <c r="NT49">
        <v>5.1900000000000002E-3</v>
      </c>
      <c r="NU49">
        <v>4.3400000000000001E-3</v>
      </c>
      <c r="NW49">
        <v>4.6100000000000004E-3</v>
      </c>
      <c r="NX49">
        <v>4.6899999999999997E-3</v>
      </c>
      <c r="NY49">
        <v>4.8300000000000001E-3</v>
      </c>
      <c r="NZ49">
        <v>5.0099999999999997E-3</v>
      </c>
      <c r="OA49">
        <v>5.2100000000000002E-3</v>
      </c>
      <c r="OB49">
        <v>4.3899999999999998E-3</v>
      </c>
      <c r="OC49">
        <v>4.5999999999999999E-3</v>
      </c>
      <c r="OD49">
        <v>4.6899999999999997E-3</v>
      </c>
      <c r="OE49">
        <v>4.6899999999999997E-3</v>
      </c>
      <c r="OF49">
        <v>6.3499999999999997E-3</v>
      </c>
      <c r="OG49">
        <v>4.8799999999999998E-3</v>
      </c>
      <c r="OH49">
        <v>5.1500000000000001E-3</v>
      </c>
      <c r="OI49">
        <v>5.2900000000000004E-3</v>
      </c>
      <c r="OJ49">
        <v>5.4799999999999996E-3</v>
      </c>
      <c r="OK49">
        <v>5.5900000000000004E-3</v>
      </c>
      <c r="OL49">
        <v>5.7499999999999999E-3</v>
      </c>
      <c r="OM49">
        <v>4.8700000000000002E-3</v>
      </c>
      <c r="ON49">
        <v>4.9500000000000004E-3</v>
      </c>
      <c r="OO49">
        <v>4.9800000000000001E-3</v>
      </c>
      <c r="OP49">
        <v>5.3400000000000001E-3</v>
      </c>
      <c r="OR49">
        <v>5.8399999999999997E-3</v>
      </c>
      <c r="OS49">
        <v>6.4099999999999999E-3</v>
      </c>
      <c r="OT49">
        <v>6.1599999999999997E-3</v>
      </c>
      <c r="OU49">
        <v>6.2599999999999999E-3</v>
      </c>
      <c r="OV49">
        <v>5.6499999999999996E-3</v>
      </c>
      <c r="OW49">
        <v>3.32E-3</v>
      </c>
      <c r="OX49">
        <v>4.4600000000000004E-3</v>
      </c>
      <c r="OY49">
        <v>5.0299999999999997E-3</v>
      </c>
      <c r="OZ49">
        <v>4.8599999999999997E-3</v>
      </c>
      <c r="PA49">
        <v>8.77E-3</v>
      </c>
      <c r="PB49">
        <v>9.2200000000000008E-3</v>
      </c>
      <c r="PD49">
        <v>6.7200000000000003E-3</v>
      </c>
      <c r="PE49">
        <v>6.3099999999999996E-3</v>
      </c>
      <c r="PF49">
        <v>6.11E-3</v>
      </c>
      <c r="PG49">
        <v>5.1900000000000002E-3</v>
      </c>
      <c r="PH49">
        <v>5.4999999999999997E-3</v>
      </c>
      <c r="PI49">
        <v>7.0000000000000001E-3</v>
      </c>
      <c r="PJ49">
        <v>6.4999999999999997E-3</v>
      </c>
      <c r="PK49">
        <v>6.0400000000000002E-3</v>
      </c>
      <c r="PL49">
        <v>5.94E-3</v>
      </c>
      <c r="PM49">
        <v>5.3200000000000001E-3</v>
      </c>
      <c r="PN49">
        <v>4.8999999999999998E-3</v>
      </c>
      <c r="PO49">
        <v>4.6600000000000001E-3</v>
      </c>
      <c r="PP49">
        <v>4.8500000000000001E-3</v>
      </c>
      <c r="PQ49">
        <v>4.5700000000000003E-3</v>
      </c>
      <c r="PR49">
        <v>4.1599999999999996E-3</v>
      </c>
      <c r="PS49">
        <v>5.0800000000000003E-3</v>
      </c>
      <c r="PT49">
        <v>5.13E-3</v>
      </c>
      <c r="PU49">
        <v>4.0499999999999998E-3</v>
      </c>
      <c r="PV49">
        <v>3.63E-3</v>
      </c>
      <c r="PW49">
        <v>3.8E-3</v>
      </c>
      <c r="PX49">
        <v>4.0800000000000003E-3</v>
      </c>
      <c r="PY49">
        <v>4.4099999999999999E-3</v>
      </c>
      <c r="PZ49">
        <v>4.8399999999999997E-3</v>
      </c>
      <c r="QA49">
        <v>3.9100000000000003E-3</v>
      </c>
      <c r="QB49">
        <v>4.2700000000000004E-3</v>
      </c>
      <c r="QC49">
        <v>5.5300000000000002E-3</v>
      </c>
      <c r="QD49">
        <v>5.2300000000000003E-3</v>
      </c>
      <c r="QE49">
        <v>4.4799999999999996E-3</v>
      </c>
      <c r="QF49">
        <v>4.8599999999999997E-3</v>
      </c>
      <c r="QG49">
        <v>6.8399999999999997E-3</v>
      </c>
      <c r="QH49">
        <v>4.79E-3</v>
      </c>
      <c r="QI49">
        <v>5.11E-3</v>
      </c>
      <c r="QJ49">
        <v>4.9300000000000004E-3</v>
      </c>
      <c r="QK49">
        <v>4.9300000000000004E-3</v>
      </c>
      <c r="QL49">
        <v>4.7800000000000004E-3</v>
      </c>
      <c r="QM49">
        <v>5.3200000000000001E-3</v>
      </c>
      <c r="QN49">
        <v>8.2900000000000005E-3</v>
      </c>
      <c r="QO49">
        <v>5.8599999999999998E-3</v>
      </c>
      <c r="QP49">
        <v>7.3899999999999999E-3</v>
      </c>
      <c r="QQ49">
        <v>7.6699999999999997E-3</v>
      </c>
      <c r="QR49">
        <v>8.0400000000000003E-3</v>
      </c>
      <c r="QS49">
        <v>7.9600000000000001E-3</v>
      </c>
      <c r="QT49">
        <v>5.8700000000000002E-3</v>
      </c>
      <c r="QU49">
        <v>5.8999999999999999E-3</v>
      </c>
      <c r="QV49">
        <v>5.94E-3</v>
      </c>
      <c r="QW49">
        <v>5.9300000000000004E-3</v>
      </c>
      <c r="QY49">
        <v>5.2500000000000003E-3</v>
      </c>
      <c r="QZ49">
        <v>5.64E-3</v>
      </c>
      <c r="RA49">
        <v>6.1900000000000002E-3</v>
      </c>
      <c r="RB49">
        <v>7.3099999999999997E-3</v>
      </c>
      <c r="RC49">
        <v>6.1500000000000001E-3</v>
      </c>
      <c r="RD49">
        <v>9.3699999999999999E-3</v>
      </c>
      <c r="RE49">
        <v>7.1999999999999998E-3</v>
      </c>
      <c r="RF49">
        <v>7.1199999999999996E-3</v>
      </c>
      <c r="RH49">
        <v>5.1399999999999996E-3</v>
      </c>
      <c r="RI49">
        <v>7.6400000000000001E-3</v>
      </c>
      <c r="RJ49">
        <v>6.6800000000000002E-3</v>
      </c>
      <c r="RK49">
        <v>6.6299999999999996E-3</v>
      </c>
      <c r="RL49">
        <v>6.28E-3</v>
      </c>
      <c r="RM49">
        <v>4.4400000000000004E-3</v>
      </c>
      <c r="RN49">
        <v>4.5399999999999998E-3</v>
      </c>
      <c r="RO49">
        <v>4.5399999999999998E-3</v>
      </c>
      <c r="RP49">
        <v>4.1599999999999996E-3</v>
      </c>
      <c r="RQ49">
        <v>4.5300000000000002E-3</v>
      </c>
      <c r="RR49">
        <v>4.3200000000000001E-3</v>
      </c>
      <c r="RS49">
        <v>4.4099999999999999E-3</v>
      </c>
      <c r="RT49">
        <v>3.8E-3</v>
      </c>
      <c r="RU49">
        <v>4.5999999999999999E-3</v>
      </c>
      <c r="RV49">
        <v>4.9899999999999996E-3</v>
      </c>
      <c r="RW49">
        <v>5.5399999999999998E-3</v>
      </c>
      <c r="RX49">
        <v>5.0899999999999999E-3</v>
      </c>
      <c r="RY49">
        <v>3.5500000000000002E-3</v>
      </c>
      <c r="RZ49">
        <v>4.7499999999999999E-3</v>
      </c>
      <c r="SA49">
        <v>6.3E-3</v>
      </c>
      <c r="SB49">
        <v>5.9500000000000004E-3</v>
      </c>
      <c r="SC49">
        <v>6.2899999999999996E-3</v>
      </c>
      <c r="SD49">
        <v>6.6899999999999998E-3</v>
      </c>
      <c r="SE49">
        <v>6.1000000000000004E-3</v>
      </c>
      <c r="SF49">
        <v>6.9800000000000001E-3</v>
      </c>
      <c r="SG49">
        <v>8.6499999999999997E-3</v>
      </c>
      <c r="SH49">
        <v>1.102E-2</v>
      </c>
      <c r="SJ49">
        <v>4.8599999999999997E-3</v>
      </c>
      <c r="SK49">
        <v>4.3400000000000001E-3</v>
      </c>
      <c r="SL49">
        <v>4.7000000000000002E-3</v>
      </c>
      <c r="SM49">
        <v>3.8600000000000001E-3</v>
      </c>
      <c r="SN49">
        <v>4.1700000000000001E-3</v>
      </c>
      <c r="SO49">
        <v>4.0200000000000001E-3</v>
      </c>
      <c r="SP49">
        <v>5.94E-3</v>
      </c>
      <c r="SQ49">
        <v>4.8999999999999998E-3</v>
      </c>
      <c r="SR49">
        <v>5.5100000000000001E-3</v>
      </c>
      <c r="SS49">
        <v>4.5700000000000003E-3</v>
      </c>
      <c r="ST49">
        <v>4.62E-3</v>
      </c>
      <c r="SV49">
        <v>4.64E-3</v>
      </c>
      <c r="SW49">
        <v>4.9899999999999996E-3</v>
      </c>
      <c r="SX49">
        <v>5.3800000000000002E-3</v>
      </c>
      <c r="SY49">
        <v>4.5700000000000003E-3</v>
      </c>
      <c r="TA49">
        <v>5.3099999999999996E-3</v>
      </c>
      <c r="TB49">
        <v>6.0699999999999999E-3</v>
      </c>
      <c r="TC49">
        <v>4.96E-3</v>
      </c>
      <c r="TD49">
        <v>4.8399999999999997E-3</v>
      </c>
      <c r="TE49">
        <v>6.8999999999999999E-3</v>
      </c>
      <c r="TF49">
        <v>5.6499999999999996E-3</v>
      </c>
      <c r="TG49">
        <v>6.1399999999999996E-3</v>
      </c>
      <c r="TH49">
        <v>7.0499999999999998E-3</v>
      </c>
      <c r="TI49">
        <v>4.9199999999999999E-3</v>
      </c>
      <c r="TJ49">
        <v>6.8599999999999998E-3</v>
      </c>
      <c r="TK49">
        <v>4.3499999999999997E-3</v>
      </c>
      <c r="TL49">
        <v>4.0499999999999998E-3</v>
      </c>
      <c r="TM49">
        <v>3.8E-3</v>
      </c>
      <c r="TN49">
        <v>4.9699999999999996E-3</v>
      </c>
      <c r="TO49">
        <v>5.3E-3</v>
      </c>
      <c r="TP49">
        <v>4.1700000000000001E-3</v>
      </c>
      <c r="TQ49">
        <v>5.2599999999999999E-3</v>
      </c>
      <c r="TR49">
        <v>5.9500000000000004E-3</v>
      </c>
      <c r="TS49">
        <v>5.9100000000000003E-3</v>
      </c>
      <c r="TT49">
        <v>5.8799999999999998E-3</v>
      </c>
      <c r="TU49">
        <v>5.4900000000000001E-3</v>
      </c>
      <c r="TV49">
        <v>4.5900000000000003E-3</v>
      </c>
      <c r="TW49">
        <v>4.6600000000000001E-3</v>
      </c>
      <c r="TX49">
        <v>4.9699999999999996E-3</v>
      </c>
      <c r="TY49">
        <v>4.9300000000000004E-3</v>
      </c>
      <c r="TZ49">
        <v>5.1000000000000004E-3</v>
      </c>
      <c r="UA49">
        <v>5.0699999999999999E-3</v>
      </c>
      <c r="UB49">
        <v>4.8900000000000002E-3</v>
      </c>
      <c r="UC49">
        <v>4.6800000000000001E-3</v>
      </c>
      <c r="UD49">
        <v>4.7400000000000003E-3</v>
      </c>
      <c r="UE49">
        <v>4.9100000000000003E-3</v>
      </c>
      <c r="UF49">
        <v>3.8899999999999998E-3</v>
      </c>
      <c r="UG49">
        <v>4.2700000000000004E-3</v>
      </c>
      <c r="UH49">
        <v>5.3699999999999998E-3</v>
      </c>
      <c r="UI49">
        <v>4.5300000000000002E-3</v>
      </c>
      <c r="UJ49">
        <v>5.2599999999999999E-3</v>
      </c>
      <c r="UK49">
        <v>5.0600000000000003E-3</v>
      </c>
      <c r="UL49">
        <v>5.2399999999999999E-3</v>
      </c>
      <c r="UM49">
        <v>5.8900000000000003E-3</v>
      </c>
      <c r="UN49">
        <v>4.8399999999999997E-3</v>
      </c>
      <c r="UO49">
        <v>4.9399999999999999E-3</v>
      </c>
      <c r="UP49">
        <v>6.5300000000000002E-3</v>
      </c>
      <c r="UQ49">
        <v>4.6800000000000001E-3</v>
      </c>
      <c r="US49">
        <v>5.0299999999999997E-3</v>
      </c>
      <c r="UT49">
        <v>4.6299999999999996E-3</v>
      </c>
      <c r="UU49">
        <v>4.81E-3</v>
      </c>
      <c r="UV49">
        <v>5.0299999999999997E-3</v>
      </c>
      <c r="UW49">
        <v>6.0299999999999998E-3</v>
      </c>
      <c r="UX49">
        <v>4.3299999999999996E-3</v>
      </c>
      <c r="UZ49">
        <v>5.4200000000000003E-3</v>
      </c>
      <c r="VA49">
        <v>7.0499999999999998E-3</v>
      </c>
      <c r="VB49">
        <v>5.62E-3</v>
      </c>
      <c r="VC49">
        <v>6.0299999999999998E-3</v>
      </c>
      <c r="VD49">
        <v>7.1799999999999998E-3</v>
      </c>
      <c r="VE49">
        <v>5.2599999999999999E-3</v>
      </c>
      <c r="VF49">
        <v>7.3000000000000001E-3</v>
      </c>
      <c r="VG49">
        <v>8.3599999999999994E-3</v>
      </c>
      <c r="VH49">
        <v>5.0600000000000003E-3</v>
      </c>
      <c r="VI49">
        <v>5.5399999999999998E-3</v>
      </c>
    </row>
    <row r="50" spans="1:581" x14ac:dyDescent="0.25">
      <c r="A50">
        <v>1350000</v>
      </c>
      <c r="B50">
        <v>3.96E-3</v>
      </c>
      <c r="C50">
        <v>4.8500000000000001E-3</v>
      </c>
      <c r="D50">
        <v>4.9199999999999999E-3</v>
      </c>
      <c r="E50">
        <v>5.7099999999999998E-3</v>
      </c>
      <c r="F50">
        <v>6.0400000000000002E-3</v>
      </c>
      <c r="H50">
        <v>4.9899999999999996E-3</v>
      </c>
      <c r="I50">
        <v>4.8700000000000002E-3</v>
      </c>
      <c r="J50">
        <v>4.81E-3</v>
      </c>
      <c r="K50">
        <v>5.1000000000000004E-3</v>
      </c>
      <c r="L50">
        <v>4.9300000000000004E-3</v>
      </c>
      <c r="M50">
        <v>4.7999999999999996E-3</v>
      </c>
      <c r="N50">
        <v>4.7200000000000002E-3</v>
      </c>
      <c r="O50">
        <v>5.0200000000000002E-3</v>
      </c>
      <c r="Q50">
        <v>4.9199999999999999E-3</v>
      </c>
      <c r="R50">
        <v>4.8199999999999996E-3</v>
      </c>
      <c r="S50">
        <v>4.5900000000000003E-3</v>
      </c>
      <c r="T50">
        <v>4.4400000000000004E-3</v>
      </c>
      <c r="W50">
        <v>5.9100000000000003E-3</v>
      </c>
      <c r="X50">
        <v>4.28E-3</v>
      </c>
      <c r="Y50">
        <v>5.8700000000000002E-3</v>
      </c>
      <c r="Z50">
        <v>3.8800000000000002E-3</v>
      </c>
      <c r="AA50">
        <v>5.4099999999999999E-3</v>
      </c>
      <c r="AB50">
        <v>6.8399999999999997E-3</v>
      </c>
      <c r="AC50">
        <v>6.9899999999999997E-3</v>
      </c>
      <c r="AD50">
        <v>5.2500000000000003E-3</v>
      </c>
      <c r="AE50">
        <v>5.96E-3</v>
      </c>
      <c r="AF50">
        <v>6.1900000000000002E-3</v>
      </c>
      <c r="AG50">
        <v>5.0400000000000002E-3</v>
      </c>
      <c r="AH50">
        <v>5.0099999999999997E-3</v>
      </c>
      <c r="AI50">
        <v>5.3200000000000001E-3</v>
      </c>
      <c r="AJ50">
        <v>4.7000000000000002E-3</v>
      </c>
      <c r="AK50">
        <v>6.0800000000000003E-3</v>
      </c>
      <c r="AL50">
        <v>7.5799999999999999E-3</v>
      </c>
      <c r="AM50">
        <v>4.5999999999999999E-3</v>
      </c>
      <c r="AN50">
        <v>5.5500000000000002E-3</v>
      </c>
      <c r="AO50">
        <v>1.0699999999999999E-2</v>
      </c>
      <c r="AP50">
        <v>5.8599999999999998E-3</v>
      </c>
      <c r="AQ50">
        <v>6.3099999999999996E-3</v>
      </c>
      <c r="AR50">
        <v>5.8300000000000001E-3</v>
      </c>
      <c r="AS50">
        <v>6.1399999999999996E-3</v>
      </c>
      <c r="AT50">
        <v>4.8300000000000001E-3</v>
      </c>
      <c r="AU50">
        <v>5.45E-3</v>
      </c>
      <c r="AV50">
        <v>5.1399999999999996E-3</v>
      </c>
      <c r="AW50">
        <v>5.5799999999999999E-3</v>
      </c>
      <c r="AX50">
        <v>5.4799999999999996E-3</v>
      </c>
      <c r="AY50">
        <v>5.1000000000000004E-3</v>
      </c>
      <c r="AZ50">
        <v>5.1700000000000001E-3</v>
      </c>
      <c r="BA50">
        <v>5.1399999999999996E-3</v>
      </c>
      <c r="BB50">
        <v>6.2500000000000003E-3</v>
      </c>
      <c r="BC50">
        <v>6.7499999999999999E-3</v>
      </c>
      <c r="BD50">
        <v>7.0699999999999999E-3</v>
      </c>
      <c r="BE50">
        <v>8.3800000000000003E-3</v>
      </c>
      <c r="BF50">
        <v>9.7400000000000004E-3</v>
      </c>
      <c r="BG50">
        <v>6.3800000000000003E-3</v>
      </c>
      <c r="BH50">
        <v>5.7999999999999996E-3</v>
      </c>
      <c r="BI50">
        <v>9.6200000000000001E-3</v>
      </c>
      <c r="BJ50">
        <v>6.5100000000000002E-3</v>
      </c>
      <c r="BK50">
        <v>7.0899999999999999E-3</v>
      </c>
      <c r="BL50">
        <v>7.1700000000000002E-3</v>
      </c>
      <c r="BM50">
        <v>6.8100000000000001E-3</v>
      </c>
      <c r="BN50">
        <v>6.0400000000000002E-3</v>
      </c>
      <c r="BO50">
        <v>7.9100000000000004E-3</v>
      </c>
      <c r="BP50">
        <v>6.8199999999999997E-3</v>
      </c>
      <c r="BQ50">
        <v>5.8100000000000001E-3</v>
      </c>
      <c r="BR50">
        <v>4.9500000000000004E-3</v>
      </c>
      <c r="BT50">
        <v>7.2300000000000003E-3</v>
      </c>
      <c r="BU50">
        <v>8.7399999999999995E-3</v>
      </c>
      <c r="BW50">
        <v>8.43E-3</v>
      </c>
      <c r="BX50">
        <v>8.2400000000000008E-3</v>
      </c>
      <c r="BY50">
        <v>8.3899999999999999E-3</v>
      </c>
      <c r="BZ50">
        <v>7.3800000000000003E-3</v>
      </c>
      <c r="CA50">
        <v>7.5399999999999998E-3</v>
      </c>
      <c r="CB50">
        <v>6.2500000000000003E-3</v>
      </c>
      <c r="CC50">
        <v>6.7099999999999998E-3</v>
      </c>
      <c r="CD50">
        <v>5.47E-3</v>
      </c>
      <c r="CE50">
        <v>5.4099999999999999E-3</v>
      </c>
      <c r="CF50">
        <v>5.11E-3</v>
      </c>
      <c r="CG50">
        <v>4.81E-3</v>
      </c>
      <c r="CH50">
        <v>4.5199999999999997E-3</v>
      </c>
      <c r="CI50">
        <v>4.2500000000000003E-3</v>
      </c>
      <c r="CK50">
        <v>4.4600000000000004E-3</v>
      </c>
      <c r="CL50">
        <v>5.4000000000000003E-3</v>
      </c>
      <c r="CM50">
        <v>5.6499999999999996E-3</v>
      </c>
      <c r="CN50">
        <v>5.9699999999999996E-3</v>
      </c>
      <c r="CO50">
        <v>5.7600000000000004E-3</v>
      </c>
      <c r="CP50">
        <v>6.13E-3</v>
      </c>
      <c r="CQ50">
        <v>5.3499999999999997E-3</v>
      </c>
      <c r="CR50">
        <v>5.79E-3</v>
      </c>
      <c r="CS50">
        <v>6.2199999999999998E-3</v>
      </c>
      <c r="CU50">
        <v>5.2900000000000004E-3</v>
      </c>
      <c r="CV50">
        <v>5.1399999999999996E-3</v>
      </c>
      <c r="CX50">
        <v>5.4599999999999996E-3</v>
      </c>
      <c r="CY50">
        <v>4.5399999999999998E-3</v>
      </c>
      <c r="CZ50">
        <v>4.3699999999999998E-3</v>
      </c>
      <c r="DA50">
        <v>4.9199999999999999E-3</v>
      </c>
      <c r="DB50">
        <v>4.8300000000000001E-3</v>
      </c>
      <c r="DC50">
        <v>4.7800000000000004E-3</v>
      </c>
      <c r="DD50">
        <v>4.7200000000000002E-3</v>
      </c>
      <c r="DE50">
        <v>4.6699999999999997E-3</v>
      </c>
      <c r="DF50">
        <v>6.6400000000000001E-3</v>
      </c>
      <c r="DG50">
        <v>4.5199999999999997E-3</v>
      </c>
      <c r="DH50">
        <v>5.8999999999999999E-3</v>
      </c>
      <c r="DI50">
        <v>5.8100000000000001E-3</v>
      </c>
      <c r="DK50">
        <v>6.0000000000000001E-3</v>
      </c>
      <c r="DL50">
        <v>6.0899999999999999E-3</v>
      </c>
      <c r="DP50">
        <v>8.3300000000000006E-3</v>
      </c>
      <c r="DR50">
        <v>5.5300000000000002E-3</v>
      </c>
      <c r="DS50">
        <v>5.8999999999999999E-3</v>
      </c>
      <c r="DT50">
        <v>5.7499999999999999E-3</v>
      </c>
      <c r="DW50">
        <v>5.8999999999999999E-3</v>
      </c>
      <c r="DX50">
        <v>5.9899999999999997E-3</v>
      </c>
      <c r="DY50">
        <v>9.1500000000000001E-3</v>
      </c>
      <c r="DZ50">
        <v>8.7500000000000008E-3</v>
      </c>
      <c r="EB50">
        <v>5.0400000000000002E-3</v>
      </c>
      <c r="EC50">
        <v>4.64E-3</v>
      </c>
      <c r="EF50">
        <v>1.103E-2</v>
      </c>
      <c r="EI50">
        <v>6.0200000000000002E-3</v>
      </c>
      <c r="EJ50">
        <v>5.4200000000000003E-3</v>
      </c>
      <c r="EK50">
        <v>5.4799999999999996E-3</v>
      </c>
      <c r="EL50">
        <v>5.7999999999999996E-3</v>
      </c>
      <c r="EM50">
        <v>6.1399999999999996E-3</v>
      </c>
      <c r="EN50">
        <v>6.2700000000000004E-3</v>
      </c>
      <c r="EO50">
        <v>6.3299999999999997E-3</v>
      </c>
      <c r="EP50">
        <v>6.6899999999999998E-3</v>
      </c>
      <c r="ER50">
        <v>5.1900000000000002E-3</v>
      </c>
      <c r="ES50">
        <v>5.1200000000000004E-3</v>
      </c>
      <c r="ET50">
        <v>5.0400000000000002E-3</v>
      </c>
      <c r="EU50">
        <v>9.6500000000000006E-3</v>
      </c>
      <c r="EV50">
        <v>8.94E-3</v>
      </c>
      <c r="EW50">
        <v>8.4100000000000008E-3</v>
      </c>
      <c r="EX50">
        <v>8.5900000000000004E-3</v>
      </c>
      <c r="EY50">
        <v>6.6800000000000002E-3</v>
      </c>
      <c r="FA50">
        <v>5.7299999999999999E-3</v>
      </c>
      <c r="FB50">
        <v>6.28E-3</v>
      </c>
      <c r="FC50">
        <v>5.3499999999999997E-3</v>
      </c>
      <c r="FD50">
        <v>5.28E-3</v>
      </c>
      <c r="FE50">
        <v>6.1700000000000001E-3</v>
      </c>
      <c r="FF50">
        <v>4.3699999999999998E-3</v>
      </c>
      <c r="FG50">
        <v>8.2699999999999996E-3</v>
      </c>
      <c r="FH50">
        <v>8.5400000000000007E-3</v>
      </c>
      <c r="FI50">
        <v>8.2100000000000003E-3</v>
      </c>
      <c r="FJ50">
        <v>8.2799999999999992E-3</v>
      </c>
      <c r="FK50">
        <v>7.3800000000000003E-3</v>
      </c>
      <c r="FL50">
        <v>4.8300000000000001E-3</v>
      </c>
      <c r="FN50">
        <v>5.8700000000000002E-3</v>
      </c>
      <c r="FO50">
        <v>5.3200000000000001E-3</v>
      </c>
      <c r="FP50">
        <v>4.8999999999999998E-3</v>
      </c>
      <c r="FQ50">
        <v>6.3299999999999997E-3</v>
      </c>
      <c r="FR50">
        <v>6.4400000000000004E-3</v>
      </c>
      <c r="FS50">
        <v>6.8199999999999997E-3</v>
      </c>
      <c r="FT50">
        <v>6.5799999999999999E-3</v>
      </c>
      <c r="FU50">
        <v>6.4599999999999996E-3</v>
      </c>
      <c r="FV50">
        <v>6.4999999999999997E-3</v>
      </c>
      <c r="FW50">
        <v>6.3400000000000001E-3</v>
      </c>
      <c r="FX50">
        <v>6.5399999999999998E-3</v>
      </c>
      <c r="FY50">
        <v>6.9499999999999996E-3</v>
      </c>
      <c r="FZ50">
        <v>6.7799999999999996E-3</v>
      </c>
      <c r="GA50">
        <v>7.1700000000000002E-3</v>
      </c>
      <c r="GB50">
        <v>6.8999999999999999E-3</v>
      </c>
      <c r="GC50">
        <v>7.3899999999999999E-3</v>
      </c>
      <c r="GD50">
        <v>6.9300000000000004E-3</v>
      </c>
      <c r="GE50">
        <v>7.45E-3</v>
      </c>
      <c r="GF50">
        <v>6.4799999999999996E-3</v>
      </c>
      <c r="GG50">
        <v>6.5399999999999998E-3</v>
      </c>
      <c r="GH50">
        <v>6.6499999999999997E-3</v>
      </c>
      <c r="GI50">
        <v>7.3899999999999999E-3</v>
      </c>
      <c r="GJ50">
        <v>7.5399999999999998E-3</v>
      </c>
      <c r="GK50">
        <v>7.7000000000000002E-3</v>
      </c>
      <c r="GL50">
        <v>7.9299999999999995E-3</v>
      </c>
      <c r="GM50">
        <v>7.0400000000000003E-3</v>
      </c>
      <c r="GO50">
        <v>6.7299999999999999E-3</v>
      </c>
      <c r="GP50">
        <v>5.77E-3</v>
      </c>
      <c r="GQ50">
        <v>6.1700000000000001E-3</v>
      </c>
      <c r="GR50">
        <v>6.5399999999999998E-3</v>
      </c>
      <c r="GS50">
        <v>5.6499999999999996E-3</v>
      </c>
      <c r="GT50">
        <v>6.2100000000000002E-3</v>
      </c>
      <c r="GU50">
        <v>5.5999999999999999E-3</v>
      </c>
      <c r="GV50">
        <v>8.1499999999999993E-3</v>
      </c>
      <c r="GW50">
        <v>7.8399999999999997E-3</v>
      </c>
      <c r="GX50">
        <v>7.43E-3</v>
      </c>
      <c r="GY50">
        <v>7.1500000000000001E-3</v>
      </c>
      <c r="GZ50">
        <v>6.4900000000000001E-3</v>
      </c>
      <c r="HA50">
        <v>5.0699999999999999E-3</v>
      </c>
      <c r="HB50">
        <v>4.79E-3</v>
      </c>
      <c r="HC50">
        <v>5.7000000000000002E-3</v>
      </c>
      <c r="HE50">
        <v>5.8599999999999998E-3</v>
      </c>
      <c r="HF50">
        <v>7.3099999999999997E-3</v>
      </c>
      <c r="HG50">
        <v>8.2799999999999992E-3</v>
      </c>
      <c r="HH50">
        <v>8.3199999999999993E-3</v>
      </c>
      <c r="HI50">
        <v>8.5299999999999994E-3</v>
      </c>
      <c r="HJ50">
        <v>4.4299999999999999E-3</v>
      </c>
      <c r="HK50">
        <v>6.0099999999999997E-3</v>
      </c>
      <c r="HL50">
        <v>6.3800000000000003E-3</v>
      </c>
      <c r="HM50">
        <v>6.1599999999999997E-3</v>
      </c>
      <c r="HN50">
        <v>6.0800000000000003E-3</v>
      </c>
      <c r="HP50">
        <v>4.9500000000000004E-3</v>
      </c>
      <c r="HQ50">
        <v>5.64E-3</v>
      </c>
      <c r="HR50">
        <v>6.6899999999999998E-3</v>
      </c>
      <c r="HS50">
        <v>9.8300000000000002E-3</v>
      </c>
      <c r="HT50">
        <v>5.2500000000000003E-3</v>
      </c>
      <c r="HU50">
        <v>5.13E-3</v>
      </c>
      <c r="HV50">
        <v>6.62E-3</v>
      </c>
      <c r="HX50">
        <v>6.1799999999999997E-3</v>
      </c>
      <c r="HY50">
        <v>5.7499999999999999E-3</v>
      </c>
      <c r="HZ50">
        <v>3.9199999999999999E-3</v>
      </c>
      <c r="IA50">
        <v>6.8399999999999997E-3</v>
      </c>
      <c r="IB50">
        <v>8.5100000000000002E-3</v>
      </c>
      <c r="IC50">
        <v>7.2700000000000004E-3</v>
      </c>
      <c r="ID50">
        <v>5.0699999999999999E-3</v>
      </c>
      <c r="IE50">
        <v>4.7099999999999998E-3</v>
      </c>
      <c r="IF50">
        <v>4.7999999999999996E-3</v>
      </c>
      <c r="IG50">
        <v>5.7400000000000003E-3</v>
      </c>
      <c r="IH50">
        <v>6.1199999999999996E-3</v>
      </c>
      <c r="II50">
        <v>4.5300000000000002E-3</v>
      </c>
      <c r="IJ50">
        <v>5.5999999999999999E-3</v>
      </c>
      <c r="IK50">
        <v>6.1999999999999998E-3</v>
      </c>
      <c r="IL50">
        <v>6.8700000000000002E-3</v>
      </c>
      <c r="IM50">
        <v>7.6499999999999997E-3</v>
      </c>
      <c r="IN50">
        <v>8.2500000000000004E-3</v>
      </c>
      <c r="IO50">
        <v>9.0399999999999994E-3</v>
      </c>
      <c r="IP50">
        <v>1.0370000000000001E-2</v>
      </c>
      <c r="IQ50">
        <v>1.1129999999999999E-2</v>
      </c>
      <c r="IR50">
        <v>1.2279999999999999E-2</v>
      </c>
      <c r="IS50">
        <v>4.8599999999999997E-3</v>
      </c>
      <c r="IT50">
        <v>4.1900000000000001E-3</v>
      </c>
      <c r="IU50">
        <v>4.5399999999999998E-3</v>
      </c>
      <c r="IV50">
        <v>4.3899999999999998E-3</v>
      </c>
      <c r="IW50">
        <v>5.0600000000000003E-3</v>
      </c>
      <c r="IX50">
        <v>3.5000000000000001E-3</v>
      </c>
      <c r="IY50">
        <v>4.4099999999999999E-3</v>
      </c>
      <c r="IZ50">
        <v>4.0400000000000002E-3</v>
      </c>
      <c r="JA50">
        <v>4.5599999999999998E-3</v>
      </c>
      <c r="JB50">
        <v>4.6699999999999997E-3</v>
      </c>
      <c r="JC50">
        <v>5.0200000000000002E-3</v>
      </c>
      <c r="JD50">
        <v>5.3400000000000001E-3</v>
      </c>
      <c r="JE50">
        <v>4.4799999999999996E-3</v>
      </c>
      <c r="JF50">
        <v>6.0099999999999997E-3</v>
      </c>
      <c r="JH50">
        <v>1.0109999999999999E-2</v>
      </c>
      <c r="JI50">
        <v>6.2100000000000002E-3</v>
      </c>
      <c r="JJ50">
        <v>5.5300000000000002E-3</v>
      </c>
      <c r="JK50">
        <v>8.5400000000000007E-3</v>
      </c>
      <c r="JL50">
        <v>8.1899999999999994E-3</v>
      </c>
      <c r="JM50">
        <v>5.5199999999999997E-3</v>
      </c>
      <c r="JN50">
        <v>6.9199999999999999E-3</v>
      </c>
      <c r="JP50">
        <v>4.8599999999999997E-3</v>
      </c>
      <c r="JQ50">
        <v>5.6100000000000004E-3</v>
      </c>
      <c r="JR50">
        <v>5.7800000000000004E-3</v>
      </c>
      <c r="JS50">
        <v>5.2700000000000004E-3</v>
      </c>
      <c r="JT50">
        <v>6.1799999999999997E-3</v>
      </c>
      <c r="JV50">
        <v>5.9800000000000001E-3</v>
      </c>
      <c r="JW50">
        <v>5.8599999999999998E-3</v>
      </c>
      <c r="JX50">
        <v>5.47E-3</v>
      </c>
      <c r="JY50">
        <v>6.5799999999999999E-3</v>
      </c>
      <c r="JZ50">
        <v>6.6899999999999998E-3</v>
      </c>
      <c r="KA50">
        <v>6.45E-3</v>
      </c>
      <c r="KB50">
        <v>5.47E-3</v>
      </c>
      <c r="KC50">
        <v>5.7200000000000003E-3</v>
      </c>
      <c r="KD50">
        <v>6.2100000000000002E-3</v>
      </c>
      <c r="KE50">
        <v>8.1899999999999994E-3</v>
      </c>
      <c r="KF50">
        <v>1.0840000000000001E-2</v>
      </c>
      <c r="KG50">
        <v>1.136E-2</v>
      </c>
      <c r="KH50">
        <v>1.141E-2</v>
      </c>
      <c r="KI50">
        <v>7.1500000000000001E-3</v>
      </c>
      <c r="KJ50">
        <v>7.3299999999999997E-3</v>
      </c>
      <c r="KK50">
        <v>7.2700000000000004E-3</v>
      </c>
      <c r="KL50">
        <v>7.6099999999999996E-3</v>
      </c>
      <c r="KM50">
        <v>7.7000000000000002E-3</v>
      </c>
      <c r="KN50">
        <v>5.1700000000000001E-3</v>
      </c>
      <c r="KO50">
        <v>6.7299999999999999E-3</v>
      </c>
      <c r="KP50">
        <v>7.0699999999999999E-3</v>
      </c>
      <c r="KQ50">
        <v>7.1900000000000002E-3</v>
      </c>
      <c r="KR50">
        <v>7.4900000000000001E-3</v>
      </c>
      <c r="KS50">
        <v>6.0899999999999999E-3</v>
      </c>
      <c r="KT50">
        <v>6.3899999999999998E-3</v>
      </c>
      <c r="KU50">
        <v>6.6600000000000001E-3</v>
      </c>
      <c r="KV50">
        <v>5.2199999999999998E-3</v>
      </c>
      <c r="KW50">
        <v>4.7400000000000003E-3</v>
      </c>
      <c r="KX50">
        <v>1.1129999999999999E-2</v>
      </c>
      <c r="KZ50">
        <v>7.9500000000000005E-3</v>
      </c>
      <c r="LA50">
        <v>5.7099999999999998E-3</v>
      </c>
      <c r="LC50">
        <v>5.6899999999999997E-3</v>
      </c>
      <c r="LD50">
        <v>5.6899999999999997E-3</v>
      </c>
      <c r="LE50">
        <v>9.0100000000000006E-3</v>
      </c>
      <c r="LF50">
        <v>8.2100000000000003E-3</v>
      </c>
      <c r="LG50">
        <v>6.79E-3</v>
      </c>
      <c r="LI50">
        <v>8.9899999999999997E-3</v>
      </c>
      <c r="LJ50">
        <v>9.3399999999999993E-3</v>
      </c>
      <c r="LK50">
        <v>9.4299999999999991E-3</v>
      </c>
      <c r="LL50">
        <v>6.1500000000000001E-3</v>
      </c>
      <c r="LM50">
        <v>4.5700000000000003E-3</v>
      </c>
      <c r="LN50">
        <v>5.8999999999999999E-3</v>
      </c>
      <c r="LO50">
        <v>6.1900000000000002E-3</v>
      </c>
      <c r="LP50">
        <v>5.3400000000000001E-3</v>
      </c>
      <c r="LR50">
        <v>8.8699999999999994E-3</v>
      </c>
      <c r="LS50">
        <v>9.8499999999999994E-3</v>
      </c>
      <c r="LT50">
        <v>5.4099999999999999E-3</v>
      </c>
      <c r="LU50">
        <v>6.9699999999999996E-3</v>
      </c>
      <c r="LV50">
        <v>7.8499999999999993E-3</v>
      </c>
      <c r="LX50">
        <v>5.4999999999999997E-3</v>
      </c>
      <c r="LY50">
        <v>6.79E-3</v>
      </c>
      <c r="LZ50">
        <v>6.8700000000000002E-3</v>
      </c>
      <c r="MA50">
        <v>6.9899999999999997E-3</v>
      </c>
      <c r="MB50">
        <v>4.28E-3</v>
      </c>
      <c r="MC50">
        <v>8.4700000000000001E-3</v>
      </c>
      <c r="MD50">
        <v>9.4800000000000006E-3</v>
      </c>
      <c r="ME50">
        <v>1.1979999999999999E-2</v>
      </c>
      <c r="MF50">
        <v>1.434E-2</v>
      </c>
      <c r="MG50">
        <v>1.312E-2</v>
      </c>
      <c r="MH50">
        <v>5.3E-3</v>
      </c>
      <c r="MI50">
        <v>5.8300000000000001E-3</v>
      </c>
      <c r="MJ50">
        <v>5.8799999999999998E-3</v>
      </c>
      <c r="MK50">
        <v>5.4299999999999999E-3</v>
      </c>
      <c r="ML50">
        <v>6.7299999999999999E-3</v>
      </c>
      <c r="MM50">
        <v>5.79E-3</v>
      </c>
      <c r="MN50">
        <v>5.1799999999999997E-3</v>
      </c>
      <c r="MO50">
        <v>5.5799999999999999E-3</v>
      </c>
      <c r="MP50">
        <v>6.4900000000000001E-3</v>
      </c>
      <c r="MR50">
        <v>5.6800000000000002E-3</v>
      </c>
      <c r="MS50">
        <v>5.8799999999999998E-3</v>
      </c>
      <c r="MT50">
        <v>7.1500000000000001E-3</v>
      </c>
      <c r="MU50">
        <v>4.7499999999999999E-3</v>
      </c>
      <c r="MV50">
        <v>5.2700000000000004E-3</v>
      </c>
      <c r="MW50">
        <v>5.5300000000000002E-3</v>
      </c>
      <c r="MX50">
        <v>5.6699999999999997E-3</v>
      </c>
      <c r="MY50">
        <v>6.1199999999999996E-3</v>
      </c>
      <c r="MZ50">
        <v>6.8799999999999998E-3</v>
      </c>
      <c r="NB50">
        <v>6.0299999999999998E-3</v>
      </c>
      <c r="NC50">
        <v>3.8300000000000001E-3</v>
      </c>
      <c r="ND50">
        <v>1.248E-2</v>
      </c>
      <c r="NE50">
        <v>6.6499999999999997E-3</v>
      </c>
      <c r="NF50">
        <v>7.3000000000000001E-3</v>
      </c>
      <c r="NG50">
        <v>4.7200000000000002E-3</v>
      </c>
      <c r="NH50">
        <v>4.0400000000000002E-3</v>
      </c>
      <c r="NI50">
        <v>4.3299999999999996E-3</v>
      </c>
      <c r="NJ50">
        <v>4.6899999999999997E-3</v>
      </c>
      <c r="NK50">
        <v>4.2700000000000004E-3</v>
      </c>
      <c r="NL50">
        <v>4.4799999999999996E-3</v>
      </c>
      <c r="NM50">
        <v>4.7099999999999998E-3</v>
      </c>
      <c r="NN50">
        <v>4.9500000000000004E-3</v>
      </c>
      <c r="NO50">
        <v>5.11E-3</v>
      </c>
      <c r="NP50">
        <v>4.4799999999999996E-3</v>
      </c>
      <c r="NQ50">
        <v>4.3899999999999998E-3</v>
      </c>
      <c r="NR50">
        <v>4.5900000000000003E-3</v>
      </c>
      <c r="NS50">
        <v>4.7499999999999999E-3</v>
      </c>
      <c r="NT50">
        <v>5.13E-3</v>
      </c>
      <c r="NV50">
        <v>4.5300000000000002E-3</v>
      </c>
      <c r="NW50">
        <v>4.5799999999999999E-3</v>
      </c>
      <c r="NX50">
        <v>4.6600000000000001E-3</v>
      </c>
      <c r="NY50">
        <v>4.7800000000000004E-3</v>
      </c>
      <c r="NZ50">
        <v>4.9699999999999996E-3</v>
      </c>
      <c r="OA50">
        <v>5.1500000000000001E-3</v>
      </c>
      <c r="OB50">
        <v>4.3699999999999998E-3</v>
      </c>
      <c r="OC50">
        <v>4.5599999999999998E-3</v>
      </c>
      <c r="OD50">
        <v>4.64E-3</v>
      </c>
      <c r="OE50">
        <v>4.64E-3</v>
      </c>
      <c r="OF50">
        <v>6.2599999999999999E-3</v>
      </c>
      <c r="OG50">
        <v>4.8399999999999997E-3</v>
      </c>
      <c r="OH50">
        <v>5.1000000000000004E-3</v>
      </c>
      <c r="OI50">
        <v>5.2399999999999999E-3</v>
      </c>
      <c r="OJ50">
        <v>5.4200000000000003E-3</v>
      </c>
      <c r="OK50">
        <v>5.5199999999999997E-3</v>
      </c>
      <c r="OL50">
        <v>5.6899999999999997E-3</v>
      </c>
      <c r="OM50">
        <v>4.9300000000000004E-3</v>
      </c>
      <c r="ON50">
        <v>4.96E-3</v>
      </c>
      <c r="OO50">
        <v>4.9300000000000004E-3</v>
      </c>
      <c r="OP50">
        <v>5.2900000000000004E-3</v>
      </c>
      <c r="OQ50">
        <v>5.47E-3</v>
      </c>
      <c r="OR50">
        <v>5.7800000000000004E-3</v>
      </c>
      <c r="OS50">
        <v>6.3299999999999997E-3</v>
      </c>
      <c r="OT50">
        <v>6.1199999999999996E-3</v>
      </c>
      <c r="OU50">
        <v>6.2500000000000003E-3</v>
      </c>
      <c r="OV50">
        <v>5.5900000000000004E-3</v>
      </c>
      <c r="OW50">
        <v>3.4099999999999998E-3</v>
      </c>
      <c r="OX50">
        <v>4.5999999999999999E-3</v>
      </c>
      <c r="OY50">
        <v>5.13E-3</v>
      </c>
      <c r="OZ50">
        <v>4.8999999999999998E-3</v>
      </c>
      <c r="PA50">
        <v>8.7200000000000003E-3</v>
      </c>
      <c r="PB50">
        <v>9.1500000000000001E-3</v>
      </c>
      <c r="PC50">
        <v>7.5900000000000004E-3</v>
      </c>
      <c r="PD50">
        <v>6.6699999999999997E-3</v>
      </c>
      <c r="PE50">
        <v>6.2700000000000004E-3</v>
      </c>
      <c r="PF50">
        <v>6.0800000000000003E-3</v>
      </c>
      <c r="PH50">
        <v>5.47E-3</v>
      </c>
      <c r="PI50">
        <v>6.9300000000000004E-3</v>
      </c>
      <c r="PJ50">
        <v>6.4599999999999996E-3</v>
      </c>
      <c r="PK50">
        <v>6.0099999999999997E-3</v>
      </c>
      <c r="PM50">
        <v>5.3E-3</v>
      </c>
      <c r="PN50">
        <v>4.8799999999999998E-3</v>
      </c>
      <c r="PO50">
        <v>4.5900000000000003E-3</v>
      </c>
      <c r="PP50">
        <v>4.7699999999999999E-3</v>
      </c>
      <c r="PQ50">
        <v>4.64E-3</v>
      </c>
      <c r="PR50">
        <v>4.13E-3</v>
      </c>
      <c r="PS50">
        <v>5.0099999999999997E-3</v>
      </c>
      <c r="PT50">
        <v>5.0800000000000003E-3</v>
      </c>
      <c r="PU50">
        <v>4.0800000000000003E-3</v>
      </c>
      <c r="PV50">
        <v>3.5400000000000002E-3</v>
      </c>
      <c r="PW50">
        <v>3.7100000000000002E-3</v>
      </c>
      <c r="PX50">
        <v>3.9699999999999996E-3</v>
      </c>
      <c r="PY50">
        <v>4.2599999999999999E-3</v>
      </c>
      <c r="PZ50">
        <v>4.6899999999999997E-3</v>
      </c>
      <c r="QA50">
        <v>3.8999999999999998E-3</v>
      </c>
      <c r="QB50">
        <v>4.2700000000000004E-3</v>
      </c>
      <c r="QC50">
        <v>5.4900000000000001E-3</v>
      </c>
      <c r="QD50">
        <v>5.2500000000000003E-3</v>
      </c>
      <c r="QE50">
        <v>4.4600000000000004E-3</v>
      </c>
      <c r="QF50">
        <v>4.8700000000000002E-3</v>
      </c>
      <c r="QG50">
        <v>6.8700000000000002E-3</v>
      </c>
      <c r="QH50">
        <v>4.7999999999999996E-3</v>
      </c>
      <c r="QI50">
        <v>5.1000000000000004E-3</v>
      </c>
      <c r="QJ50">
        <v>4.9199999999999999E-3</v>
      </c>
      <c r="QK50">
        <v>4.9300000000000004E-3</v>
      </c>
      <c r="QL50">
        <v>4.7699999999999999E-3</v>
      </c>
      <c r="QM50">
        <v>5.3099999999999996E-3</v>
      </c>
      <c r="QN50">
        <v>8.2900000000000005E-3</v>
      </c>
      <c r="QO50">
        <v>5.8700000000000002E-3</v>
      </c>
      <c r="QP50">
        <v>7.4200000000000004E-3</v>
      </c>
      <c r="QQ50">
        <v>7.6600000000000001E-3</v>
      </c>
      <c r="QR50">
        <v>7.9900000000000006E-3</v>
      </c>
      <c r="QS50">
        <v>7.9100000000000004E-3</v>
      </c>
      <c r="QT50">
        <v>5.8399999999999997E-3</v>
      </c>
      <c r="QU50">
        <v>5.8500000000000002E-3</v>
      </c>
      <c r="QV50">
        <v>5.8999999999999999E-3</v>
      </c>
      <c r="QW50">
        <v>5.8999999999999999E-3</v>
      </c>
      <c r="QX50">
        <v>5.4799999999999996E-3</v>
      </c>
      <c r="QY50">
        <v>5.2199999999999998E-3</v>
      </c>
      <c r="QZ50">
        <v>5.6100000000000004E-3</v>
      </c>
      <c r="RA50">
        <v>6.0800000000000003E-3</v>
      </c>
      <c r="RC50">
        <v>6.1000000000000004E-3</v>
      </c>
      <c r="RD50">
        <v>9.1000000000000004E-3</v>
      </c>
      <c r="RE50">
        <v>7.0000000000000001E-3</v>
      </c>
      <c r="RF50">
        <v>7.0299999999999998E-3</v>
      </c>
      <c r="RG50">
        <v>5.0899999999999999E-3</v>
      </c>
      <c r="RH50">
        <v>5.1000000000000004E-3</v>
      </c>
      <c r="RI50">
        <v>7.5500000000000003E-3</v>
      </c>
      <c r="RJ50">
        <v>6.5900000000000004E-3</v>
      </c>
      <c r="RK50">
        <v>6.5100000000000002E-3</v>
      </c>
      <c r="RL50">
        <v>6.1700000000000001E-3</v>
      </c>
      <c r="RM50">
        <v>4.4099999999999999E-3</v>
      </c>
      <c r="RN50">
        <v>4.5199999999999997E-3</v>
      </c>
      <c r="RO50">
        <v>4.5199999999999997E-3</v>
      </c>
      <c r="RP50">
        <v>4.1399999999999996E-3</v>
      </c>
      <c r="RQ50">
        <v>4.4900000000000001E-3</v>
      </c>
      <c r="RR50">
        <v>4.2900000000000004E-3</v>
      </c>
      <c r="RS50">
        <v>4.3899999999999998E-3</v>
      </c>
      <c r="RT50">
        <v>3.7699999999999999E-3</v>
      </c>
      <c r="RU50">
        <v>4.5900000000000003E-3</v>
      </c>
      <c r="RV50">
        <v>4.96E-3</v>
      </c>
      <c r="RW50">
        <v>5.5100000000000001E-3</v>
      </c>
      <c r="RX50">
        <v>5.0600000000000003E-3</v>
      </c>
      <c r="RY50">
        <v>3.5400000000000002E-3</v>
      </c>
      <c r="RZ50">
        <v>4.6800000000000001E-3</v>
      </c>
      <c r="SA50">
        <v>6.11E-3</v>
      </c>
      <c r="SB50">
        <v>5.79E-3</v>
      </c>
      <c r="SC50">
        <v>6.2199999999999998E-3</v>
      </c>
      <c r="SD50">
        <v>6.6400000000000001E-3</v>
      </c>
      <c r="SE50">
        <v>6.0499999999999998E-3</v>
      </c>
      <c r="SF50">
        <v>6.9899999999999997E-3</v>
      </c>
      <c r="SG50">
        <v>8.5699999999999995E-3</v>
      </c>
      <c r="SH50">
        <v>1.094E-2</v>
      </c>
      <c r="SI50">
        <v>5.96E-3</v>
      </c>
      <c r="SJ50">
        <v>4.8199999999999996E-3</v>
      </c>
      <c r="SK50">
        <v>4.3E-3</v>
      </c>
      <c r="SL50">
        <v>4.6699999999999997E-3</v>
      </c>
      <c r="SM50">
        <v>3.82E-3</v>
      </c>
      <c r="SN50">
        <v>4.15E-3</v>
      </c>
      <c r="SO50">
        <v>4.0000000000000001E-3</v>
      </c>
      <c r="SP50">
        <v>5.9199999999999999E-3</v>
      </c>
      <c r="SQ50">
        <v>4.8599999999999997E-3</v>
      </c>
      <c r="SR50">
        <v>5.4999999999999997E-3</v>
      </c>
      <c r="SS50">
        <v>4.5799999999999999E-3</v>
      </c>
      <c r="ST50">
        <v>4.62E-3</v>
      </c>
      <c r="SU50">
        <v>4.79E-3</v>
      </c>
      <c r="SV50">
        <v>4.6600000000000001E-3</v>
      </c>
      <c r="SW50">
        <v>5.0000000000000001E-3</v>
      </c>
      <c r="SX50">
        <v>5.3299999999999997E-3</v>
      </c>
      <c r="SZ50">
        <v>5.5700000000000003E-3</v>
      </c>
      <c r="TA50">
        <v>5.28E-3</v>
      </c>
      <c r="TB50">
        <v>6.0699999999999999E-3</v>
      </c>
      <c r="TC50">
        <v>4.9500000000000004E-3</v>
      </c>
      <c r="TD50">
        <v>4.81E-3</v>
      </c>
      <c r="TE50">
        <v>6.8599999999999998E-3</v>
      </c>
      <c r="TF50">
        <v>5.5900000000000004E-3</v>
      </c>
      <c r="TG50">
        <v>6.1199999999999996E-3</v>
      </c>
      <c r="TH50">
        <v>7.0000000000000001E-3</v>
      </c>
      <c r="TI50">
        <v>4.9399999999999999E-3</v>
      </c>
      <c r="TJ50">
        <v>6.8599999999999998E-3</v>
      </c>
      <c r="TK50">
        <v>4.3299999999999996E-3</v>
      </c>
      <c r="TL50">
        <v>4.0299999999999997E-3</v>
      </c>
      <c r="TM50">
        <v>3.8E-3</v>
      </c>
      <c r="TN50">
        <v>4.9399999999999999E-3</v>
      </c>
      <c r="TO50">
        <v>5.3099999999999996E-3</v>
      </c>
      <c r="TP50">
        <v>4.1399999999999996E-3</v>
      </c>
      <c r="TQ50">
        <v>5.2599999999999999E-3</v>
      </c>
      <c r="TR50">
        <v>5.9300000000000004E-3</v>
      </c>
      <c r="TS50">
        <v>5.8399999999999997E-3</v>
      </c>
      <c r="TT50">
        <v>5.8199999999999997E-3</v>
      </c>
      <c r="TU50">
        <v>5.4400000000000004E-3</v>
      </c>
      <c r="TV50">
        <v>4.5399999999999998E-3</v>
      </c>
      <c r="TW50">
        <v>4.6299999999999996E-3</v>
      </c>
      <c r="TX50">
        <v>4.9699999999999996E-3</v>
      </c>
      <c r="TY50">
        <v>4.9500000000000004E-3</v>
      </c>
      <c r="TZ50">
        <v>5.11E-3</v>
      </c>
      <c r="UA50">
        <v>5.0800000000000003E-3</v>
      </c>
      <c r="UB50">
        <v>4.9100000000000003E-3</v>
      </c>
      <c r="UC50">
        <v>4.6699999999999997E-3</v>
      </c>
      <c r="UD50">
        <v>4.7400000000000003E-3</v>
      </c>
      <c r="UE50">
        <v>4.9199999999999999E-3</v>
      </c>
      <c r="UF50">
        <v>3.8600000000000001E-3</v>
      </c>
      <c r="UG50">
        <v>4.2700000000000004E-3</v>
      </c>
      <c r="UH50">
        <v>5.3499999999999997E-3</v>
      </c>
      <c r="UI50">
        <v>4.5100000000000001E-3</v>
      </c>
      <c r="UJ50">
        <v>5.2599999999999999E-3</v>
      </c>
      <c r="UL50">
        <v>5.2300000000000003E-3</v>
      </c>
      <c r="UM50">
        <v>5.8700000000000002E-3</v>
      </c>
      <c r="UN50">
        <v>4.8500000000000001E-3</v>
      </c>
      <c r="UO50">
        <v>4.9199999999999999E-3</v>
      </c>
      <c r="UQ50">
        <v>4.6800000000000001E-3</v>
      </c>
      <c r="UR50">
        <v>4.5999999999999999E-3</v>
      </c>
      <c r="US50">
        <v>5.0200000000000002E-3</v>
      </c>
      <c r="UT50">
        <v>4.62E-3</v>
      </c>
      <c r="UU50">
        <v>4.79E-3</v>
      </c>
      <c r="UV50">
        <v>5.0299999999999997E-3</v>
      </c>
      <c r="UW50">
        <v>5.9800000000000001E-3</v>
      </c>
      <c r="UX50">
        <v>4.3E-3</v>
      </c>
      <c r="UY50">
        <v>4.6600000000000001E-3</v>
      </c>
      <c r="UZ50">
        <v>5.3899999999999998E-3</v>
      </c>
      <c r="VA50">
        <v>7.0099999999999997E-3</v>
      </c>
      <c r="VB50">
        <v>5.6299999999999996E-3</v>
      </c>
      <c r="VC50">
        <v>5.9699999999999996E-3</v>
      </c>
      <c r="VD50">
        <v>6.9300000000000004E-3</v>
      </c>
      <c r="VE50">
        <v>5.1399999999999996E-3</v>
      </c>
      <c r="VF50">
        <v>7.1199999999999996E-3</v>
      </c>
      <c r="VG50">
        <v>8.2799999999999992E-3</v>
      </c>
      <c r="VH50">
        <v>4.9899999999999996E-3</v>
      </c>
      <c r="VI50">
        <v>5.4900000000000001E-3</v>
      </c>
    </row>
    <row r="51" spans="1:581" x14ac:dyDescent="0.25">
      <c r="A51">
        <v>1400000</v>
      </c>
      <c r="B51">
        <v>4.0099999999999997E-3</v>
      </c>
      <c r="C51">
        <v>4.8900000000000002E-3</v>
      </c>
      <c r="D51">
        <v>4.96E-3</v>
      </c>
      <c r="E51">
        <v>5.7099999999999998E-3</v>
      </c>
      <c r="F51">
        <v>6.0600000000000003E-3</v>
      </c>
      <c r="G51">
        <v>6.5199999999999998E-3</v>
      </c>
      <c r="H51">
        <v>5.0000000000000001E-3</v>
      </c>
      <c r="I51">
        <v>4.8900000000000002E-3</v>
      </c>
      <c r="J51">
        <v>4.8500000000000001E-3</v>
      </c>
      <c r="K51">
        <v>5.0899999999999999E-3</v>
      </c>
      <c r="L51">
        <v>4.9399999999999999E-3</v>
      </c>
      <c r="M51">
        <v>4.81E-3</v>
      </c>
      <c r="O51">
        <v>4.96E-3</v>
      </c>
      <c r="P51">
        <v>4.8599999999999997E-3</v>
      </c>
      <c r="Q51">
        <v>4.8700000000000002E-3</v>
      </c>
      <c r="R51">
        <v>4.7800000000000004E-3</v>
      </c>
      <c r="S51">
        <v>4.62E-3</v>
      </c>
      <c r="T51">
        <v>4.47E-3</v>
      </c>
      <c r="U51">
        <v>6.0499999999999998E-3</v>
      </c>
      <c r="V51">
        <v>4.62E-3</v>
      </c>
      <c r="W51">
        <v>5.8799999999999998E-3</v>
      </c>
      <c r="X51">
        <v>4.3099999999999996E-3</v>
      </c>
      <c r="Y51">
        <v>5.8500000000000002E-3</v>
      </c>
      <c r="Z51">
        <v>3.9399999999999999E-3</v>
      </c>
      <c r="AA51">
        <v>5.3E-3</v>
      </c>
      <c r="AB51">
        <v>6.8300000000000001E-3</v>
      </c>
      <c r="AC51">
        <v>6.9300000000000004E-3</v>
      </c>
      <c r="AD51">
        <v>5.2100000000000002E-3</v>
      </c>
      <c r="AE51">
        <v>5.9199999999999999E-3</v>
      </c>
      <c r="AF51">
        <v>6.1500000000000001E-3</v>
      </c>
      <c r="AG51">
        <v>4.9399999999999999E-3</v>
      </c>
      <c r="AH51">
        <v>4.9399999999999999E-3</v>
      </c>
      <c r="AI51">
        <v>5.1799999999999997E-3</v>
      </c>
      <c r="AJ51">
        <v>4.6499999999999996E-3</v>
      </c>
      <c r="AK51">
        <v>6.0400000000000002E-3</v>
      </c>
      <c r="AL51">
        <v>7.5199999999999998E-3</v>
      </c>
      <c r="AM51">
        <v>4.4999999999999997E-3</v>
      </c>
      <c r="AN51">
        <v>5.45E-3</v>
      </c>
      <c r="AO51">
        <v>1.059E-2</v>
      </c>
      <c r="AP51">
        <v>5.7600000000000004E-3</v>
      </c>
      <c r="AQ51">
        <v>6.1599999999999997E-3</v>
      </c>
      <c r="AR51">
        <v>5.7099999999999998E-3</v>
      </c>
      <c r="AS51">
        <v>6.0000000000000001E-3</v>
      </c>
      <c r="AT51">
        <v>4.7200000000000002E-3</v>
      </c>
      <c r="AU51">
        <v>5.3299999999999997E-3</v>
      </c>
      <c r="AV51">
        <v>5.0000000000000001E-3</v>
      </c>
      <c r="AW51">
        <v>5.45E-3</v>
      </c>
      <c r="AX51">
        <v>5.3699999999999998E-3</v>
      </c>
      <c r="AY51">
        <v>5.13E-3</v>
      </c>
      <c r="BA51">
        <v>5.0000000000000001E-3</v>
      </c>
      <c r="BB51">
        <v>6.1900000000000002E-3</v>
      </c>
      <c r="BC51">
        <v>6.6800000000000002E-3</v>
      </c>
      <c r="BD51">
        <v>6.9899999999999997E-3</v>
      </c>
      <c r="BE51">
        <v>8.26E-3</v>
      </c>
      <c r="BF51">
        <v>9.6299999999999997E-3</v>
      </c>
      <c r="BG51">
        <v>6.3E-3</v>
      </c>
      <c r="BH51">
        <v>5.6800000000000002E-3</v>
      </c>
      <c r="BI51">
        <v>9.5399999999999999E-3</v>
      </c>
      <c r="BJ51">
        <v>6.43E-3</v>
      </c>
      <c r="BK51">
        <v>7.0099999999999997E-3</v>
      </c>
      <c r="BL51">
        <v>7.0899999999999999E-3</v>
      </c>
      <c r="BM51">
        <v>6.7400000000000003E-3</v>
      </c>
      <c r="BN51">
        <v>6.0600000000000003E-3</v>
      </c>
      <c r="BO51">
        <v>7.8300000000000002E-3</v>
      </c>
      <c r="BP51">
        <v>6.7999999999999996E-3</v>
      </c>
      <c r="BQ51">
        <v>5.79E-3</v>
      </c>
      <c r="BR51">
        <v>4.8599999999999997E-3</v>
      </c>
      <c r="BT51">
        <v>7.1300000000000001E-3</v>
      </c>
      <c r="BU51">
        <v>8.6599999999999993E-3</v>
      </c>
      <c r="BV51">
        <v>8.6800000000000002E-3</v>
      </c>
      <c r="BW51">
        <v>8.3599999999999994E-3</v>
      </c>
      <c r="BX51">
        <v>8.1700000000000002E-3</v>
      </c>
      <c r="BY51">
        <v>8.3199999999999993E-3</v>
      </c>
      <c r="CA51">
        <v>7.4799999999999997E-3</v>
      </c>
      <c r="CB51">
        <v>6.1999999999999998E-3</v>
      </c>
      <c r="CC51">
        <v>6.6499999999999997E-3</v>
      </c>
      <c r="CD51">
        <v>5.4099999999999999E-3</v>
      </c>
      <c r="CE51">
        <v>5.4099999999999999E-3</v>
      </c>
      <c r="CF51">
        <v>5.1200000000000004E-3</v>
      </c>
      <c r="CG51">
        <v>4.8199999999999996E-3</v>
      </c>
      <c r="CH51">
        <v>4.5399999999999998E-3</v>
      </c>
      <c r="CI51">
        <v>4.2700000000000004E-3</v>
      </c>
      <c r="CJ51">
        <v>4.0299999999999997E-3</v>
      </c>
      <c r="CK51">
        <v>4.3800000000000002E-3</v>
      </c>
      <c r="CM51">
        <v>5.6100000000000004E-3</v>
      </c>
      <c r="CN51">
        <v>5.9199999999999999E-3</v>
      </c>
      <c r="CO51">
        <v>5.7099999999999998E-3</v>
      </c>
      <c r="CQ51">
        <v>5.3499999999999997E-3</v>
      </c>
      <c r="CR51">
        <v>5.7600000000000004E-3</v>
      </c>
      <c r="CS51">
        <v>6.1599999999999997E-3</v>
      </c>
      <c r="CT51">
        <v>6.5399999999999998E-3</v>
      </c>
      <c r="CU51">
        <v>5.2599999999999999E-3</v>
      </c>
      <c r="CV51">
        <v>5.1200000000000004E-3</v>
      </c>
      <c r="CX51">
        <v>5.4400000000000004E-3</v>
      </c>
      <c r="CY51">
        <v>4.45E-3</v>
      </c>
      <c r="CZ51">
        <v>4.3899999999999998E-3</v>
      </c>
      <c r="DA51">
        <v>4.8999999999999998E-3</v>
      </c>
      <c r="DC51">
        <v>4.7600000000000003E-3</v>
      </c>
      <c r="DD51">
        <v>4.7099999999999998E-3</v>
      </c>
      <c r="DF51">
        <v>6.4999999999999997E-3</v>
      </c>
      <c r="DH51">
        <v>5.7999999999999996E-3</v>
      </c>
      <c r="DI51">
        <v>5.7400000000000003E-3</v>
      </c>
      <c r="DJ51">
        <v>5.8599999999999998E-3</v>
      </c>
      <c r="DK51">
        <v>5.9300000000000004E-3</v>
      </c>
      <c r="DL51">
        <v>6.0299999999999998E-3</v>
      </c>
      <c r="DN51">
        <v>5.2300000000000003E-3</v>
      </c>
      <c r="DP51">
        <v>8.2799999999999992E-3</v>
      </c>
      <c r="DQ51">
        <v>8.0800000000000004E-3</v>
      </c>
      <c r="DR51">
        <v>5.4599999999999996E-3</v>
      </c>
      <c r="DS51">
        <v>5.79E-3</v>
      </c>
      <c r="DT51">
        <v>5.6699999999999997E-3</v>
      </c>
      <c r="DV51">
        <v>8.5100000000000002E-3</v>
      </c>
      <c r="DW51">
        <v>5.7999999999999996E-3</v>
      </c>
      <c r="DY51">
        <v>9.0699999999999999E-3</v>
      </c>
      <c r="DZ51">
        <v>8.6800000000000002E-3</v>
      </c>
      <c r="EA51">
        <v>5.0299999999999997E-3</v>
      </c>
      <c r="EB51">
        <v>4.9800000000000001E-3</v>
      </c>
      <c r="EC51">
        <v>4.6100000000000004E-3</v>
      </c>
      <c r="EF51">
        <v>1.081E-2</v>
      </c>
      <c r="EI51">
        <v>5.9699999999999996E-3</v>
      </c>
      <c r="EJ51">
        <v>5.4099999999999999E-3</v>
      </c>
      <c r="EK51">
        <v>5.4400000000000004E-3</v>
      </c>
      <c r="EL51">
        <v>5.7600000000000004E-3</v>
      </c>
      <c r="EM51">
        <v>6.0800000000000003E-3</v>
      </c>
      <c r="EN51">
        <v>6.2100000000000002E-3</v>
      </c>
      <c r="EO51">
        <v>6.2599999999999999E-3</v>
      </c>
      <c r="EP51">
        <v>6.6299999999999996E-3</v>
      </c>
      <c r="EQ51">
        <v>6.6899999999999998E-3</v>
      </c>
      <c r="ER51">
        <v>5.1000000000000004E-3</v>
      </c>
      <c r="ES51">
        <v>5.0299999999999997E-3</v>
      </c>
      <c r="ET51">
        <v>4.96E-3</v>
      </c>
      <c r="EU51">
        <v>9.5499999999999995E-3</v>
      </c>
      <c r="EV51">
        <v>8.8400000000000006E-3</v>
      </c>
      <c r="EW51">
        <v>8.3300000000000006E-3</v>
      </c>
      <c r="EX51">
        <v>8.5299999999999994E-3</v>
      </c>
      <c r="EY51">
        <v>6.6699999999999997E-3</v>
      </c>
      <c r="EZ51">
        <v>6.8700000000000002E-3</v>
      </c>
      <c r="FA51">
        <v>5.6600000000000001E-3</v>
      </c>
      <c r="FB51">
        <v>6.1900000000000002E-3</v>
      </c>
      <c r="FC51">
        <v>5.28E-3</v>
      </c>
      <c r="FD51">
        <v>5.1999999999999998E-3</v>
      </c>
      <c r="FE51">
        <v>6.1000000000000004E-3</v>
      </c>
      <c r="FG51">
        <v>8.2100000000000003E-3</v>
      </c>
      <c r="FH51">
        <v>8.4499999999999992E-3</v>
      </c>
      <c r="FI51">
        <v>8.1700000000000002E-3</v>
      </c>
      <c r="FJ51">
        <v>8.2299999999999995E-3</v>
      </c>
      <c r="FK51">
        <v>7.3299999999999997E-3</v>
      </c>
      <c r="FL51">
        <v>4.7999999999999996E-3</v>
      </c>
      <c r="FO51">
        <v>5.2399999999999999E-3</v>
      </c>
      <c r="FP51">
        <v>4.8199999999999996E-3</v>
      </c>
      <c r="FQ51">
        <v>6.2300000000000003E-3</v>
      </c>
      <c r="FR51">
        <v>6.3299999999999997E-3</v>
      </c>
      <c r="FS51">
        <v>6.6800000000000002E-3</v>
      </c>
      <c r="FT51">
        <v>6.45E-3</v>
      </c>
      <c r="FU51">
        <v>6.4200000000000004E-3</v>
      </c>
      <c r="FV51">
        <v>6.4200000000000004E-3</v>
      </c>
      <c r="FW51">
        <v>6.2500000000000003E-3</v>
      </c>
      <c r="FX51">
        <v>6.45E-3</v>
      </c>
      <c r="FY51">
        <v>6.8500000000000002E-3</v>
      </c>
      <c r="FZ51">
        <v>6.6899999999999998E-3</v>
      </c>
      <c r="GA51">
        <v>7.0600000000000003E-3</v>
      </c>
      <c r="GB51">
        <v>6.8199999999999997E-3</v>
      </c>
      <c r="GC51">
        <v>7.2899999999999996E-3</v>
      </c>
      <c r="GD51">
        <v>6.8500000000000002E-3</v>
      </c>
      <c r="GE51">
        <v>7.3499999999999998E-3</v>
      </c>
      <c r="GF51">
        <v>6.4099999999999999E-3</v>
      </c>
      <c r="GG51">
        <v>6.4900000000000001E-3</v>
      </c>
      <c r="GH51">
        <v>6.6E-3</v>
      </c>
      <c r="GI51">
        <v>7.3400000000000002E-3</v>
      </c>
      <c r="GK51">
        <v>7.6499999999999997E-3</v>
      </c>
      <c r="GL51">
        <v>7.8499999999999993E-3</v>
      </c>
      <c r="GM51">
        <v>6.9899999999999997E-3</v>
      </c>
      <c r="GO51">
        <v>6.6400000000000001E-3</v>
      </c>
      <c r="GP51">
        <v>5.7000000000000002E-3</v>
      </c>
      <c r="GQ51">
        <v>6.0699999999999999E-3</v>
      </c>
      <c r="GR51">
        <v>6.4000000000000003E-3</v>
      </c>
      <c r="GS51">
        <v>5.5700000000000003E-3</v>
      </c>
      <c r="GT51">
        <v>6.1199999999999996E-3</v>
      </c>
      <c r="GU51">
        <v>5.6899999999999997E-3</v>
      </c>
      <c r="GW51">
        <v>7.7600000000000004E-3</v>
      </c>
      <c r="GX51">
        <v>7.3800000000000003E-3</v>
      </c>
      <c r="GY51">
        <v>7.0600000000000003E-3</v>
      </c>
      <c r="GZ51">
        <v>6.4099999999999999E-3</v>
      </c>
      <c r="HB51">
        <v>4.7800000000000004E-3</v>
      </c>
      <c r="HE51">
        <v>5.9500000000000004E-3</v>
      </c>
      <c r="HF51">
        <v>7.4099999999999999E-3</v>
      </c>
      <c r="HG51">
        <v>8.2400000000000008E-3</v>
      </c>
      <c r="HH51">
        <v>8.26E-3</v>
      </c>
      <c r="HI51">
        <v>8.4700000000000001E-3</v>
      </c>
      <c r="HJ51">
        <v>4.4099999999999999E-3</v>
      </c>
      <c r="HK51">
        <v>5.9100000000000003E-3</v>
      </c>
      <c r="HL51">
        <v>6.2700000000000004E-3</v>
      </c>
      <c r="HM51">
        <v>6.0800000000000003E-3</v>
      </c>
      <c r="HN51">
        <v>5.9899999999999997E-3</v>
      </c>
      <c r="HO51">
        <v>5.5999999999999999E-3</v>
      </c>
      <c r="HP51">
        <v>4.9199999999999999E-3</v>
      </c>
      <c r="HQ51">
        <v>5.5300000000000002E-3</v>
      </c>
      <c r="HR51">
        <v>6.5100000000000002E-3</v>
      </c>
      <c r="HS51">
        <v>9.7300000000000008E-3</v>
      </c>
      <c r="HT51">
        <v>5.1399999999999996E-3</v>
      </c>
      <c r="HU51">
        <v>5.0899999999999999E-3</v>
      </c>
      <c r="HV51">
        <v>6.5300000000000002E-3</v>
      </c>
      <c r="HW51">
        <v>5.28E-3</v>
      </c>
      <c r="HX51">
        <v>6.0099999999999997E-3</v>
      </c>
      <c r="HY51">
        <v>5.6800000000000002E-3</v>
      </c>
      <c r="HZ51">
        <v>3.9100000000000003E-3</v>
      </c>
      <c r="IA51">
        <v>6.7799999999999996E-3</v>
      </c>
      <c r="IB51">
        <v>8.3999999999999995E-3</v>
      </c>
      <c r="IC51">
        <v>7.2100000000000003E-3</v>
      </c>
      <c r="IE51">
        <v>4.64E-3</v>
      </c>
      <c r="IF51">
        <v>4.7200000000000002E-3</v>
      </c>
      <c r="IG51">
        <v>5.6899999999999997E-3</v>
      </c>
      <c r="IH51">
        <v>6.0299999999999998E-3</v>
      </c>
      <c r="II51">
        <v>4.4900000000000001E-3</v>
      </c>
      <c r="IJ51">
        <v>5.5500000000000002E-3</v>
      </c>
      <c r="IK51">
        <v>6.1500000000000001E-3</v>
      </c>
      <c r="IL51">
        <v>6.7999999999999996E-3</v>
      </c>
      <c r="IM51">
        <v>7.6E-3</v>
      </c>
      <c r="IN51">
        <v>8.1600000000000006E-3</v>
      </c>
      <c r="IO51">
        <v>8.9599999999999992E-3</v>
      </c>
      <c r="IP51">
        <v>1.023E-2</v>
      </c>
      <c r="IQ51">
        <v>1.1010000000000001E-2</v>
      </c>
      <c r="IR51">
        <v>1.209E-2</v>
      </c>
      <c r="IS51">
        <v>4.8799999999999998E-3</v>
      </c>
      <c r="IT51">
        <v>4.1099999999999999E-3</v>
      </c>
      <c r="IU51">
        <v>4.45E-3</v>
      </c>
      <c r="IV51">
        <v>4.3699999999999998E-3</v>
      </c>
      <c r="IW51">
        <v>5.0099999999999997E-3</v>
      </c>
      <c r="IX51">
        <v>3.48E-3</v>
      </c>
      <c r="IY51">
        <v>4.3899999999999998E-3</v>
      </c>
      <c r="IZ51">
        <v>4.0299999999999997E-3</v>
      </c>
      <c r="JA51">
        <v>4.5399999999999998E-3</v>
      </c>
      <c r="JB51">
        <v>4.6499999999999996E-3</v>
      </c>
      <c r="JC51">
        <v>4.9899999999999996E-3</v>
      </c>
      <c r="JD51">
        <v>5.3099999999999996E-3</v>
      </c>
      <c r="JF51">
        <v>6.0800000000000003E-3</v>
      </c>
      <c r="JH51">
        <v>9.9399999999999992E-3</v>
      </c>
      <c r="JI51">
        <v>6.1000000000000004E-3</v>
      </c>
      <c r="JJ51">
        <v>5.4799999999999996E-3</v>
      </c>
      <c r="JK51">
        <v>8.43E-3</v>
      </c>
      <c r="JL51">
        <v>8.0700000000000008E-3</v>
      </c>
      <c r="JM51">
        <v>5.45E-3</v>
      </c>
      <c r="JN51">
        <v>6.77E-3</v>
      </c>
      <c r="JP51">
        <v>4.7800000000000004E-3</v>
      </c>
      <c r="JQ51">
        <v>5.5900000000000004E-3</v>
      </c>
      <c r="JR51">
        <v>5.7400000000000003E-3</v>
      </c>
      <c r="JS51">
        <v>5.2399999999999999E-3</v>
      </c>
      <c r="JU51">
        <v>7.7000000000000002E-3</v>
      </c>
      <c r="JV51">
        <v>6.0699999999999999E-3</v>
      </c>
      <c r="JW51">
        <v>5.7999999999999996E-3</v>
      </c>
      <c r="JX51">
        <v>5.4299999999999999E-3</v>
      </c>
      <c r="JY51">
        <v>6.5199999999999998E-3</v>
      </c>
      <c r="JZ51">
        <v>6.6E-3</v>
      </c>
      <c r="KA51">
        <v>6.3600000000000002E-3</v>
      </c>
      <c r="KB51">
        <v>5.45E-3</v>
      </c>
      <c r="KC51">
        <v>5.6800000000000002E-3</v>
      </c>
      <c r="KD51">
        <v>6.1700000000000001E-3</v>
      </c>
      <c r="KE51">
        <v>8.2000000000000007E-3</v>
      </c>
      <c r="KF51">
        <v>1.0840000000000001E-2</v>
      </c>
      <c r="KG51">
        <v>1.1299999999999999E-2</v>
      </c>
      <c r="KH51">
        <v>1.136E-2</v>
      </c>
      <c r="KI51">
        <v>7.0499999999999998E-3</v>
      </c>
      <c r="KJ51">
        <v>7.2100000000000003E-3</v>
      </c>
      <c r="KK51">
        <v>7.1900000000000002E-3</v>
      </c>
      <c r="KL51">
        <v>7.4999999999999997E-3</v>
      </c>
      <c r="KM51">
        <v>7.6099999999999996E-3</v>
      </c>
      <c r="KN51">
        <v>5.2900000000000004E-3</v>
      </c>
      <c r="KO51">
        <v>6.77E-3</v>
      </c>
      <c r="KP51">
        <v>6.9899999999999997E-3</v>
      </c>
      <c r="KQ51">
        <v>7.1199999999999996E-3</v>
      </c>
      <c r="KR51">
        <v>7.3800000000000003E-3</v>
      </c>
      <c r="KS51">
        <v>6.11E-3</v>
      </c>
      <c r="KT51">
        <v>6.4099999999999999E-3</v>
      </c>
      <c r="KU51">
        <v>6.6899999999999998E-3</v>
      </c>
      <c r="KV51">
        <v>5.3E-3</v>
      </c>
      <c r="KW51">
        <v>4.7499999999999999E-3</v>
      </c>
      <c r="KX51">
        <v>1.1039999999999999E-2</v>
      </c>
      <c r="KY51">
        <v>6.9800000000000001E-3</v>
      </c>
      <c r="KZ51">
        <v>7.9799999999999992E-3</v>
      </c>
      <c r="LA51">
        <v>5.6499999999999996E-3</v>
      </c>
      <c r="LB51">
        <v>5.5399999999999998E-3</v>
      </c>
      <c r="LC51">
        <v>5.6299999999999996E-3</v>
      </c>
      <c r="LD51">
        <v>5.6299999999999996E-3</v>
      </c>
      <c r="LE51">
        <v>8.9200000000000008E-3</v>
      </c>
      <c r="LF51">
        <v>8.0999999999999996E-3</v>
      </c>
      <c r="LG51">
        <v>6.6899999999999998E-3</v>
      </c>
      <c r="LI51">
        <v>8.8999999999999999E-3</v>
      </c>
      <c r="LJ51">
        <v>9.2399999999999999E-3</v>
      </c>
      <c r="LK51">
        <v>9.3799999999999994E-3</v>
      </c>
      <c r="LL51">
        <v>6.0499999999999998E-3</v>
      </c>
      <c r="LM51">
        <v>4.5100000000000001E-3</v>
      </c>
      <c r="LN51">
        <v>5.7600000000000004E-3</v>
      </c>
      <c r="LO51">
        <v>6.0400000000000002E-3</v>
      </c>
      <c r="LP51">
        <v>5.2300000000000003E-3</v>
      </c>
      <c r="LR51">
        <v>8.7500000000000008E-3</v>
      </c>
      <c r="LS51">
        <v>9.7300000000000008E-3</v>
      </c>
      <c r="LT51">
        <v>5.3400000000000001E-3</v>
      </c>
      <c r="LU51">
        <v>6.79E-3</v>
      </c>
      <c r="LV51">
        <v>7.62E-3</v>
      </c>
      <c r="LW51">
        <v>4.79E-3</v>
      </c>
      <c r="LX51">
        <v>5.4900000000000001E-3</v>
      </c>
      <c r="LY51">
        <v>6.7099999999999998E-3</v>
      </c>
      <c r="LZ51">
        <v>6.79E-3</v>
      </c>
      <c r="MA51">
        <v>6.9199999999999999E-3</v>
      </c>
      <c r="MB51">
        <v>4.3099999999999996E-3</v>
      </c>
      <c r="MC51">
        <v>8.3899999999999999E-3</v>
      </c>
      <c r="MD51">
        <v>9.4000000000000004E-3</v>
      </c>
      <c r="ME51">
        <v>1.183E-2</v>
      </c>
      <c r="MF51">
        <v>1.4160000000000001E-2</v>
      </c>
      <c r="MG51">
        <v>1.302E-2</v>
      </c>
      <c r="MH51">
        <v>5.2100000000000002E-3</v>
      </c>
      <c r="MI51">
        <v>5.7000000000000002E-3</v>
      </c>
      <c r="MJ51">
        <v>5.7499999999999999E-3</v>
      </c>
      <c r="MK51">
        <v>5.3099999999999996E-3</v>
      </c>
      <c r="ML51">
        <v>6.5700000000000003E-3</v>
      </c>
      <c r="MM51">
        <v>5.6499999999999996E-3</v>
      </c>
      <c r="MN51">
        <v>5.1500000000000001E-3</v>
      </c>
      <c r="MO51">
        <v>5.5100000000000001E-3</v>
      </c>
      <c r="MP51">
        <v>6.4599999999999996E-3</v>
      </c>
      <c r="MQ51">
        <v>4.2300000000000003E-3</v>
      </c>
      <c r="MR51">
        <v>5.6100000000000004E-3</v>
      </c>
      <c r="MS51">
        <v>5.7999999999999996E-3</v>
      </c>
      <c r="MT51">
        <v>7.0899999999999999E-3</v>
      </c>
      <c r="MU51">
        <v>4.7299999999999998E-3</v>
      </c>
      <c r="MV51">
        <v>5.2300000000000003E-3</v>
      </c>
      <c r="MW51">
        <v>5.4900000000000001E-3</v>
      </c>
      <c r="MX51">
        <v>5.6100000000000004E-3</v>
      </c>
      <c r="MY51">
        <v>6.0600000000000003E-3</v>
      </c>
      <c r="NA51">
        <v>6.1000000000000004E-3</v>
      </c>
      <c r="NB51">
        <v>5.9699999999999996E-3</v>
      </c>
      <c r="NC51">
        <v>3.7599999999999999E-3</v>
      </c>
      <c r="ND51">
        <v>1.2409999999999999E-2</v>
      </c>
      <c r="NE51">
        <v>6.5799999999999999E-3</v>
      </c>
      <c r="NF51">
        <v>7.2199999999999999E-3</v>
      </c>
      <c r="NG51">
        <v>4.6699999999999997E-3</v>
      </c>
      <c r="NH51">
        <v>4.0000000000000001E-3</v>
      </c>
      <c r="NI51">
        <v>4.2900000000000004E-3</v>
      </c>
      <c r="NJ51">
        <v>4.6499999999999996E-3</v>
      </c>
      <c r="NK51">
        <v>4.2300000000000003E-3</v>
      </c>
      <c r="NL51">
        <v>4.4400000000000004E-3</v>
      </c>
      <c r="NM51">
        <v>4.6699999999999997E-3</v>
      </c>
      <c r="NN51">
        <v>4.8900000000000002E-3</v>
      </c>
      <c r="NO51">
        <v>5.0600000000000003E-3</v>
      </c>
      <c r="NP51">
        <v>4.47E-3</v>
      </c>
      <c r="NQ51">
        <v>4.3499999999999997E-3</v>
      </c>
      <c r="NR51">
        <v>4.5399999999999998E-3</v>
      </c>
      <c r="NS51">
        <v>4.7000000000000002E-3</v>
      </c>
      <c r="NT51">
        <v>5.0899999999999999E-3</v>
      </c>
      <c r="NU51">
        <v>4.28E-3</v>
      </c>
      <c r="NV51">
        <v>4.4900000000000001E-3</v>
      </c>
      <c r="NW51">
        <v>4.5500000000000002E-3</v>
      </c>
      <c r="NX51">
        <v>4.62E-3</v>
      </c>
      <c r="NY51">
        <v>4.7400000000000003E-3</v>
      </c>
      <c r="NZ51">
        <v>4.9199999999999999E-3</v>
      </c>
      <c r="OA51">
        <v>5.11E-3</v>
      </c>
      <c r="OB51">
        <v>4.3400000000000001E-3</v>
      </c>
      <c r="OC51">
        <v>4.5399999999999998E-3</v>
      </c>
      <c r="OD51">
        <v>4.5999999999999999E-3</v>
      </c>
      <c r="OE51">
        <v>4.5999999999999999E-3</v>
      </c>
      <c r="OF51">
        <v>6.1900000000000002E-3</v>
      </c>
      <c r="OG51">
        <v>4.81E-3</v>
      </c>
      <c r="OH51">
        <v>5.0499999999999998E-3</v>
      </c>
      <c r="OI51">
        <v>5.1799999999999997E-3</v>
      </c>
      <c r="OJ51">
        <v>5.3699999999999998E-3</v>
      </c>
      <c r="OK51">
        <v>5.47E-3</v>
      </c>
      <c r="OL51">
        <v>5.6299999999999996E-3</v>
      </c>
      <c r="OM51">
        <v>5.0299999999999997E-3</v>
      </c>
      <c r="ON51">
        <v>4.9899999999999996E-3</v>
      </c>
      <c r="OO51">
        <v>4.8900000000000002E-3</v>
      </c>
      <c r="OP51">
        <v>5.2500000000000003E-3</v>
      </c>
      <c r="OQ51">
        <v>5.4099999999999999E-3</v>
      </c>
      <c r="OR51">
        <v>5.7200000000000003E-3</v>
      </c>
      <c r="OS51">
        <v>6.2700000000000004E-3</v>
      </c>
      <c r="OT51">
        <v>6.0800000000000003E-3</v>
      </c>
      <c r="OU51">
        <v>6.2500000000000003E-3</v>
      </c>
      <c r="OV51">
        <v>5.5199999999999997E-3</v>
      </c>
      <c r="OW51">
        <v>3.5100000000000001E-3</v>
      </c>
      <c r="OX51">
        <v>4.7200000000000002E-3</v>
      </c>
      <c r="OY51">
        <v>5.2100000000000002E-3</v>
      </c>
      <c r="OZ51">
        <v>4.9399999999999999E-3</v>
      </c>
      <c r="PA51">
        <v>8.6899999999999998E-3</v>
      </c>
      <c r="PB51">
        <v>9.1199999999999996E-3</v>
      </c>
      <c r="PD51">
        <v>6.6299999999999996E-3</v>
      </c>
      <c r="PE51">
        <v>6.2300000000000003E-3</v>
      </c>
      <c r="PF51">
        <v>6.0699999999999999E-3</v>
      </c>
      <c r="PG51">
        <v>5.1700000000000001E-3</v>
      </c>
      <c r="PH51">
        <v>5.45E-3</v>
      </c>
      <c r="PI51">
        <v>6.8799999999999998E-3</v>
      </c>
      <c r="PJ51">
        <v>6.4200000000000004E-3</v>
      </c>
      <c r="PL51">
        <v>5.9300000000000004E-3</v>
      </c>
      <c r="PM51">
        <v>5.2900000000000004E-3</v>
      </c>
      <c r="PN51">
        <v>4.8599999999999997E-3</v>
      </c>
      <c r="PO51">
        <v>4.5399999999999998E-3</v>
      </c>
      <c r="PP51">
        <v>4.7099999999999998E-3</v>
      </c>
      <c r="PQ51">
        <v>4.6899999999999997E-3</v>
      </c>
      <c r="PR51">
        <v>4.15E-3</v>
      </c>
      <c r="PS51">
        <v>4.96E-3</v>
      </c>
      <c r="PT51">
        <v>5.0299999999999997E-3</v>
      </c>
      <c r="PU51">
        <v>4.1200000000000004E-3</v>
      </c>
      <c r="PV51">
        <v>3.46E-3</v>
      </c>
      <c r="PW51">
        <v>3.64E-3</v>
      </c>
      <c r="PX51">
        <v>3.8800000000000002E-3</v>
      </c>
      <c r="PY51">
        <v>4.13E-3</v>
      </c>
      <c r="PZ51">
        <v>4.5399999999999998E-3</v>
      </c>
      <c r="QA51">
        <v>3.8999999999999998E-3</v>
      </c>
      <c r="QC51">
        <v>5.4599999999999996E-3</v>
      </c>
      <c r="QD51">
        <v>5.2599999999999999E-3</v>
      </c>
      <c r="QE51">
        <v>4.4600000000000004E-3</v>
      </c>
      <c r="QF51">
        <v>4.8700000000000002E-3</v>
      </c>
      <c r="QG51">
        <v>7.26E-3</v>
      </c>
      <c r="QH51">
        <v>4.7999999999999996E-3</v>
      </c>
      <c r="QI51">
        <v>5.1000000000000004E-3</v>
      </c>
      <c r="QJ51">
        <v>4.9100000000000003E-3</v>
      </c>
      <c r="QK51">
        <v>4.9199999999999999E-3</v>
      </c>
      <c r="QL51">
        <v>4.7699999999999999E-3</v>
      </c>
      <c r="QM51">
        <v>5.3E-3</v>
      </c>
      <c r="QN51">
        <v>8.2900000000000005E-3</v>
      </c>
      <c r="QO51">
        <v>5.8999999999999999E-3</v>
      </c>
      <c r="QQ51">
        <v>7.6499999999999997E-3</v>
      </c>
      <c r="QR51">
        <v>7.9399999999999991E-3</v>
      </c>
      <c r="QS51">
        <v>7.8700000000000003E-3</v>
      </c>
      <c r="QT51">
        <v>5.7999999999999996E-3</v>
      </c>
      <c r="QU51">
        <v>5.8100000000000001E-3</v>
      </c>
      <c r="QV51">
        <v>5.8599999999999998E-3</v>
      </c>
      <c r="QX51">
        <v>5.4400000000000004E-3</v>
      </c>
      <c r="QY51">
        <v>5.1900000000000002E-3</v>
      </c>
      <c r="RA51">
        <v>5.9899999999999997E-3</v>
      </c>
      <c r="RB51">
        <v>7.0899999999999999E-3</v>
      </c>
      <c r="RC51">
        <v>6.0099999999999997E-3</v>
      </c>
      <c r="RD51">
        <v>8.8400000000000006E-3</v>
      </c>
      <c r="RE51">
        <v>6.8199999999999997E-3</v>
      </c>
      <c r="RF51">
        <v>6.9300000000000004E-3</v>
      </c>
      <c r="RG51">
        <v>5.0299999999999997E-3</v>
      </c>
      <c r="RH51">
        <v>5.0800000000000003E-3</v>
      </c>
      <c r="RI51">
        <v>7.4599999999999996E-3</v>
      </c>
      <c r="RJ51">
        <v>6.5399999999999998E-3</v>
      </c>
      <c r="RK51">
        <v>6.4099999999999999E-3</v>
      </c>
      <c r="RL51">
        <v>6.0499999999999998E-3</v>
      </c>
      <c r="RM51">
        <v>4.3800000000000002E-3</v>
      </c>
      <c r="RN51">
        <v>4.4900000000000001E-3</v>
      </c>
      <c r="RO51">
        <v>4.4900000000000001E-3</v>
      </c>
      <c r="RP51">
        <v>4.1200000000000004E-3</v>
      </c>
      <c r="RQ51">
        <v>4.4600000000000004E-3</v>
      </c>
      <c r="RR51">
        <v>4.2700000000000004E-3</v>
      </c>
      <c r="RS51">
        <v>4.3699999999999998E-3</v>
      </c>
      <c r="RT51">
        <v>3.7599999999999999E-3</v>
      </c>
      <c r="RU51">
        <v>4.5900000000000003E-3</v>
      </c>
      <c r="RV51">
        <v>4.9300000000000004E-3</v>
      </c>
      <c r="RW51">
        <v>5.47E-3</v>
      </c>
      <c r="RX51">
        <v>5.0400000000000002E-3</v>
      </c>
      <c r="RY51">
        <v>3.5400000000000002E-3</v>
      </c>
      <c r="RZ51">
        <v>4.5900000000000003E-3</v>
      </c>
      <c r="SA51">
        <v>5.96E-3</v>
      </c>
      <c r="SB51">
        <v>5.64E-3</v>
      </c>
      <c r="SC51">
        <v>6.1700000000000001E-3</v>
      </c>
      <c r="SD51">
        <v>6.5900000000000004E-3</v>
      </c>
      <c r="SE51">
        <v>6.0200000000000002E-3</v>
      </c>
      <c r="SF51">
        <v>7.0099999999999997E-3</v>
      </c>
      <c r="SG51">
        <v>8.5000000000000006E-3</v>
      </c>
      <c r="SH51">
        <v>1.0869999999999999E-2</v>
      </c>
      <c r="SI51">
        <v>5.8999999999999999E-3</v>
      </c>
      <c r="SJ51">
        <v>4.7999999999999996E-3</v>
      </c>
      <c r="SK51">
        <v>4.2700000000000004E-3</v>
      </c>
      <c r="SL51">
        <v>4.64E-3</v>
      </c>
      <c r="SM51">
        <v>3.79E-3</v>
      </c>
      <c r="SN51">
        <v>4.1399999999999996E-3</v>
      </c>
      <c r="SO51">
        <v>3.98E-3</v>
      </c>
      <c r="SQ51">
        <v>4.8300000000000001E-3</v>
      </c>
      <c r="SR51">
        <v>5.4799999999999996E-3</v>
      </c>
      <c r="SS51">
        <v>4.5799999999999999E-3</v>
      </c>
      <c r="ST51">
        <v>4.6100000000000004E-3</v>
      </c>
      <c r="SU51">
        <v>4.7999999999999996E-3</v>
      </c>
      <c r="SV51">
        <v>4.6699999999999997E-3</v>
      </c>
      <c r="SW51">
        <v>5.0200000000000002E-3</v>
      </c>
      <c r="SY51">
        <v>4.5700000000000003E-3</v>
      </c>
      <c r="SZ51">
        <v>5.5399999999999998E-3</v>
      </c>
      <c r="TA51">
        <v>5.2500000000000003E-3</v>
      </c>
      <c r="TB51">
        <v>6.0600000000000003E-3</v>
      </c>
      <c r="TC51">
        <v>4.9399999999999999E-3</v>
      </c>
      <c r="TD51">
        <v>4.7800000000000004E-3</v>
      </c>
      <c r="TE51">
        <v>6.8100000000000001E-3</v>
      </c>
      <c r="TF51">
        <v>5.5300000000000002E-3</v>
      </c>
      <c r="TG51">
        <v>6.1000000000000004E-3</v>
      </c>
      <c r="TH51">
        <v>6.96E-3</v>
      </c>
      <c r="TI51">
        <v>4.9500000000000004E-3</v>
      </c>
      <c r="TJ51">
        <v>6.8399999999999997E-3</v>
      </c>
      <c r="TK51">
        <v>4.3E-3</v>
      </c>
      <c r="TL51">
        <v>4.0200000000000001E-3</v>
      </c>
      <c r="TM51">
        <v>3.8E-3</v>
      </c>
      <c r="TN51">
        <v>4.9100000000000003E-3</v>
      </c>
      <c r="TO51">
        <v>5.3299999999999997E-3</v>
      </c>
      <c r="TP51">
        <v>4.1399999999999996E-3</v>
      </c>
      <c r="TQ51">
        <v>5.2500000000000003E-3</v>
      </c>
      <c r="TR51">
        <v>5.9100000000000003E-3</v>
      </c>
      <c r="TS51">
        <v>5.79E-3</v>
      </c>
      <c r="TT51">
        <v>5.7600000000000004E-3</v>
      </c>
      <c r="TU51">
        <v>5.3899999999999998E-3</v>
      </c>
      <c r="TV51">
        <v>4.4799999999999996E-3</v>
      </c>
      <c r="TW51">
        <v>4.62E-3</v>
      </c>
      <c r="TX51">
        <v>4.9699999999999996E-3</v>
      </c>
      <c r="TZ51">
        <v>5.11E-3</v>
      </c>
      <c r="UA51">
        <v>5.1000000000000004E-3</v>
      </c>
      <c r="UB51">
        <v>4.9199999999999999E-3</v>
      </c>
      <c r="UC51">
        <v>4.6699999999999997E-3</v>
      </c>
      <c r="UD51">
        <v>4.7299999999999998E-3</v>
      </c>
      <c r="UE51">
        <v>4.9199999999999999E-3</v>
      </c>
      <c r="UG51">
        <v>4.2700000000000004E-3</v>
      </c>
      <c r="UH51">
        <v>5.3299999999999997E-3</v>
      </c>
      <c r="UJ51">
        <v>5.2500000000000003E-3</v>
      </c>
      <c r="UK51">
        <v>5.0499999999999998E-3</v>
      </c>
      <c r="UL51">
        <v>5.2300000000000003E-3</v>
      </c>
      <c r="UM51">
        <v>5.8500000000000002E-3</v>
      </c>
      <c r="UN51">
        <v>4.8399999999999997E-3</v>
      </c>
      <c r="UO51">
        <v>4.9100000000000003E-3</v>
      </c>
      <c r="UP51">
        <v>6.4599999999999996E-3</v>
      </c>
      <c r="UQ51">
        <v>4.6800000000000001E-3</v>
      </c>
      <c r="UR51">
        <v>4.5999999999999999E-3</v>
      </c>
      <c r="US51">
        <v>5.0099999999999997E-3</v>
      </c>
      <c r="UT51">
        <v>4.62E-3</v>
      </c>
      <c r="UU51">
        <v>4.79E-3</v>
      </c>
      <c r="UV51">
        <v>5.0299999999999997E-3</v>
      </c>
      <c r="UW51">
        <v>5.94E-3</v>
      </c>
      <c r="UX51">
        <v>4.2599999999999999E-3</v>
      </c>
      <c r="UY51">
        <v>4.6299999999999996E-3</v>
      </c>
      <c r="UZ51">
        <v>5.3600000000000002E-3</v>
      </c>
      <c r="VB51">
        <v>5.62E-3</v>
      </c>
      <c r="VC51">
        <v>5.9100000000000003E-3</v>
      </c>
      <c r="VD51">
        <v>6.7000000000000002E-3</v>
      </c>
      <c r="VE51">
        <v>5.0299999999999997E-3</v>
      </c>
      <c r="VF51">
        <v>7.0200000000000002E-3</v>
      </c>
      <c r="VG51">
        <v>8.2299999999999995E-3</v>
      </c>
      <c r="VH51">
        <v>4.9500000000000004E-3</v>
      </c>
      <c r="VI51">
        <v>5.45E-3</v>
      </c>
    </row>
    <row r="52" spans="1:581" x14ac:dyDescent="0.25">
      <c r="A52">
        <v>1450000</v>
      </c>
      <c r="B52">
        <v>4.0600000000000002E-3</v>
      </c>
      <c r="C52">
        <v>4.9100000000000003E-3</v>
      </c>
      <c r="D52">
        <v>4.9899999999999996E-3</v>
      </c>
      <c r="E52">
        <v>5.7200000000000003E-3</v>
      </c>
      <c r="F52">
        <v>6.0800000000000003E-3</v>
      </c>
      <c r="G52">
        <v>6.5300000000000002E-3</v>
      </c>
      <c r="H52">
        <v>5.0000000000000001E-3</v>
      </c>
      <c r="I52">
        <v>4.9100000000000003E-3</v>
      </c>
      <c r="J52">
        <v>4.8799999999999998E-3</v>
      </c>
      <c r="K52">
        <v>5.0899999999999999E-3</v>
      </c>
      <c r="L52">
        <v>4.9399999999999999E-3</v>
      </c>
      <c r="M52">
        <v>4.8199999999999996E-3</v>
      </c>
      <c r="N52">
        <v>4.7699999999999999E-3</v>
      </c>
      <c r="O52">
        <v>4.9100000000000003E-3</v>
      </c>
      <c r="P52">
        <v>4.81E-3</v>
      </c>
      <c r="Q52">
        <v>4.8399999999999997E-3</v>
      </c>
      <c r="R52">
        <v>4.7400000000000003E-3</v>
      </c>
      <c r="S52">
        <v>4.64E-3</v>
      </c>
      <c r="T52">
        <v>4.5100000000000001E-3</v>
      </c>
      <c r="U52">
        <v>6.0299999999999998E-3</v>
      </c>
      <c r="V52">
        <v>4.64E-3</v>
      </c>
      <c r="W52">
        <v>5.8599999999999998E-3</v>
      </c>
      <c r="X52">
        <v>4.3400000000000001E-3</v>
      </c>
      <c r="Y52">
        <v>5.8300000000000001E-3</v>
      </c>
      <c r="Z52">
        <v>3.9899999999999996E-3</v>
      </c>
      <c r="AA52">
        <v>5.1900000000000002E-3</v>
      </c>
      <c r="AB52">
        <v>6.8199999999999997E-3</v>
      </c>
      <c r="AC52">
        <v>6.8700000000000002E-3</v>
      </c>
      <c r="AD52">
        <v>5.1799999999999997E-3</v>
      </c>
      <c r="AE52">
        <v>5.8500000000000002E-3</v>
      </c>
      <c r="AF52">
        <v>6.1000000000000004E-3</v>
      </c>
      <c r="AG52">
        <v>4.8500000000000001E-3</v>
      </c>
      <c r="AH52">
        <v>4.8500000000000001E-3</v>
      </c>
      <c r="AI52">
        <v>5.0499999999999998E-3</v>
      </c>
      <c r="AJ52">
        <v>4.5900000000000003E-3</v>
      </c>
      <c r="AK52">
        <v>6.0000000000000001E-3</v>
      </c>
      <c r="AL52">
        <v>7.4700000000000001E-3</v>
      </c>
      <c r="AM52">
        <v>4.3899999999999998E-3</v>
      </c>
      <c r="AN52">
        <v>5.3699999999999998E-3</v>
      </c>
      <c r="AO52">
        <v>1.0460000000000001E-2</v>
      </c>
      <c r="AP52">
        <v>5.6699999999999997E-3</v>
      </c>
      <c r="AQ52">
        <v>6.0800000000000003E-3</v>
      </c>
      <c r="AR52">
        <v>5.5999999999999999E-3</v>
      </c>
      <c r="AS52">
        <v>5.8700000000000002E-3</v>
      </c>
      <c r="AT52">
        <v>4.62E-3</v>
      </c>
      <c r="AU52">
        <v>5.2199999999999998E-3</v>
      </c>
      <c r="AV52">
        <v>4.8799999999999998E-3</v>
      </c>
      <c r="AW52">
        <v>5.3400000000000001E-3</v>
      </c>
      <c r="AX52">
        <v>5.2700000000000004E-3</v>
      </c>
      <c r="AY52">
        <v>5.1599999999999997E-3</v>
      </c>
      <c r="AZ52">
        <v>5.2900000000000004E-3</v>
      </c>
      <c r="BA52">
        <v>4.8599999999999997E-3</v>
      </c>
      <c r="BB52">
        <v>6.13E-3</v>
      </c>
      <c r="BC52">
        <v>6.6100000000000004E-3</v>
      </c>
      <c r="BD52">
        <v>6.9100000000000003E-3</v>
      </c>
      <c r="BE52">
        <v>8.1499999999999993E-3</v>
      </c>
      <c r="BF52">
        <v>9.5399999999999999E-3</v>
      </c>
      <c r="BG52">
        <v>6.2300000000000003E-3</v>
      </c>
      <c r="BH52">
        <v>5.5599999999999998E-3</v>
      </c>
      <c r="BI52">
        <v>9.4599999999999997E-3</v>
      </c>
      <c r="BJ52">
        <v>6.3600000000000002E-3</v>
      </c>
      <c r="BK52">
        <v>6.94E-3</v>
      </c>
      <c r="BL52">
        <v>7.0200000000000002E-3</v>
      </c>
      <c r="BM52">
        <v>6.6699999999999997E-3</v>
      </c>
      <c r="BN52">
        <v>6.0899999999999999E-3</v>
      </c>
      <c r="BO52">
        <v>7.7499999999999999E-3</v>
      </c>
      <c r="BQ52">
        <v>5.79E-3</v>
      </c>
      <c r="BR52">
        <v>4.7800000000000004E-3</v>
      </c>
      <c r="BT52">
        <v>7.0400000000000003E-3</v>
      </c>
      <c r="BU52">
        <v>8.6E-3</v>
      </c>
      <c r="BV52">
        <v>8.6099999999999996E-3</v>
      </c>
      <c r="BW52">
        <v>8.3000000000000001E-3</v>
      </c>
      <c r="BX52">
        <v>8.1099999999999992E-3</v>
      </c>
      <c r="BY52">
        <v>8.2400000000000008E-3</v>
      </c>
      <c r="BZ52">
        <v>7.2399999999999999E-3</v>
      </c>
      <c r="CA52">
        <v>7.4200000000000004E-3</v>
      </c>
      <c r="CB52">
        <v>6.1599999999999997E-3</v>
      </c>
      <c r="CC52">
        <v>6.6E-3</v>
      </c>
      <c r="CD52">
        <v>5.3499999999999997E-3</v>
      </c>
      <c r="CE52">
        <v>5.3899999999999998E-3</v>
      </c>
      <c r="CF52">
        <v>5.1200000000000004E-3</v>
      </c>
      <c r="CG52">
        <v>4.8199999999999996E-3</v>
      </c>
      <c r="CI52">
        <v>4.3E-3</v>
      </c>
      <c r="CJ52">
        <v>4.0499999999999998E-3</v>
      </c>
      <c r="CK52">
        <v>4.3299999999999996E-3</v>
      </c>
      <c r="CL52">
        <v>5.3800000000000002E-3</v>
      </c>
      <c r="CM52">
        <v>5.5799999999999999E-3</v>
      </c>
      <c r="CN52">
        <v>5.8700000000000002E-3</v>
      </c>
      <c r="CO52">
        <v>5.6600000000000001E-3</v>
      </c>
      <c r="CQ52">
        <v>5.3600000000000002E-3</v>
      </c>
      <c r="CR52">
        <v>5.7099999999999998E-3</v>
      </c>
      <c r="CT52">
        <v>6.4700000000000001E-3</v>
      </c>
      <c r="CU52">
        <v>5.2199999999999998E-3</v>
      </c>
      <c r="CV52">
        <v>5.11E-3</v>
      </c>
      <c r="CW52">
        <v>5.4299999999999999E-3</v>
      </c>
      <c r="CX52">
        <v>5.4099999999999999E-3</v>
      </c>
      <c r="CY52">
        <v>4.4000000000000003E-3</v>
      </c>
      <c r="CZ52">
        <v>4.4200000000000003E-3</v>
      </c>
      <c r="DA52">
        <v>4.8700000000000002E-3</v>
      </c>
      <c r="DB52">
        <v>4.79E-3</v>
      </c>
      <c r="DC52">
        <v>4.7499999999999999E-3</v>
      </c>
      <c r="DD52">
        <v>4.6899999999999997E-3</v>
      </c>
      <c r="DE52">
        <v>4.6600000000000001E-3</v>
      </c>
      <c r="DF52">
        <v>6.3699999999999998E-3</v>
      </c>
      <c r="DG52">
        <v>4.4099999999999999E-3</v>
      </c>
      <c r="DH52">
        <v>5.7099999999999998E-3</v>
      </c>
      <c r="DI52">
        <v>5.6600000000000001E-3</v>
      </c>
      <c r="DJ52">
        <v>5.7800000000000004E-3</v>
      </c>
      <c r="DL52">
        <v>5.96E-3</v>
      </c>
      <c r="DN52">
        <v>5.2199999999999998E-3</v>
      </c>
      <c r="DO52">
        <v>7.4900000000000001E-3</v>
      </c>
      <c r="DP52">
        <v>8.2299999999999995E-3</v>
      </c>
      <c r="DQ52">
        <v>8.0400000000000003E-3</v>
      </c>
      <c r="DR52">
        <v>5.3800000000000002E-3</v>
      </c>
      <c r="DS52">
        <v>5.7000000000000002E-3</v>
      </c>
      <c r="DT52">
        <v>5.64E-3</v>
      </c>
      <c r="DV52">
        <v>8.4499999999999992E-3</v>
      </c>
      <c r="DW52">
        <v>5.7299999999999999E-3</v>
      </c>
      <c r="DY52">
        <v>8.9899999999999997E-3</v>
      </c>
      <c r="DZ52">
        <v>8.6199999999999992E-3</v>
      </c>
      <c r="EA52">
        <v>4.9800000000000001E-3</v>
      </c>
      <c r="EB52">
        <v>4.9300000000000004E-3</v>
      </c>
      <c r="EC52">
        <v>4.5599999999999998E-3</v>
      </c>
      <c r="EF52">
        <v>1.0630000000000001E-2</v>
      </c>
      <c r="EI52">
        <v>5.94E-3</v>
      </c>
      <c r="EJ52">
        <v>5.4099999999999999E-3</v>
      </c>
      <c r="EK52">
        <v>5.4200000000000003E-3</v>
      </c>
      <c r="EL52">
        <v>5.7200000000000003E-3</v>
      </c>
      <c r="EM52">
        <v>6.0200000000000002E-3</v>
      </c>
      <c r="EN52">
        <v>6.1500000000000001E-3</v>
      </c>
      <c r="EO52">
        <v>6.1900000000000002E-3</v>
      </c>
      <c r="EP52">
        <v>6.5700000000000003E-3</v>
      </c>
      <c r="EQ52">
        <v>6.6299999999999996E-3</v>
      </c>
      <c r="ER52">
        <v>5.0099999999999997E-3</v>
      </c>
      <c r="ES52">
        <v>4.9699999999999996E-3</v>
      </c>
      <c r="ET52">
        <v>4.8700000000000002E-3</v>
      </c>
      <c r="EU52">
        <v>9.4599999999999997E-3</v>
      </c>
      <c r="EV52">
        <v>8.7500000000000008E-3</v>
      </c>
      <c r="EW52">
        <v>8.26E-3</v>
      </c>
      <c r="EX52">
        <v>8.4600000000000005E-3</v>
      </c>
      <c r="EY52">
        <v>6.6699999999999997E-3</v>
      </c>
      <c r="EZ52">
        <v>6.8399999999999997E-3</v>
      </c>
      <c r="FA52">
        <v>5.5999999999999999E-3</v>
      </c>
      <c r="FB52">
        <v>6.1000000000000004E-3</v>
      </c>
      <c r="FD52">
        <v>5.13E-3</v>
      </c>
      <c r="FE52">
        <v>6.0299999999999998E-3</v>
      </c>
      <c r="FF52">
        <v>4.3499999999999997E-3</v>
      </c>
      <c r="FG52">
        <v>8.1499999999999993E-3</v>
      </c>
      <c r="FH52">
        <v>8.3700000000000007E-3</v>
      </c>
      <c r="FI52">
        <v>8.1300000000000001E-3</v>
      </c>
      <c r="FJ52">
        <v>8.1700000000000002E-3</v>
      </c>
      <c r="FK52">
        <v>7.28E-3</v>
      </c>
      <c r="FN52">
        <v>5.7400000000000003E-3</v>
      </c>
      <c r="FO52">
        <v>5.1700000000000001E-3</v>
      </c>
      <c r="FP52">
        <v>4.7499999999999999E-3</v>
      </c>
      <c r="FQ52">
        <v>6.1900000000000002E-3</v>
      </c>
      <c r="FR52">
        <v>6.2899999999999996E-3</v>
      </c>
      <c r="FS52">
        <v>6.5399999999999998E-3</v>
      </c>
      <c r="FT52">
        <v>6.3299999999999997E-3</v>
      </c>
      <c r="FU52">
        <v>6.3299999999999997E-3</v>
      </c>
      <c r="FV52">
        <v>6.3499999999999997E-3</v>
      </c>
      <c r="FX52">
        <v>6.3800000000000003E-3</v>
      </c>
      <c r="FY52">
        <v>6.77E-3</v>
      </c>
      <c r="FZ52">
        <v>6.6E-3</v>
      </c>
      <c r="GA52">
        <v>6.9699999999999996E-3</v>
      </c>
      <c r="GB52">
        <v>6.7600000000000004E-3</v>
      </c>
      <c r="GC52">
        <v>7.1900000000000002E-3</v>
      </c>
      <c r="GD52">
        <v>6.7799999999999996E-3</v>
      </c>
      <c r="GE52">
        <v>7.2700000000000004E-3</v>
      </c>
      <c r="GF52">
        <v>6.3499999999999997E-3</v>
      </c>
      <c r="GG52">
        <v>6.4200000000000004E-3</v>
      </c>
      <c r="GH52">
        <v>6.5399999999999998E-3</v>
      </c>
      <c r="GI52">
        <v>7.3000000000000001E-3</v>
      </c>
      <c r="GJ52">
        <v>7.4200000000000004E-3</v>
      </c>
      <c r="GK52">
        <v>7.6E-3</v>
      </c>
      <c r="GL52">
        <v>7.79E-3</v>
      </c>
      <c r="GM52">
        <v>6.94E-3</v>
      </c>
      <c r="GO52">
        <v>6.5700000000000003E-3</v>
      </c>
      <c r="GP52">
        <v>5.6499999999999996E-3</v>
      </c>
      <c r="GQ52">
        <v>5.9800000000000001E-3</v>
      </c>
      <c r="GR52">
        <v>6.28E-3</v>
      </c>
      <c r="GS52">
        <v>5.4999999999999997E-3</v>
      </c>
      <c r="GT52">
        <v>6.0299999999999998E-3</v>
      </c>
      <c r="GU52">
        <v>5.7999999999999996E-3</v>
      </c>
      <c r="GV52">
        <v>8.0400000000000003E-3</v>
      </c>
      <c r="GW52">
        <v>7.6899999999999998E-3</v>
      </c>
      <c r="GX52">
        <v>7.3200000000000001E-3</v>
      </c>
      <c r="GY52">
        <v>6.9499999999999996E-3</v>
      </c>
      <c r="GZ52">
        <v>6.3499999999999997E-3</v>
      </c>
      <c r="HB52">
        <v>4.7800000000000004E-3</v>
      </c>
      <c r="HE52">
        <v>6.0499999999999998E-3</v>
      </c>
      <c r="HF52">
        <v>7.4900000000000001E-3</v>
      </c>
      <c r="HG52">
        <v>8.2000000000000007E-3</v>
      </c>
      <c r="HH52">
        <v>8.2000000000000007E-3</v>
      </c>
      <c r="HI52">
        <v>8.4100000000000008E-3</v>
      </c>
      <c r="HJ52">
        <v>4.4000000000000003E-3</v>
      </c>
      <c r="HK52">
        <v>5.8100000000000001E-3</v>
      </c>
      <c r="HL52">
        <v>6.1700000000000001E-3</v>
      </c>
      <c r="HM52">
        <v>6.0099999999999997E-3</v>
      </c>
      <c r="HN52">
        <v>5.9100000000000003E-3</v>
      </c>
      <c r="HO52">
        <v>5.5300000000000002E-3</v>
      </c>
      <c r="HP52">
        <v>4.8900000000000002E-3</v>
      </c>
      <c r="HQ52">
        <v>5.4200000000000003E-3</v>
      </c>
      <c r="HR52">
        <v>6.3499999999999997E-3</v>
      </c>
      <c r="HS52">
        <v>9.6200000000000001E-3</v>
      </c>
      <c r="HT52">
        <v>5.0400000000000002E-3</v>
      </c>
      <c r="HU52">
        <v>5.0600000000000003E-3</v>
      </c>
      <c r="HV52">
        <v>6.4599999999999996E-3</v>
      </c>
      <c r="HW52">
        <v>5.2300000000000003E-3</v>
      </c>
      <c r="HX52">
        <v>5.8599999999999998E-3</v>
      </c>
      <c r="HY52">
        <v>5.6299999999999996E-3</v>
      </c>
      <c r="HZ52">
        <v>3.9100000000000003E-3</v>
      </c>
      <c r="IA52">
        <v>6.6800000000000002E-3</v>
      </c>
      <c r="IB52">
        <v>8.3000000000000001E-3</v>
      </c>
      <c r="IC52">
        <v>7.1599999999999997E-3</v>
      </c>
      <c r="ID52">
        <v>4.9300000000000004E-3</v>
      </c>
      <c r="IE52">
        <v>4.5900000000000003E-3</v>
      </c>
      <c r="IF52">
        <v>4.6499999999999996E-3</v>
      </c>
      <c r="IG52">
        <v>5.64E-3</v>
      </c>
      <c r="IH52">
        <v>5.96E-3</v>
      </c>
      <c r="II52">
        <v>4.4299999999999999E-3</v>
      </c>
      <c r="IJ52">
        <v>5.4799999999999996E-3</v>
      </c>
      <c r="IK52">
        <v>6.11E-3</v>
      </c>
      <c r="IL52">
        <v>6.7400000000000003E-3</v>
      </c>
      <c r="IM52">
        <v>7.5500000000000003E-3</v>
      </c>
      <c r="IN52">
        <v>8.0700000000000008E-3</v>
      </c>
      <c r="IO52">
        <v>8.8900000000000003E-3</v>
      </c>
      <c r="IP52">
        <v>1.009E-2</v>
      </c>
      <c r="IQ52">
        <v>1.09E-2</v>
      </c>
      <c r="IR52">
        <v>1.193E-2</v>
      </c>
      <c r="IS52">
        <v>4.8999999999999998E-3</v>
      </c>
      <c r="IT52">
        <v>4.0299999999999997E-3</v>
      </c>
      <c r="IU52">
        <v>4.3699999999999998E-3</v>
      </c>
      <c r="IV52">
        <v>4.3400000000000001E-3</v>
      </c>
      <c r="IW52">
        <v>4.9699999999999996E-3</v>
      </c>
      <c r="IX52">
        <v>3.48E-3</v>
      </c>
      <c r="IY52">
        <v>4.3800000000000002E-3</v>
      </c>
      <c r="IZ52">
        <v>4.0099999999999997E-3</v>
      </c>
      <c r="JB52">
        <v>4.62E-3</v>
      </c>
      <c r="JC52">
        <v>4.9699999999999996E-3</v>
      </c>
      <c r="JD52">
        <v>5.28E-3</v>
      </c>
      <c r="JE52">
        <v>4.4600000000000004E-3</v>
      </c>
      <c r="JF52">
        <v>6.1500000000000001E-3</v>
      </c>
      <c r="JG52">
        <v>9.7099999999999999E-3</v>
      </c>
      <c r="JH52">
        <v>9.7900000000000001E-3</v>
      </c>
      <c r="JI52">
        <v>6.0000000000000001E-3</v>
      </c>
      <c r="JJ52">
        <v>5.4400000000000004E-3</v>
      </c>
      <c r="JK52">
        <v>8.3400000000000002E-3</v>
      </c>
      <c r="JL52">
        <v>7.9600000000000001E-3</v>
      </c>
      <c r="JM52">
        <v>5.4000000000000003E-3</v>
      </c>
      <c r="JN52">
        <v>6.6400000000000001E-3</v>
      </c>
      <c r="JP52">
        <v>4.7000000000000002E-3</v>
      </c>
      <c r="JQ52">
        <v>5.5999999999999999E-3</v>
      </c>
      <c r="JR52">
        <v>5.7000000000000002E-3</v>
      </c>
      <c r="JS52">
        <v>5.1999999999999998E-3</v>
      </c>
      <c r="JT52">
        <v>6.11E-3</v>
      </c>
      <c r="JU52">
        <v>7.6899999999999998E-3</v>
      </c>
      <c r="JV52">
        <v>6.1700000000000001E-3</v>
      </c>
      <c r="JX52">
        <v>5.3800000000000002E-3</v>
      </c>
      <c r="JY52">
        <v>6.4700000000000001E-3</v>
      </c>
      <c r="JZ52">
        <v>6.5300000000000002E-3</v>
      </c>
      <c r="KA52">
        <v>6.28E-3</v>
      </c>
      <c r="KB52">
        <v>5.4299999999999999E-3</v>
      </c>
      <c r="KC52">
        <v>5.6499999999999996E-3</v>
      </c>
      <c r="KD52">
        <v>6.11E-3</v>
      </c>
      <c r="KE52">
        <v>8.2100000000000003E-3</v>
      </c>
      <c r="KF52">
        <v>1.0789999999999999E-2</v>
      </c>
      <c r="KG52">
        <v>1.124E-2</v>
      </c>
      <c r="KH52">
        <v>1.1299999999999999E-2</v>
      </c>
      <c r="KI52">
        <v>6.9699999999999996E-3</v>
      </c>
      <c r="KJ52">
        <v>7.1000000000000004E-3</v>
      </c>
      <c r="KK52">
        <v>7.1000000000000004E-3</v>
      </c>
      <c r="KL52">
        <v>7.4000000000000003E-3</v>
      </c>
      <c r="KM52">
        <v>7.5300000000000002E-3</v>
      </c>
      <c r="KN52">
        <v>5.3899999999999998E-3</v>
      </c>
      <c r="KO52">
        <v>6.7999999999999996E-3</v>
      </c>
      <c r="KP52">
        <v>6.8999999999999999E-3</v>
      </c>
      <c r="KQ52">
        <v>7.0600000000000003E-3</v>
      </c>
      <c r="KR52">
        <v>7.2500000000000004E-3</v>
      </c>
      <c r="KS52">
        <v>6.1399999999999996E-3</v>
      </c>
      <c r="KT52">
        <v>6.4400000000000004E-3</v>
      </c>
      <c r="KU52">
        <v>6.7099999999999998E-3</v>
      </c>
      <c r="KV52">
        <v>5.3800000000000002E-3</v>
      </c>
      <c r="KW52">
        <v>4.79E-3</v>
      </c>
      <c r="KX52">
        <v>1.095E-2</v>
      </c>
      <c r="KY52">
        <v>7.0400000000000003E-3</v>
      </c>
      <c r="KZ52">
        <v>8.0199999999999994E-3</v>
      </c>
      <c r="LA52">
        <v>5.5999999999999999E-3</v>
      </c>
      <c r="LB52">
        <v>5.4900000000000001E-3</v>
      </c>
      <c r="LC52">
        <v>5.5900000000000004E-3</v>
      </c>
      <c r="LD52">
        <v>5.5900000000000004E-3</v>
      </c>
      <c r="LE52">
        <v>8.8400000000000006E-3</v>
      </c>
      <c r="LF52">
        <v>8.0099999999999998E-3</v>
      </c>
      <c r="LG52">
        <v>6.5399999999999998E-3</v>
      </c>
      <c r="LI52">
        <v>8.8000000000000005E-3</v>
      </c>
      <c r="LJ52">
        <v>9.1599999999999997E-3</v>
      </c>
      <c r="LK52">
        <v>9.3200000000000002E-3</v>
      </c>
      <c r="LL52">
        <v>5.96E-3</v>
      </c>
      <c r="LM52">
        <v>4.47E-3</v>
      </c>
      <c r="LN52">
        <v>5.6299999999999996E-3</v>
      </c>
      <c r="LO52">
        <v>5.8900000000000003E-3</v>
      </c>
      <c r="LP52">
        <v>5.1200000000000004E-3</v>
      </c>
      <c r="LR52">
        <v>8.6499999999999997E-3</v>
      </c>
      <c r="LS52">
        <v>9.6100000000000005E-3</v>
      </c>
      <c r="LT52">
        <v>5.2700000000000004E-3</v>
      </c>
      <c r="LU52">
        <v>6.6400000000000001E-3</v>
      </c>
      <c r="LV52">
        <v>7.3899999999999999E-3</v>
      </c>
      <c r="LW52">
        <v>4.7999999999999996E-3</v>
      </c>
      <c r="LX52">
        <v>5.4999999999999997E-3</v>
      </c>
      <c r="LY52">
        <v>6.6400000000000001E-3</v>
      </c>
      <c r="LZ52">
        <v>6.7200000000000003E-3</v>
      </c>
      <c r="MA52">
        <v>6.8799999999999998E-3</v>
      </c>
      <c r="MB52">
        <v>4.3400000000000001E-3</v>
      </c>
      <c r="MC52">
        <v>8.3099999999999997E-3</v>
      </c>
      <c r="MD52">
        <v>9.3399999999999993E-3</v>
      </c>
      <c r="ME52">
        <v>1.1679999999999999E-2</v>
      </c>
      <c r="MF52">
        <v>1.3990000000000001E-2</v>
      </c>
      <c r="MG52">
        <v>1.286E-2</v>
      </c>
      <c r="MH52">
        <v>5.1200000000000004E-3</v>
      </c>
      <c r="MI52">
        <v>5.5700000000000003E-3</v>
      </c>
      <c r="MJ52">
        <v>5.6299999999999996E-3</v>
      </c>
      <c r="ML52">
        <v>6.4400000000000004E-3</v>
      </c>
      <c r="MM52">
        <v>5.5100000000000001E-3</v>
      </c>
      <c r="MO52">
        <v>5.4599999999999996E-3</v>
      </c>
      <c r="MP52">
        <v>6.43E-3</v>
      </c>
      <c r="MQ52">
        <v>4.1900000000000001E-3</v>
      </c>
      <c r="MR52">
        <v>5.5500000000000002E-3</v>
      </c>
      <c r="MS52">
        <v>5.7400000000000003E-3</v>
      </c>
      <c r="MT52">
        <v>7.0499999999999998E-3</v>
      </c>
      <c r="MU52">
        <v>4.7299999999999998E-3</v>
      </c>
      <c r="MV52">
        <v>5.1999999999999998E-3</v>
      </c>
      <c r="MW52">
        <v>5.4400000000000004E-3</v>
      </c>
      <c r="MX52">
        <v>5.5599999999999998E-3</v>
      </c>
      <c r="MY52">
        <v>6.0000000000000001E-3</v>
      </c>
      <c r="MZ52">
        <v>6.7400000000000003E-3</v>
      </c>
      <c r="NA52">
        <v>6.0400000000000002E-3</v>
      </c>
      <c r="NB52">
        <v>5.8999999999999999E-3</v>
      </c>
      <c r="NC52">
        <v>3.7000000000000002E-3</v>
      </c>
      <c r="ND52">
        <v>1.2330000000000001E-2</v>
      </c>
      <c r="NE52">
        <v>6.4799999999999996E-3</v>
      </c>
      <c r="NF52">
        <v>7.1399999999999996E-3</v>
      </c>
      <c r="NG52">
        <v>4.6299999999999996E-3</v>
      </c>
      <c r="NH52">
        <v>3.98E-3</v>
      </c>
      <c r="NI52">
        <v>4.2599999999999999E-3</v>
      </c>
      <c r="NJ52">
        <v>4.62E-3</v>
      </c>
      <c r="NK52">
        <v>4.1999999999999997E-3</v>
      </c>
      <c r="NL52">
        <v>4.4200000000000003E-3</v>
      </c>
      <c r="NM52">
        <v>4.6299999999999996E-3</v>
      </c>
      <c r="NN52">
        <v>4.8300000000000001E-3</v>
      </c>
      <c r="NO52">
        <v>5.0200000000000002E-3</v>
      </c>
      <c r="NP52">
        <v>4.45E-3</v>
      </c>
      <c r="NQ52">
        <v>4.3099999999999996E-3</v>
      </c>
      <c r="NR52">
        <v>4.5100000000000001E-3</v>
      </c>
      <c r="NS52">
        <v>4.6699999999999997E-3</v>
      </c>
      <c r="NT52">
        <v>5.0499999999999998E-3</v>
      </c>
      <c r="NU52">
        <v>4.2500000000000003E-3</v>
      </c>
      <c r="NV52">
        <v>4.4600000000000004E-3</v>
      </c>
      <c r="NW52">
        <v>4.5300000000000002E-3</v>
      </c>
      <c r="NX52">
        <v>4.5700000000000003E-3</v>
      </c>
      <c r="NY52">
        <v>4.7099999999999998E-3</v>
      </c>
      <c r="NZ52">
        <v>4.8799999999999998E-3</v>
      </c>
      <c r="OA52">
        <v>5.0699999999999999E-3</v>
      </c>
      <c r="OB52">
        <v>4.3299999999999996E-3</v>
      </c>
      <c r="OC52">
        <v>4.4999999999999997E-3</v>
      </c>
      <c r="OD52">
        <v>4.5700000000000003E-3</v>
      </c>
      <c r="OE52">
        <v>4.5700000000000003E-3</v>
      </c>
      <c r="OF52">
        <v>6.1199999999999996E-3</v>
      </c>
      <c r="OH52">
        <v>5.0099999999999997E-3</v>
      </c>
      <c r="OI52">
        <v>5.13E-3</v>
      </c>
      <c r="OJ52">
        <v>5.3200000000000001E-3</v>
      </c>
      <c r="OK52">
        <v>5.4299999999999999E-3</v>
      </c>
      <c r="OL52">
        <v>5.5900000000000004E-3</v>
      </c>
      <c r="ON52">
        <v>5.0200000000000002E-3</v>
      </c>
      <c r="OO52">
        <v>4.8599999999999997E-3</v>
      </c>
      <c r="OP52">
        <v>5.2100000000000002E-3</v>
      </c>
      <c r="OQ52">
        <v>5.3499999999999997E-3</v>
      </c>
      <c r="OR52">
        <v>5.6699999999999997E-3</v>
      </c>
      <c r="OS52">
        <v>6.2100000000000002E-3</v>
      </c>
      <c r="OT52">
        <v>6.0299999999999998E-3</v>
      </c>
      <c r="OU52">
        <v>6.2500000000000003E-3</v>
      </c>
      <c r="OV52">
        <v>5.45E-3</v>
      </c>
      <c r="OW52">
        <v>3.6099999999999999E-3</v>
      </c>
      <c r="OX52">
        <v>4.8399999999999997E-3</v>
      </c>
      <c r="OY52">
        <v>5.2700000000000004E-3</v>
      </c>
      <c r="OZ52">
        <v>4.9800000000000001E-3</v>
      </c>
      <c r="PA52">
        <v>8.5900000000000004E-3</v>
      </c>
      <c r="PB52">
        <v>9.0399999999999994E-3</v>
      </c>
      <c r="PC52">
        <v>7.4599999999999996E-3</v>
      </c>
      <c r="PD52">
        <v>6.6E-3</v>
      </c>
      <c r="PE52">
        <v>6.1900000000000002E-3</v>
      </c>
      <c r="PF52">
        <v>6.0499999999999998E-3</v>
      </c>
      <c r="PG52">
        <v>5.1599999999999997E-3</v>
      </c>
      <c r="PH52">
        <v>5.4299999999999999E-3</v>
      </c>
      <c r="PK52">
        <v>5.9199999999999999E-3</v>
      </c>
      <c r="PL52">
        <v>5.9100000000000003E-3</v>
      </c>
      <c r="PM52">
        <v>5.2599999999999999E-3</v>
      </c>
      <c r="PN52">
        <v>4.8500000000000001E-3</v>
      </c>
      <c r="PO52">
        <v>4.4900000000000001E-3</v>
      </c>
      <c r="PP52">
        <v>4.6499999999999996E-3</v>
      </c>
      <c r="PQ52">
        <v>4.7400000000000003E-3</v>
      </c>
      <c r="PR52">
        <v>4.1799999999999997E-3</v>
      </c>
      <c r="PS52">
        <v>4.9100000000000003E-3</v>
      </c>
      <c r="PT52">
        <v>4.9899999999999996E-3</v>
      </c>
      <c r="PU52">
        <v>4.1599999999999996E-3</v>
      </c>
      <c r="PV52">
        <v>3.3899999999999998E-3</v>
      </c>
      <c r="PW52">
        <v>3.5599999999999998E-3</v>
      </c>
      <c r="PX52">
        <v>3.79E-3</v>
      </c>
      <c r="PY52">
        <v>4.0200000000000001E-3</v>
      </c>
      <c r="PZ52">
        <v>4.4000000000000003E-3</v>
      </c>
      <c r="QA52">
        <v>3.8999999999999998E-3</v>
      </c>
      <c r="QB52">
        <v>4.28E-3</v>
      </c>
      <c r="QC52">
        <v>5.4299999999999999E-3</v>
      </c>
      <c r="QD52">
        <v>5.28E-3</v>
      </c>
      <c r="QF52">
        <v>4.8799999999999998E-3</v>
      </c>
      <c r="QG52">
        <v>7.2199999999999999E-3</v>
      </c>
      <c r="QH52">
        <v>4.7999999999999996E-3</v>
      </c>
      <c r="QI52">
        <v>5.0899999999999999E-3</v>
      </c>
      <c r="QJ52">
        <v>4.8900000000000002E-3</v>
      </c>
      <c r="QL52">
        <v>4.7699999999999999E-3</v>
      </c>
      <c r="QM52">
        <v>5.2900000000000004E-3</v>
      </c>
      <c r="QN52">
        <v>8.2900000000000005E-3</v>
      </c>
      <c r="QP52">
        <v>7.45E-3</v>
      </c>
      <c r="QQ52">
        <v>7.6400000000000001E-3</v>
      </c>
      <c r="QR52">
        <v>7.9100000000000004E-3</v>
      </c>
      <c r="QS52">
        <v>7.8300000000000002E-3</v>
      </c>
      <c r="QT52">
        <v>5.7600000000000004E-3</v>
      </c>
      <c r="QU52">
        <v>5.7800000000000004E-3</v>
      </c>
      <c r="QV52">
        <v>5.8100000000000001E-3</v>
      </c>
      <c r="QW52">
        <v>5.8599999999999998E-3</v>
      </c>
      <c r="QX52">
        <v>5.4099999999999999E-3</v>
      </c>
      <c r="QY52">
        <v>5.1599999999999997E-3</v>
      </c>
      <c r="QZ52">
        <v>5.5300000000000002E-3</v>
      </c>
      <c r="RA52">
        <v>5.9100000000000003E-3</v>
      </c>
      <c r="RB52">
        <v>6.9499999999999996E-3</v>
      </c>
      <c r="RC52">
        <v>5.9100000000000003E-3</v>
      </c>
      <c r="RD52">
        <v>8.6099999999999996E-3</v>
      </c>
      <c r="RE52">
        <v>6.6600000000000001E-3</v>
      </c>
      <c r="RF52">
        <v>6.8300000000000001E-3</v>
      </c>
      <c r="RG52">
        <v>4.9899999999999996E-3</v>
      </c>
      <c r="RH52">
        <v>5.0499999999999998E-3</v>
      </c>
      <c r="RI52">
        <v>7.3800000000000003E-3</v>
      </c>
      <c r="RJ52">
        <v>6.4900000000000001E-3</v>
      </c>
      <c r="RK52">
        <v>6.3299999999999997E-3</v>
      </c>
      <c r="RL52">
        <v>5.96E-3</v>
      </c>
      <c r="RM52">
        <v>4.3600000000000002E-3</v>
      </c>
      <c r="RQ52">
        <v>4.4400000000000004E-3</v>
      </c>
      <c r="RR52">
        <v>4.2399999999999998E-3</v>
      </c>
      <c r="RS52">
        <v>4.3400000000000001E-3</v>
      </c>
      <c r="RT52">
        <v>3.7499999999999999E-3</v>
      </c>
      <c r="RU52">
        <v>4.5799999999999999E-3</v>
      </c>
      <c r="RW52">
        <v>5.4200000000000003E-3</v>
      </c>
      <c r="RX52">
        <v>5.0099999999999997E-3</v>
      </c>
      <c r="RY52">
        <v>3.5400000000000002E-3</v>
      </c>
      <c r="RZ52">
        <v>4.5100000000000001E-3</v>
      </c>
      <c r="SA52">
        <v>5.8599999999999998E-3</v>
      </c>
      <c r="SB52">
        <v>5.4900000000000001E-3</v>
      </c>
      <c r="SC52">
        <v>6.13E-3</v>
      </c>
      <c r="SD52">
        <v>6.5500000000000003E-3</v>
      </c>
      <c r="SE52">
        <v>5.9899999999999997E-3</v>
      </c>
      <c r="SG52">
        <v>8.4399999999999996E-3</v>
      </c>
      <c r="SH52">
        <v>1.081E-2</v>
      </c>
      <c r="SI52">
        <v>5.8500000000000002E-3</v>
      </c>
      <c r="SJ52">
        <v>4.7800000000000004E-3</v>
      </c>
      <c r="SK52">
        <v>4.2599999999999999E-3</v>
      </c>
      <c r="SL52">
        <v>4.6299999999999996E-3</v>
      </c>
      <c r="SM52">
        <v>3.7699999999999999E-3</v>
      </c>
      <c r="SN52">
        <v>4.13E-3</v>
      </c>
      <c r="SO52">
        <v>3.9699999999999996E-3</v>
      </c>
      <c r="SP52">
        <v>5.8900000000000003E-3</v>
      </c>
      <c r="SQ52">
        <v>4.79E-3</v>
      </c>
      <c r="SR52">
        <v>5.4599999999999996E-3</v>
      </c>
      <c r="SS52">
        <v>4.5999999999999999E-3</v>
      </c>
      <c r="ST52">
        <v>4.62E-3</v>
      </c>
      <c r="SU52">
        <v>4.8199999999999996E-3</v>
      </c>
      <c r="SV52">
        <v>4.6800000000000001E-3</v>
      </c>
      <c r="SW52">
        <v>5.0400000000000002E-3</v>
      </c>
      <c r="SX52">
        <v>5.2399999999999999E-3</v>
      </c>
      <c r="SY52">
        <v>4.5700000000000003E-3</v>
      </c>
      <c r="SZ52">
        <v>5.5100000000000001E-3</v>
      </c>
      <c r="TA52">
        <v>5.2300000000000003E-3</v>
      </c>
      <c r="TB52">
        <v>6.0400000000000002E-3</v>
      </c>
      <c r="TC52">
        <v>4.9399999999999999E-3</v>
      </c>
      <c r="TD52">
        <v>4.7499999999999999E-3</v>
      </c>
      <c r="TE52">
        <v>6.77E-3</v>
      </c>
      <c r="TF52">
        <v>5.4900000000000001E-3</v>
      </c>
      <c r="TG52">
        <v>6.0800000000000003E-3</v>
      </c>
      <c r="TH52">
        <v>6.8999999999999999E-3</v>
      </c>
      <c r="TI52">
        <v>4.96E-3</v>
      </c>
      <c r="TJ52">
        <v>6.8199999999999997E-3</v>
      </c>
      <c r="TK52">
        <v>4.28E-3</v>
      </c>
      <c r="TL52">
        <v>4.0099999999999997E-3</v>
      </c>
      <c r="TM52">
        <v>3.8E-3</v>
      </c>
      <c r="TN52">
        <v>4.8799999999999998E-3</v>
      </c>
      <c r="TO52">
        <v>5.3499999999999997E-3</v>
      </c>
      <c r="TP52">
        <v>4.1399999999999996E-3</v>
      </c>
      <c r="TQ52">
        <v>5.2500000000000003E-3</v>
      </c>
      <c r="TR52">
        <v>5.8700000000000002E-3</v>
      </c>
      <c r="TS52">
        <v>5.7400000000000003E-3</v>
      </c>
      <c r="TT52">
        <v>5.7200000000000003E-3</v>
      </c>
      <c r="TU52">
        <v>5.3600000000000002E-3</v>
      </c>
      <c r="TV52">
        <v>4.4400000000000004E-3</v>
      </c>
      <c r="TW52">
        <v>4.5999999999999999E-3</v>
      </c>
      <c r="TX52">
        <v>4.9699999999999996E-3</v>
      </c>
      <c r="TY52">
        <v>4.9699999999999996E-3</v>
      </c>
      <c r="TZ52">
        <v>5.11E-3</v>
      </c>
      <c r="UA52">
        <v>5.11E-3</v>
      </c>
      <c r="UB52">
        <v>4.9300000000000004E-3</v>
      </c>
      <c r="UC52">
        <v>4.6600000000000001E-3</v>
      </c>
      <c r="UD52">
        <v>4.7299999999999998E-3</v>
      </c>
      <c r="UE52">
        <v>4.9199999999999999E-3</v>
      </c>
      <c r="UF52">
        <v>3.79E-3</v>
      </c>
      <c r="UG52">
        <v>4.28E-3</v>
      </c>
      <c r="UH52">
        <v>5.3099999999999996E-3</v>
      </c>
      <c r="UI52">
        <v>4.4400000000000004E-3</v>
      </c>
      <c r="UJ52">
        <v>5.2500000000000003E-3</v>
      </c>
      <c r="UK52">
        <v>5.0499999999999998E-3</v>
      </c>
      <c r="UL52">
        <v>5.2100000000000002E-3</v>
      </c>
      <c r="UN52">
        <v>4.8399999999999997E-3</v>
      </c>
      <c r="UO52">
        <v>4.8999999999999998E-3</v>
      </c>
      <c r="UP52">
        <v>6.4200000000000004E-3</v>
      </c>
      <c r="UQ52">
        <v>4.6800000000000001E-3</v>
      </c>
      <c r="UR52">
        <v>4.6100000000000004E-3</v>
      </c>
      <c r="US52">
        <v>5.0000000000000001E-3</v>
      </c>
      <c r="UT52">
        <v>4.62E-3</v>
      </c>
      <c r="UU52">
        <v>4.7800000000000004E-3</v>
      </c>
      <c r="UV52">
        <v>5.0200000000000002E-3</v>
      </c>
      <c r="UW52">
        <v>5.8799999999999998E-3</v>
      </c>
      <c r="UX52">
        <v>4.2199999999999998E-3</v>
      </c>
      <c r="UY52">
        <v>4.5900000000000003E-3</v>
      </c>
      <c r="UZ52">
        <v>5.3200000000000001E-3</v>
      </c>
      <c r="VA52">
        <v>6.8900000000000003E-3</v>
      </c>
      <c r="VB52">
        <v>5.6100000000000004E-3</v>
      </c>
      <c r="VC52">
        <v>5.8500000000000002E-3</v>
      </c>
      <c r="VD52">
        <v>6.4999999999999997E-3</v>
      </c>
      <c r="VE52">
        <v>4.9199999999999999E-3</v>
      </c>
      <c r="VF52">
        <v>6.8199999999999997E-3</v>
      </c>
      <c r="VG52">
        <v>8.1899999999999994E-3</v>
      </c>
      <c r="VH52">
        <v>4.8799999999999998E-3</v>
      </c>
      <c r="VI52">
        <v>5.4200000000000003E-3</v>
      </c>
    </row>
    <row r="53" spans="1:581" x14ac:dyDescent="0.25">
      <c r="A53">
        <v>1500000</v>
      </c>
      <c r="B53">
        <v>4.1200000000000004E-3</v>
      </c>
      <c r="C53">
        <v>4.9300000000000004E-3</v>
      </c>
      <c r="D53">
        <v>5.0200000000000002E-3</v>
      </c>
      <c r="E53">
        <v>5.7299999999999999E-3</v>
      </c>
      <c r="F53">
        <v>6.0899999999999999E-3</v>
      </c>
      <c r="G53">
        <v>6.5199999999999998E-3</v>
      </c>
      <c r="H53">
        <v>5.0099999999999997E-3</v>
      </c>
      <c r="I53">
        <v>4.9199999999999999E-3</v>
      </c>
      <c r="J53">
        <v>4.9100000000000003E-3</v>
      </c>
      <c r="M53">
        <v>4.8300000000000001E-3</v>
      </c>
      <c r="N53">
        <v>4.79E-3</v>
      </c>
      <c r="O53">
        <v>4.8700000000000002E-3</v>
      </c>
      <c r="P53">
        <v>4.7699999999999999E-3</v>
      </c>
      <c r="Q53">
        <v>4.7999999999999996E-3</v>
      </c>
      <c r="R53">
        <v>4.7000000000000002E-3</v>
      </c>
      <c r="S53">
        <v>4.6600000000000001E-3</v>
      </c>
      <c r="T53">
        <v>4.5399999999999998E-3</v>
      </c>
      <c r="U53">
        <v>6.0099999999999997E-3</v>
      </c>
      <c r="V53">
        <v>4.6699999999999997E-3</v>
      </c>
      <c r="X53">
        <v>4.3699999999999998E-3</v>
      </c>
      <c r="Y53">
        <v>5.8100000000000001E-3</v>
      </c>
      <c r="Z53">
        <v>4.0400000000000002E-3</v>
      </c>
      <c r="AA53">
        <v>5.0899999999999999E-3</v>
      </c>
      <c r="AB53">
        <v>6.7999999999999996E-3</v>
      </c>
      <c r="AC53">
        <v>6.8199999999999997E-3</v>
      </c>
      <c r="AD53">
        <v>5.1599999999999997E-3</v>
      </c>
      <c r="AE53">
        <v>5.7999999999999996E-3</v>
      </c>
      <c r="AF53">
        <v>6.0499999999999998E-3</v>
      </c>
      <c r="AG53">
        <v>4.7699999999999999E-3</v>
      </c>
      <c r="AH53">
        <v>4.7699999999999999E-3</v>
      </c>
      <c r="AI53">
        <v>4.9399999999999999E-3</v>
      </c>
      <c r="AJ53">
        <v>4.5500000000000002E-3</v>
      </c>
      <c r="AK53">
        <v>5.9699999999999996E-3</v>
      </c>
      <c r="AL53">
        <v>7.43E-3</v>
      </c>
      <c r="AM53">
        <v>4.2900000000000004E-3</v>
      </c>
      <c r="AN53">
        <v>5.3200000000000001E-3</v>
      </c>
      <c r="AO53">
        <v>1.034E-2</v>
      </c>
      <c r="AP53">
        <v>5.5799999999999999E-3</v>
      </c>
      <c r="AQ53">
        <v>5.94E-3</v>
      </c>
      <c r="AR53">
        <v>5.5100000000000001E-3</v>
      </c>
      <c r="AS53">
        <v>5.7499999999999999E-3</v>
      </c>
      <c r="AT53">
        <v>4.5300000000000002E-3</v>
      </c>
      <c r="AU53">
        <v>5.1200000000000004E-3</v>
      </c>
      <c r="AV53">
        <v>4.7600000000000003E-3</v>
      </c>
      <c r="AW53">
        <v>5.2399999999999999E-3</v>
      </c>
      <c r="AX53">
        <v>5.1900000000000002E-3</v>
      </c>
      <c r="AY53">
        <v>5.1799999999999997E-3</v>
      </c>
      <c r="AZ53">
        <v>5.3499999999999997E-3</v>
      </c>
      <c r="BA53">
        <v>4.7200000000000002E-3</v>
      </c>
      <c r="BB53">
        <v>6.0800000000000003E-3</v>
      </c>
      <c r="BC53">
        <v>6.5500000000000003E-3</v>
      </c>
      <c r="BE53">
        <v>8.0499999999999999E-3</v>
      </c>
      <c r="BF53">
        <v>9.4500000000000001E-3</v>
      </c>
      <c r="BG53">
        <v>6.1599999999999997E-3</v>
      </c>
      <c r="BH53">
        <v>5.45E-3</v>
      </c>
      <c r="BI53">
        <v>9.3799999999999994E-3</v>
      </c>
      <c r="BJ53">
        <v>6.3099999999999996E-3</v>
      </c>
      <c r="BK53">
        <v>6.8700000000000002E-3</v>
      </c>
      <c r="BL53">
        <v>6.9499999999999996E-3</v>
      </c>
      <c r="BM53">
        <v>6.6100000000000004E-3</v>
      </c>
      <c r="BN53">
        <v>6.1199999999999996E-3</v>
      </c>
      <c r="BO53">
        <v>7.6800000000000002E-3</v>
      </c>
      <c r="BP53">
        <v>6.7499999999999999E-3</v>
      </c>
      <c r="BQ53">
        <v>5.79E-3</v>
      </c>
      <c r="BR53">
        <v>4.6600000000000001E-3</v>
      </c>
      <c r="BT53">
        <v>6.96E-3</v>
      </c>
      <c r="BU53">
        <v>8.5299999999999994E-3</v>
      </c>
      <c r="BV53">
        <v>8.5400000000000007E-3</v>
      </c>
      <c r="BW53">
        <v>8.2500000000000004E-3</v>
      </c>
      <c r="BX53">
        <v>8.0599999999999995E-3</v>
      </c>
      <c r="BY53">
        <v>8.1799999999999998E-3</v>
      </c>
      <c r="BZ53">
        <v>7.1599999999999997E-3</v>
      </c>
      <c r="CA53">
        <v>7.3699999999999998E-3</v>
      </c>
      <c r="CB53">
        <v>6.13E-3</v>
      </c>
      <c r="CC53">
        <v>6.5500000000000003E-3</v>
      </c>
      <c r="CD53">
        <v>5.3099999999999996E-3</v>
      </c>
      <c r="CE53">
        <v>5.3800000000000002E-3</v>
      </c>
      <c r="CF53">
        <v>5.11E-3</v>
      </c>
      <c r="CG53">
        <v>4.8199999999999996E-3</v>
      </c>
      <c r="CH53">
        <v>4.5799999999999999E-3</v>
      </c>
      <c r="CI53">
        <v>4.3200000000000001E-3</v>
      </c>
      <c r="CJ53">
        <v>4.0699999999999998E-3</v>
      </c>
      <c r="CK53">
        <v>4.3299999999999996E-3</v>
      </c>
      <c r="CL53">
        <v>5.3600000000000002E-3</v>
      </c>
      <c r="CM53">
        <v>5.5500000000000002E-3</v>
      </c>
      <c r="CN53">
        <v>5.8399999999999997E-3</v>
      </c>
      <c r="CO53">
        <v>5.62E-3</v>
      </c>
      <c r="CP53">
        <v>5.9699999999999996E-3</v>
      </c>
      <c r="CQ53">
        <v>5.3600000000000002E-3</v>
      </c>
      <c r="CR53">
        <v>5.6800000000000002E-3</v>
      </c>
      <c r="CS53">
        <v>6.0499999999999998E-3</v>
      </c>
      <c r="CT53">
        <v>6.4200000000000004E-3</v>
      </c>
      <c r="CU53">
        <v>5.1799999999999997E-3</v>
      </c>
      <c r="CV53">
        <v>5.0899999999999999E-3</v>
      </c>
      <c r="CW53">
        <v>5.3899999999999998E-3</v>
      </c>
      <c r="CY53">
        <v>4.3899999999999998E-3</v>
      </c>
      <c r="CZ53">
        <v>4.45E-3</v>
      </c>
      <c r="DA53">
        <v>4.8599999999999997E-3</v>
      </c>
      <c r="DB53">
        <v>4.7699999999999999E-3</v>
      </c>
      <c r="DC53">
        <v>4.7299999999999998E-3</v>
      </c>
      <c r="DD53">
        <v>4.6800000000000001E-3</v>
      </c>
      <c r="DE53">
        <v>4.6499999999999996E-3</v>
      </c>
      <c r="DF53">
        <v>6.2500000000000003E-3</v>
      </c>
      <c r="DG53">
        <v>4.3400000000000001E-3</v>
      </c>
      <c r="DH53">
        <v>5.64E-3</v>
      </c>
      <c r="DI53">
        <v>5.5900000000000004E-3</v>
      </c>
      <c r="DJ53">
        <v>5.7200000000000003E-3</v>
      </c>
      <c r="DK53">
        <v>5.8199999999999997E-3</v>
      </c>
      <c r="DL53">
        <v>5.8900000000000003E-3</v>
      </c>
      <c r="DM53">
        <v>7.2300000000000003E-3</v>
      </c>
      <c r="DN53">
        <v>5.3099999999999996E-3</v>
      </c>
      <c r="DO53">
        <v>7.5399999999999998E-3</v>
      </c>
      <c r="DQ53">
        <v>8.0000000000000002E-3</v>
      </c>
      <c r="DS53">
        <v>5.62E-3</v>
      </c>
      <c r="DV53">
        <v>8.4100000000000008E-3</v>
      </c>
      <c r="DW53">
        <v>5.6800000000000002E-3</v>
      </c>
      <c r="DY53">
        <v>8.9200000000000008E-3</v>
      </c>
      <c r="DZ53">
        <v>8.5699999999999995E-3</v>
      </c>
      <c r="EA53">
        <v>4.9300000000000004E-3</v>
      </c>
      <c r="EB53">
        <v>4.8900000000000002E-3</v>
      </c>
      <c r="EC53">
        <v>4.5300000000000002E-3</v>
      </c>
      <c r="EF53">
        <v>1.048E-2</v>
      </c>
      <c r="EI53">
        <v>5.9100000000000003E-3</v>
      </c>
      <c r="EJ53">
        <v>5.4000000000000003E-3</v>
      </c>
      <c r="EK53">
        <v>5.3899999999999998E-3</v>
      </c>
      <c r="EL53">
        <v>5.6699999999999997E-3</v>
      </c>
      <c r="EM53">
        <v>5.9699999999999996E-3</v>
      </c>
      <c r="EN53">
        <v>6.1000000000000004E-3</v>
      </c>
      <c r="EO53">
        <v>6.13E-3</v>
      </c>
      <c r="EP53">
        <v>6.5100000000000002E-3</v>
      </c>
      <c r="EQ53">
        <v>6.5599999999999999E-3</v>
      </c>
      <c r="ER53">
        <v>4.9300000000000004E-3</v>
      </c>
      <c r="ES53">
        <v>4.8799999999999998E-3</v>
      </c>
      <c r="ET53">
        <v>4.7800000000000004E-3</v>
      </c>
      <c r="EU53">
        <v>9.3799999999999994E-3</v>
      </c>
      <c r="EV53">
        <v>8.6700000000000006E-3</v>
      </c>
      <c r="EW53">
        <v>8.1899999999999994E-3</v>
      </c>
      <c r="EX53">
        <v>8.3700000000000007E-3</v>
      </c>
      <c r="EY53">
        <v>6.6800000000000002E-3</v>
      </c>
      <c r="EZ53">
        <v>6.8100000000000001E-3</v>
      </c>
      <c r="FA53">
        <v>5.5300000000000002E-3</v>
      </c>
      <c r="FB53">
        <v>6.0200000000000002E-3</v>
      </c>
      <c r="FC53">
        <v>5.1399999999999996E-3</v>
      </c>
      <c r="FD53">
        <v>5.0600000000000003E-3</v>
      </c>
      <c r="FE53">
        <v>5.9500000000000004E-3</v>
      </c>
      <c r="FF53">
        <v>4.3400000000000001E-3</v>
      </c>
      <c r="FG53">
        <v>8.0999999999999996E-3</v>
      </c>
      <c r="FH53">
        <v>8.3000000000000001E-3</v>
      </c>
      <c r="FI53">
        <v>8.0700000000000008E-3</v>
      </c>
      <c r="FJ53">
        <v>8.1200000000000005E-3</v>
      </c>
      <c r="FK53">
        <v>7.2399999999999999E-3</v>
      </c>
      <c r="FL53">
        <v>4.7299999999999998E-3</v>
      </c>
      <c r="FN53">
        <v>5.6299999999999996E-3</v>
      </c>
      <c r="FO53">
        <v>5.1000000000000004E-3</v>
      </c>
      <c r="FP53">
        <v>4.6800000000000001E-3</v>
      </c>
      <c r="FQ53">
        <v>6.11E-3</v>
      </c>
      <c r="FR53">
        <v>6.1900000000000002E-3</v>
      </c>
      <c r="FS53">
        <v>6.4200000000000004E-3</v>
      </c>
      <c r="FT53">
        <v>6.2300000000000003E-3</v>
      </c>
      <c r="FU53">
        <v>6.2199999999999998E-3</v>
      </c>
      <c r="FV53">
        <v>6.3099999999999996E-3</v>
      </c>
      <c r="FW53">
        <v>6.0899999999999999E-3</v>
      </c>
      <c r="FX53">
        <v>6.3299999999999997E-3</v>
      </c>
      <c r="FY53">
        <v>6.6899999999999998E-3</v>
      </c>
      <c r="FZ53">
        <v>6.5199999999999998E-3</v>
      </c>
      <c r="GA53">
        <v>6.8999999999999999E-3</v>
      </c>
      <c r="GB53">
        <v>6.7000000000000002E-3</v>
      </c>
      <c r="GC53">
        <v>7.11E-3</v>
      </c>
      <c r="GD53">
        <v>6.7200000000000003E-3</v>
      </c>
      <c r="GE53">
        <v>7.1900000000000002E-3</v>
      </c>
      <c r="GF53">
        <v>6.3E-3</v>
      </c>
      <c r="GG53">
        <v>6.3699999999999998E-3</v>
      </c>
      <c r="GH53">
        <v>6.4799999999999996E-3</v>
      </c>
      <c r="GI53">
        <v>7.2500000000000004E-3</v>
      </c>
      <c r="GJ53">
        <v>7.3699999999999998E-3</v>
      </c>
      <c r="GK53">
        <v>7.5300000000000002E-3</v>
      </c>
      <c r="GL53">
        <v>7.7299999999999999E-3</v>
      </c>
      <c r="GM53">
        <v>6.8900000000000003E-3</v>
      </c>
      <c r="GO53">
        <v>6.5100000000000002E-3</v>
      </c>
      <c r="GP53">
        <v>5.5700000000000003E-3</v>
      </c>
      <c r="GQ53">
        <v>5.8900000000000003E-3</v>
      </c>
      <c r="GR53">
        <v>6.1599999999999997E-3</v>
      </c>
      <c r="GS53">
        <v>5.4400000000000004E-3</v>
      </c>
      <c r="GT53">
        <v>5.96E-3</v>
      </c>
      <c r="GU53">
        <v>5.9100000000000003E-3</v>
      </c>
      <c r="GV53">
        <v>7.9699999999999997E-3</v>
      </c>
      <c r="GW53">
        <v>7.62E-3</v>
      </c>
      <c r="GX53">
        <v>7.26E-3</v>
      </c>
      <c r="GY53">
        <v>6.8599999999999998E-3</v>
      </c>
      <c r="GZ53">
        <v>6.2899999999999996E-3</v>
      </c>
      <c r="HA53">
        <v>5.0099999999999997E-3</v>
      </c>
      <c r="HD53">
        <v>4.0400000000000002E-3</v>
      </c>
      <c r="HE53">
        <v>6.1399999999999996E-3</v>
      </c>
      <c r="HF53">
        <v>7.5199999999999998E-3</v>
      </c>
      <c r="HG53">
        <v>8.1499999999999993E-3</v>
      </c>
      <c r="HH53">
        <v>8.1499999999999993E-3</v>
      </c>
      <c r="HI53">
        <v>8.3599999999999994E-3</v>
      </c>
      <c r="HJ53">
        <v>4.4000000000000003E-3</v>
      </c>
      <c r="HK53">
        <v>5.6800000000000002E-3</v>
      </c>
      <c r="HL53">
        <v>6.0800000000000003E-3</v>
      </c>
      <c r="HM53">
        <v>5.96E-3</v>
      </c>
      <c r="HN53">
        <v>5.8300000000000001E-3</v>
      </c>
      <c r="HO53">
        <v>5.4799999999999996E-3</v>
      </c>
      <c r="HP53">
        <v>4.8599999999999997E-3</v>
      </c>
      <c r="HQ53">
        <v>5.3200000000000001E-3</v>
      </c>
      <c r="HR53">
        <v>6.1999999999999998E-3</v>
      </c>
      <c r="HS53">
        <v>9.4999999999999998E-3</v>
      </c>
      <c r="HT53">
        <v>4.9500000000000004E-3</v>
      </c>
      <c r="HU53">
        <v>5.0299999999999997E-3</v>
      </c>
      <c r="HV53">
        <v>6.3899999999999998E-3</v>
      </c>
      <c r="HW53">
        <v>5.1999999999999998E-3</v>
      </c>
      <c r="HX53">
        <v>5.7499999999999999E-3</v>
      </c>
      <c r="HY53">
        <v>5.5900000000000004E-3</v>
      </c>
      <c r="HZ53">
        <v>3.9100000000000003E-3</v>
      </c>
      <c r="IA53">
        <v>6.5900000000000004E-3</v>
      </c>
      <c r="IB53">
        <v>8.2100000000000003E-3</v>
      </c>
      <c r="IC53">
        <v>7.1199999999999996E-3</v>
      </c>
      <c r="ID53">
        <v>4.8599999999999997E-3</v>
      </c>
      <c r="IE53">
        <v>4.5300000000000002E-3</v>
      </c>
      <c r="IF53">
        <v>4.5999999999999999E-3</v>
      </c>
      <c r="IG53">
        <v>5.5900000000000004E-3</v>
      </c>
      <c r="IH53">
        <v>5.8999999999999999E-3</v>
      </c>
      <c r="II53">
        <v>4.3800000000000002E-3</v>
      </c>
      <c r="IJ53">
        <v>5.4200000000000003E-3</v>
      </c>
      <c r="IK53">
        <v>6.0600000000000003E-3</v>
      </c>
      <c r="IL53">
        <v>6.6800000000000002E-3</v>
      </c>
      <c r="IM53">
        <v>7.5199999999999998E-3</v>
      </c>
      <c r="IN53">
        <v>8.0000000000000002E-3</v>
      </c>
      <c r="IO53">
        <v>8.8000000000000005E-3</v>
      </c>
      <c r="IP53">
        <v>9.9699999999999997E-3</v>
      </c>
      <c r="IQ53">
        <v>1.082E-2</v>
      </c>
      <c r="IR53">
        <v>1.179E-2</v>
      </c>
      <c r="IS53">
        <v>4.9199999999999999E-3</v>
      </c>
      <c r="IT53">
        <v>3.9699999999999996E-3</v>
      </c>
      <c r="IU53">
        <v>4.2900000000000004E-3</v>
      </c>
      <c r="IV53">
        <v>4.3099999999999996E-3</v>
      </c>
      <c r="IW53">
        <v>4.9300000000000004E-3</v>
      </c>
      <c r="IX53">
        <v>3.48E-3</v>
      </c>
      <c r="IY53">
        <v>4.3699999999999998E-3</v>
      </c>
      <c r="IZ53">
        <v>4.0000000000000001E-3</v>
      </c>
      <c r="JA53">
        <v>4.4999999999999997E-3</v>
      </c>
      <c r="JB53">
        <v>4.5900000000000003E-3</v>
      </c>
      <c r="JC53">
        <v>4.9500000000000004E-3</v>
      </c>
      <c r="JD53">
        <v>5.2399999999999999E-3</v>
      </c>
      <c r="JE53">
        <v>4.4400000000000004E-3</v>
      </c>
      <c r="JG53">
        <v>9.7199999999999995E-3</v>
      </c>
      <c r="JH53">
        <v>9.6600000000000002E-3</v>
      </c>
      <c r="JI53">
        <v>5.8999999999999999E-3</v>
      </c>
      <c r="JJ53">
        <v>5.3899999999999998E-3</v>
      </c>
      <c r="JK53">
        <v>8.2900000000000005E-3</v>
      </c>
      <c r="JL53">
        <v>7.8600000000000007E-3</v>
      </c>
      <c r="JM53">
        <v>5.3600000000000002E-3</v>
      </c>
      <c r="JN53">
        <v>6.5199999999999998E-3</v>
      </c>
      <c r="JP53">
        <v>4.62E-3</v>
      </c>
      <c r="JQ53">
        <v>5.5900000000000004E-3</v>
      </c>
      <c r="JR53">
        <v>5.6600000000000001E-3</v>
      </c>
      <c r="JS53">
        <v>5.1700000000000001E-3</v>
      </c>
      <c r="JT53">
        <v>6.0699999999999999E-3</v>
      </c>
      <c r="JU53">
        <v>7.6600000000000001E-3</v>
      </c>
      <c r="JV53">
        <v>6.3299999999999997E-3</v>
      </c>
      <c r="JW53">
        <v>5.6800000000000002E-3</v>
      </c>
      <c r="JX53">
        <v>5.3400000000000001E-3</v>
      </c>
      <c r="JZ53">
        <v>6.4700000000000001E-3</v>
      </c>
      <c r="KA53">
        <v>6.2100000000000002E-3</v>
      </c>
      <c r="KB53">
        <v>5.4000000000000003E-3</v>
      </c>
      <c r="KC53">
        <v>5.6299999999999996E-3</v>
      </c>
      <c r="KD53">
        <v>6.0600000000000003E-3</v>
      </c>
      <c r="KE53">
        <v>8.2299999999999995E-3</v>
      </c>
      <c r="KF53">
        <v>1.073E-2</v>
      </c>
      <c r="KG53">
        <v>1.119E-2</v>
      </c>
      <c r="KH53">
        <v>1.124E-2</v>
      </c>
      <c r="KI53">
        <v>6.8999999999999999E-3</v>
      </c>
      <c r="KJ53">
        <v>7.0099999999999997E-3</v>
      </c>
      <c r="KK53">
        <v>7.0099999999999997E-3</v>
      </c>
      <c r="KL53">
        <v>7.3099999999999997E-3</v>
      </c>
      <c r="KM53">
        <v>7.4700000000000001E-3</v>
      </c>
      <c r="KO53">
        <v>6.7999999999999996E-3</v>
      </c>
      <c r="KP53">
        <v>6.8199999999999997E-3</v>
      </c>
      <c r="KQ53">
        <v>7.0099999999999997E-3</v>
      </c>
      <c r="KR53">
        <v>7.1300000000000001E-3</v>
      </c>
      <c r="KT53">
        <v>6.4700000000000001E-3</v>
      </c>
      <c r="KU53">
        <v>6.7400000000000003E-3</v>
      </c>
      <c r="KV53">
        <v>5.5700000000000003E-3</v>
      </c>
      <c r="KW53">
        <v>4.8300000000000001E-3</v>
      </c>
      <c r="KX53">
        <v>1.089E-2</v>
      </c>
      <c r="KY53">
        <v>7.0800000000000004E-3</v>
      </c>
      <c r="KZ53">
        <v>8.0199999999999994E-3</v>
      </c>
      <c r="LA53">
        <v>5.5500000000000002E-3</v>
      </c>
      <c r="LB53">
        <v>5.4400000000000004E-3</v>
      </c>
      <c r="LC53">
        <v>5.5500000000000002E-3</v>
      </c>
      <c r="LD53">
        <v>5.5500000000000002E-3</v>
      </c>
      <c r="LE53">
        <v>8.7600000000000004E-3</v>
      </c>
      <c r="LF53">
        <v>7.92E-3</v>
      </c>
      <c r="LG53">
        <v>6.4099999999999999E-3</v>
      </c>
      <c r="LI53">
        <v>8.7100000000000007E-3</v>
      </c>
      <c r="LJ53">
        <v>9.0799999999999995E-3</v>
      </c>
      <c r="LK53">
        <v>9.2200000000000008E-3</v>
      </c>
      <c r="LL53">
        <v>5.8700000000000002E-3</v>
      </c>
      <c r="LM53">
        <v>4.4099999999999999E-3</v>
      </c>
      <c r="LN53">
        <v>5.5100000000000001E-3</v>
      </c>
      <c r="LO53">
        <v>5.7600000000000004E-3</v>
      </c>
      <c r="LP53">
        <v>5.0200000000000002E-3</v>
      </c>
      <c r="LS53">
        <v>9.5099999999999994E-3</v>
      </c>
      <c r="LT53">
        <v>5.1999999999999998E-3</v>
      </c>
      <c r="LU53">
        <v>6.5199999999999998E-3</v>
      </c>
      <c r="LV53">
        <v>7.1900000000000002E-3</v>
      </c>
      <c r="LW53">
        <v>4.7999999999999996E-3</v>
      </c>
      <c r="LX53">
        <v>5.4799999999999996E-3</v>
      </c>
      <c r="LY53">
        <v>6.5700000000000003E-3</v>
      </c>
      <c r="MA53">
        <v>6.8399999999999997E-3</v>
      </c>
      <c r="MB53">
        <v>4.3699999999999998E-3</v>
      </c>
      <c r="MC53">
        <v>8.2299999999999995E-3</v>
      </c>
      <c r="MD53">
        <v>9.2999999999999992E-3</v>
      </c>
      <c r="ME53">
        <v>1.155E-2</v>
      </c>
      <c r="MF53">
        <v>1.384E-2</v>
      </c>
      <c r="MG53">
        <v>1.2789999999999999E-2</v>
      </c>
      <c r="MH53">
        <v>5.0400000000000002E-3</v>
      </c>
      <c r="MI53">
        <v>5.47E-3</v>
      </c>
      <c r="MJ53">
        <v>5.5199999999999997E-3</v>
      </c>
      <c r="MK53">
        <v>5.1200000000000004E-3</v>
      </c>
      <c r="ML53">
        <v>6.3400000000000001E-3</v>
      </c>
      <c r="MM53">
        <v>5.3800000000000002E-3</v>
      </c>
      <c r="MN53">
        <v>5.0699999999999999E-3</v>
      </c>
      <c r="MO53">
        <v>5.4099999999999999E-3</v>
      </c>
      <c r="MP53">
        <v>6.4099999999999999E-3</v>
      </c>
      <c r="MQ53">
        <v>4.1399999999999996E-3</v>
      </c>
      <c r="MR53">
        <v>5.4900000000000001E-3</v>
      </c>
      <c r="MS53">
        <v>5.6800000000000002E-3</v>
      </c>
      <c r="MT53">
        <v>7.0099999999999997E-3</v>
      </c>
      <c r="MU53">
        <v>4.7299999999999998E-3</v>
      </c>
      <c r="MV53">
        <v>5.1799999999999997E-3</v>
      </c>
      <c r="MW53">
        <v>5.4000000000000003E-3</v>
      </c>
      <c r="MX53">
        <v>5.5100000000000001E-3</v>
      </c>
      <c r="MY53">
        <v>5.9500000000000004E-3</v>
      </c>
      <c r="MZ53">
        <v>6.6800000000000002E-3</v>
      </c>
      <c r="NA53">
        <v>5.9899999999999997E-3</v>
      </c>
      <c r="NB53">
        <v>5.8199999999999997E-3</v>
      </c>
      <c r="NC53">
        <v>3.6800000000000001E-3</v>
      </c>
      <c r="ND53">
        <v>1.225E-2</v>
      </c>
      <c r="NE53">
        <v>6.3699999999999998E-3</v>
      </c>
      <c r="NF53">
        <v>7.0699999999999999E-3</v>
      </c>
      <c r="NG53">
        <v>4.5999999999999999E-3</v>
      </c>
      <c r="NI53">
        <v>4.2399999999999998E-3</v>
      </c>
      <c r="NJ53">
        <v>4.5799999999999999E-3</v>
      </c>
      <c r="NK53">
        <v>4.1700000000000001E-3</v>
      </c>
      <c r="NL53">
        <v>4.3800000000000002E-3</v>
      </c>
      <c r="NM53">
        <v>4.5999999999999999E-3</v>
      </c>
      <c r="NN53">
        <v>4.79E-3</v>
      </c>
      <c r="NO53">
        <v>4.9800000000000001E-3</v>
      </c>
      <c r="NP53">
        <v>4.4400000000000004E-3</v>
      </c>
      <c r="NQ53">
        <v>4.2700000000000004E-3</v>
      </c>
      <c r="NR53">
        <v>4.4799999999999996E-3</v>
      </c>
      <c r="NS53">
        <v>4.64E-3</v>
      </c>
      <c r="NU53">
        <v>4.2399999999999998E-3</v>
      </c>
      <c r="NV53">
        <v>4.4299999999999999E-3</v>
      </c>
      <c r="NW53">
        <v>4.4999999999999997E-3</v>
      </c>
      <c r="NX53">
        <v>4.5300000000000002E-3</v>
      </c>
      <c r="NY53">
        <v>4.6699999999999997E-3</v>
      </c>
      <c r="NZ53">
        <v>4.8300000000000001E-3</v>
      </c>
      <c r="OA53">
        <v>5.0299999999999997E-3</v>
      </c>
      <c r="OB53">
        <v>4.3E-3</v>
      </c>
      <c r="OC53">
        <v>4.47E-3</v>
      </c>
      <c r="OD53">
        <v>4.5399999999999998E-3</v>
      </c>
      <c r="OE53">
        <v>4.5399999999999998E-3</v>
      </c>
      <c r="OF53">
        <v>6.0699999999999999E-3</v>
      </c>
      <c r="OG53">
        <v>4.7499999999999999E-3</v>
      </c>
      <c r="OH53">
        <v>4.9800000000000001E-3</v>
      </c>
      <c r="OI53">
        <v>5.0899999999999999E-3</v>
      </c>
      <c r="OJ53">
        <v>5.2700000000000004E-3</v>
      </c>
      <c r="OK53">
        <v>5.3899999999999998E-3</v>
      </c>
      <c r="OM53">
        <v>5.3699999999999998E-3</v>
      </c>
      <c r="ON53">
        <v>5.0600000000000003E-3</v>
      </c>
      <c r="OO53">
        <v>4.8300000000000001E-3</v>
      </c>
      <c r="OP53">
        <v>5.1599999999999997E-3</v>
      </c>
      <c r="OQ53">
        <v>5.3099999999999996E-3</v>
      </c>
      <c r="OR53">
        <v>5.64E-3</v>
      </c>
      <c r="OS53">
        <v>6.1599999999999997E-3</v>
      </c>
      <c r="OT53">
        <v>5.9899999999999997E-3</v>
      </c>
      <c r="OU53">
        <v>6.2100000000000002E-3</v>
      </c>
      <c r="OV53">
        <v>5.4000000000000003E-3</v>
      </c>
      <c r="OW53">
        <v>3.7000000000000002E-3</v>
      </c>
      <c r="OX53">
        <v>4.9399999999999999E-3</v>
      </c>
      <c r="OY53">
        <v>5.3299999999999997E-3</v>
      </c>
      <c r="OZ53">
        <v>5.0099999999999997E-3</v>
      </c>
      <c r="PA53">
        <v>8.4799999999999997E-3</v>
      </c>
      <c r="PB53">
        <v>8.9300000000000004E-3</v>
      </c>
      <c r="PC53">
        <v>7.4099999999999999E-3</v>
      </c>
      <c r="PD53">
        <v>6.5599999999999999E-3</v>
      </c>
      <c r="PE53">
        <v>6.1599999999999997E-3</v>
      </c>
      <c r="PF53">
        <v>6.0400000000000002E-3</v>
      </c>
      <c r="PG53">
        <v>5.1500000000000001E-3</v>
      </c>
      <c r="PH53">
        <v>5.4000000000000003E-3</v>
      </c>
      <c r="PI53">
        <v>6.79E-3</v>
      </c>
      <c r="PJ53">
        <v>6.3499999999999997E-3</v>
      </c>
      <c r="PK53">
        <v>5.8900000000000003E-3</v>
      </c>
      <c r="PL53">
        <v>5.9100000000000003E-3</v>
      </c>
      <c r="PM53">
        <v>5.2399999999999999E-3</v>
      </c>
      <c r="PN53">
        <v>4.8399999999999997E-3</v>
      </c>
      <c r="PO53">
        <v>4.4600000000000004E-3</v>
      </c>
      <c r="PP53">
        <v>4.5999999999999999E-3</v>
      </c>
      <c r="PQ53">
        <v>4.7800000000000004E-3</v>
      </c>
      <c r="PR53">
        <v>4.2199999999999998E-3</v>
      </c>
      <c r="PS53">
        <v>4.8399999999999997E-3</v>
      </c>
      <c r="PT53">
        <v>4.9399999999999999E-3</v>
      </c>
      <c r="PV53">
        <v>3.32E-3</v>
      </c>
      <c r="PW53">
        <v>3.5000000000000001E-3</v>
      </c>
      <c r="PX53">
        <v>3.7000000000000002E-3</v>
      </c>
      <c r="PY53">
        <v>3.9199999999999999E-3</v>
      </c>
      <c r="PZ53">
        <v>4.2700000000000004E-3</v>
      </c>
      <c r="QA53">
        <v>3.8999999999999998E-3</v>
      </c>
      <c r="QB53">
        <v>4.28E-3</v>
      </c>
      <c r="QC53">
        <v>5.4099999999999999E-3</v>
      </c>
      <c r="QD53">
        <v>5.3099999999999996E-3</v>
      </c>
      <c r="QE53">
        <v>4.4400000000000004E-3</v>
      </c>
      <c r="QF53">
        <v>4.8900000000000002E-3</v>
      </c>
      <c r="QG53">
        <v>7.1700000000000002E-3</v>
      </c>
      <c r="QH53">
        <v>4.7999999999999996E-3</v>
      </c>
      <c r="QI53">
        <v>5.0800000000000003E-3</v>
      </c>
      <c r="QJ53">
        <v>4.8799999999999998E-3</v>
      </c>
      <c r="QK53">
        <v>4.9100000000000003E-3</v>
      </c>
      <c r="QL53">
        <v>4.7699999999999999E-3</v>
      </c>
      <c r="QM53">
        <v>5.2900000000000004E-3</v>
      </c>
      <c r="QN53">
        <v>8.2799999999999992E-3</v>
      </c>
      <c r="QO53">
        <v>5.9800000000000001E-3</v>
      </c>
      <c r="QP53">
        <v>7.45E-3</v>
      </c>
      <c r="QQ53">
        <v>7.6299999999999996E-3</v>
      </c>
      <c r="QR53">
        <v>7.8600000000000007E-3</v>
      </c>
      <c r="QS53">
        <v>7.79E-3</v>
      </c>
      <c r="QT53">
        <v>5.7200000000000003E-3</v>
      </c>
      <c r="QU53">
        <v>5.7400000000000003E-3</v>
      </c>
      <c r="QV53">
        <v>5.7600000000000004E-3</v>
      </c>
      <c r="QW53">
        <v>5.8300000000000001E-3</v>
      </c>
      <c r="QX53">
        <v>5.3899999999999998E-3</v>
      </c>
      <c r="QY53">
        <v>5.1200000000000004E-3</v>
      </c>
      <c r="QZ53">
        <v>5.4900000000000001E-3</v>
      </c>
      <c r="RA53">
        <v>5.8399999999999997E-3</v>
      </c>
      <c r="RB53">
        <v>6.8199999999999997E-3</v>
      </c>
      <c r="RC53">
        <v>5.8199999999999997E-3</v>
      </c>
      <c r="RD53">
        <v>8.3899999999999999E-3</v>
      </c>
      <c r="RE53">
        <v>6.5300000000000002E-3</v>
      </c>
      <c r="RF53">
        <v>6.7499999999999999E-3</v>
      </c>
      <c r="RG53">
        <v>4.9399999999999999E-3</v>
      </c>
      <c r="RH53">
        <v>5.0200000000000002E-3</v>
      </c>
      <c r="RI53">
        <v>7.3000000000000001E-3</v>
      </c>
      <c r="RJ53">
        <v>6.3600000000000002E-3</v>
      </c>
      <c r="RK53">
        <v>6.28E-3</v>
      </c>
      <c r="RL53">
        <v>5.8599999999999998E-3</v>
      </c>
      <c r="RM53">
        <v>4.3299999999999996E-3</v>
      </c>
      <c r="RN53">
        <v>4.45E-3</v>
      </c>
      <c r="RO53">
        <v>4.45E-3</v>
      </c>
      <c r="RP53">
        <v>4.0800000000000003E-3</v>
      </c>
      <c r="RQ53">
        <v>4.4200000000000003E-3</v>
      </c>
      <c r="RR53">
        <v>4.2300000000000003E-3</v>
      </c>
      <c r="RS53">
        <v>4.3200000000000001E-3</v>
      </c>
      <c r="RT53">
        <v>3.7200000000000002E-3</v>
      </c>
      <c r="RU53">
        <v>4.5700000000000003E-3</v>
      </c>
      <c r="RV53">
        <v>4.8700000000000002E-3</v>
      </c>
      <c r="RW53">
        <v>5.3800000000000002E-3</v>
      </c>
      <c r="RX53">
        <v>4.9800000000000001E-3</v>
      </c>
      <c r="RY53">
        <v>3.5400000000000002E-3</v>
      </c>
      <c r="RZ53">
        <v>4.4400000000000004E-3</v>
      </c>
      <c r="SA53">
        <v>5.8300000000000001E-3</v>
      </c>
      <c r="SB53">
        <v>5.3600000000000002E-3</v>
      </c>
      <c r="SC53">
        <v>6.0800000000000003E-3</v>
      </c>
      <c r="SD53">
        <v>6.5199999999999998E-3</v>
      </c>
      <c r="SE53">
        <v>5.94E-3</v>
      </c>
      <c r="SF53">
        <v>6.9499999999999996E-3</v>
      </c>
      <c r="SG53">
        <v>8.3899999999999999E-3</v>
      </c>
      <c r="SH53">
        <v>1.0749999999999999E-2</v>
      </c>
      <c r="SI53">
        <v>5.8100000000000001E-3</v>
      </c>
      <c r="SJ53">
        <v>4.7400000000000003E-3</v>
      </c>
      <c r="SK53">
        <v>4.2199999999999998E-3</v>
      </c>
      <c r="SL53">
        <v>4.5999999999999999E-3</v>
      </c>
      <c r="SM53">
        <v>3.7399999999999998E-3</v>
      </c>
      <c r="SN53">
        <v>4.1200000000000004E-3</v>
      </c>
      <c r="SO53">
        <v>3.96E-3</v>
      </c>
      <c r="SP53">
        <v>5.8700000000000002E-3</v>
      </c>
      <c r="SR53">
        <v>5.45E-3</v>
      </c>
      <c r="SS53">
        <v>4.6100000000000004E-3</v>
      </c>
      <c r="ST53">
        <v>4.6299999999999996E-3</v>
      </c>
      <c r="SU53">
        <v>4.8399999999999997E-3</v>
      </c>
      <c r="SV53">
        <v>4.7000000000000002E-3</v>
      </c>
      <c r="SW53">
        <v>5.0600000000000003E-3</v>
      </c>
      <c r="SX53">
        <v>5.1900000000000002E-3</v>
      </c>
      <c r="SY53">
        <v>4.5700000000000003E-3</v>
      </c>
      <c r="SZ53">
        <v>5.4999999999999997E-3</v>
      </c>
      <c r="TA53">
        <v>5.2199999999999998E-3</v>
      </c>
      <c r="TB53">
        <v>6.0299999999999998E-3</v>
      </c>
      <c r="TC53">
        <v>4.9300000000000004E-3</v>
      </c>
      <c r="TD53">
        <v>4.7299999999999998E-3</v>
      </c>
      <c r="TE53">
        <v>6.7400000000000003E-3</v>
      </c>
      <c r="TF53">
        <v>5.45E-3</v>
      </c>
      <c r="TG53">
        <v>6.0699999999999999E-3</v>
      </c>
      <c r="TH53">
        <v>6.8399999999999997E-3</v>
      </c>
      <c r="TI53">
        <v>4.9699999999999996E-3</v>
      </c>
      <c r="TJ53">
        <v>6.7999999999999996E-3</v>
      </c>
      <c r="TK53">
        <v>4.2599999999999999E-3</v>
      </c>
      <c r="TL53">
        <v>4.0000000000000001E-3</v>
      </c>
      <c r="TM53">
        <v>3.81E-3</v>
      </c>
      <c r="TO53">
        <v>5.3499999999999997E-3</v>
      </c>
      <c r="TP53">
        <v>4.1399999999999996E-3</v>
      </c>
      <c r="TQ53">
        <v>5.2500000000000003E-3</v>
      </c>
      <c r="TR53">
        <v>5.8399999999999997E-3</v>
      </c>
      <c r="TS53">
        <v>5.6800000000000002E-3</v>
      </c>
      <c r="TT53">
        <v>5.6699999999999997E-3</v>
      </c>
      <c r="TU53">
        <v>5.3200000000000001E-3</v>
      </c>
      <c r="TV53">
        <v>4.4000000000000003E-3</v>
      </c>
      <c r="TW53">
        <v>4.5799999999999999E-3</v>
      </c>
      <c r="TX53">
        <v>4.9699999999999996E-3</v>
      </c>
      <c r="TY53">
        <v>4.9800000000000001E-3</v>
      </c>
      <c r="TZ53">
        <v>5.11E-3</v>
      </c>
      <c r="UA53">
        <v>5.1200000000000004E-3</v>
      </c>
      <c r="UB53">
        <v>4.9399999999999999E-3</v>
      </c>
      <c r="UC53">
        <v>4.6499999999999996E-3</v>
      </c>
      <c r="UD53">
        <v>4.7299999999999998E-3</v>
      </c>
      <c r="UE53">
        <v>4.9300000000000004E-3</v>
      </c>
      <c r="UF53">
        <v>3.7699999999999999E-3</v>
      </c>
      <c r="UG53">
        <v>4.28E-3</v>
      </c>
      <c r="UH53">
        <v>5.3E-3</v>
      </c>
      <c r="UI53">
        <v>4.4099999999999999E-3</v>
      </c>
      <c r="UJ53">
        <v>5.2599999999999999E-3</v>
      </c>
      <c r="UK53">
        <v>5.0600000000000003E-3</v>
      </c>
      <c r="UL53">
        <v>5.1999999999999998E-3</v>
      </c>
      <c r="UM53">
        <v>5.8300000000000001E-3</v>
      </c>
      <c r="UN53">
        <v>4.8500000000000001E-3</v>
      </c>
      <c r="UO53">
        <v>4.8900000000000002E-3</v>
      </c>
      <c r="UP53">
        <v>6.3800000000000003E-3</v>
      </c>
      <c r="UQ53">
        <v>4.6800000000000001E-3</v>
      </c>
      <c r="UR53">
        <v>4.6100000000000004E-3</v>
      </c>
      <c r="US53">
        <v>4.9899999999999996E-3</v>
      </c>
      <c r="UT53">
        <v>4.6100000000000004E-3</v>
      </c>
      <c r="UU53">
        <v>4.7800000000000004E-3</v>
      </c>
      <c r="UV53">
        <v>5.0200000000000002E-3</v>
      </c>
      <c r="UW53">
        <v>5.8199999999999997E-3</v>
      </c>
      <c r="UX53">
        <v>4.1900000000000001E-3</v>
      </c>
      <c r="UY53">
        <v>4.5500000000000002E-3</v>
      </c>
      <c r="UZ53">
        <v>5.2900000000000004E-3</v>
      </c>
      <c r="VA53">
        <v>6.8199999999999997E-3</v>
      </c>
      <c r="VB53">
        <v>5.6100000000000004E-3</v>
      </c>
      <c r="VC53">
        <v>5.7999999999999996E-3</v>
      </c>
      <c r="VD53">
        <v>6.3E-3</v>
      </c>
      <c r="VE53">
        <v>4.8199999999999996E-3</v>
      </c>
      <c r="VF53">
        <v>6.6499999999999997E-3</v>
      </c>
      <c r="VG53">
        <v>8.1499999999999993E-3</v>
      </c>
      <c r="VH53">
        <v>4.81E-3</v>
      </c>
      <c r="VI53">
        <v>5.3600000000000002E-3</v>
      </c>
    </row>
    <row r="54" spans="1:581" x14ac:dyDescent="0.25">
      <c r="A54">
        <v>1550000</v>
      </c>
      <c r="B54">
        <v>4.1799999999999997E-3</v>
      </c>
      <c r="C54">
        <v>4.96E-3</v>
      </c>
      <c r="D54">
        <v>5.0400000000000002E-3</v>
      </c>
      <c r="E54">
        <v>5.7400000000000003E-3</v>
      </c>
      <c r="G54">
        <v>6.5100000000000002E-3</v>
      </c>
      <c r="H54">
        <v>5.0099999999999997E-3</v>
      </c>
      <c r="I54">
        <v>4.9300000000000004E-3</v>
      </c>
      <c r="J54">
        <v>4.9300000000000004E-3</v>
      </c>
      <c r="K54">
        <v>5.0800000000000003E-3</v>
      </c>
      <c r="L54">
        <v>4.9399999999999999E-3</v>
      </c>
      <c r="M54">
        <v>4.8399999999999997E-3</v>
      </c>
      <c r="N54">
        <v>4.7999999999999996E-3</v>
      </c>
      <c r="O54">
        <v>4.8300000000000001E-3</v>
      </c>
      <c r="P54">
        <v>4.7299999999999998E-3</v>
      </c>
      <c r="Q54">
        <v>4.7499999999999999E-3</v>
      </c>
      <c r="R54">
        <v>4.6699999999999997E-3</v>
      </c>
      <c r="S54">
        <v>4.6699999999999997E-3</v>
      </c>
      <c r="T54">
        <v>4.5700000000000003E-3</v>
      </c>
      <c r="U54">
        <v>6.0000000000000001E-3</v>
      </c>
      <c r="V54">
        <v>4.6899999999999997E-3</v>
      </c>
      <c r="W54">
        <v>5.8199999999999997E-3</v>
      </c>
      <c r="X54">
        <v>4.4099999999999999E-3</v>
      </c>
      <c r="Y54">
        <v>5.79E-3</v>
      </c>
      <c r="Z54">
        <v>4.0899999999999999E-3</v>
      </c>
      <c r="AA54">
        <v>5.0000000000000001E-3</v>
      </c>
      <c r="AB54">
        <v>6.79E-3</v>
      </c>
      <c r="AC54">
        <v>6.7799999999999996E-3</v>
      </c>
      <c r="AD54">
        <v>5.1200000000000004E-3</v>
      </c>
      <c r="AE54">
        <v>5.7600000000000004E-3</v>
      </c>
      <c r="AF54">
        <v>6.0099999999999997E-3</v>
      </c>
      <c r="AG54">
        <v>4.7099999999999998E-3</v>
      </c>
      <c r="AH54">
        <v>4.6899999999999997E-3</v>
      </c>
      <c r="AI54">
        <v>4.8399999999999997E-3</v>
      </c>
      <c r="AJ54">
        <v>4.5100000000000001E-3</v>
      </c>
      <c r="AK54">
        <v>5.9300000000000004E-3</v>
      </c>
      <c r="AL54">
        <v>7.4000000000000003E-3</v>
      </c>
      <c r="AM54">
        <v>4.2100000000000002E-3</v>
      </c>
      <c r="AN54">
        <v>5.2300000000000003E-3</v>
      </c>
      <c r="AO54">
        <v>1.0240000000000001E-2</v>
      </c>
      <c r="AP54">
        <v>5.5199999999999997E-3</v>
      </c>
      <c r="AQ54">
        <v>5.8199999999999997E-3</v>
      </c>
      <c r="AR54">
        <v>5.4200000000000003E-3</v>
      </c>
      <c r="AS54">
        <v>5.6499999999999996E-3</v>
      </c>
      <c r="AT54">
        <v>4.4400000000000004E-3</v>
      </c>
      <c r="AU54">
        <v>5.0299999999999997E-3</v>
      </c>
      <c r="AV54">
        <v>4.64E-3</v>
      </c>
      <c r="AW54">
        <v>5.1500000000000001E-3</v>
      </c>
      <c r="AX54">
        <v>5.1200000000000004E-3</v>
      </c>
      <c r="AY54">
        <v>5.1999999999999998E-3</v>
      </c>
      <c r="AZ54">
        <v>5.3899999999999998E-3</v>
      </c>
      <c r="BA54">
        <v>4.5900000000000003E-3</v>
      </c>
      <c r="BB54">
        <v>6.0299999999999998E-3</v>
      </c>
      <c r="BC54">
        <v>6.4900000000000001E-3</v>
      </c>
      <c r="BD54">
        <v>6.7799999999999996E-3</v>
      </c>
      <c r="BE54">
        <v>7.9600000000000001E-3</v>
      </c>
      <c r="BF54">
        <v>9.3699999999999999E-3</v>
      </c>
      <c r="BG54">
        <v>6.1000000000000004E-3</v>
      </c>
      <c r="BH54">
        <v>5.3499999999999997E-3</v>
      </c>
      <c r="BI54">
        <v>9.2899999999999996E-3</v>
      </c>
      <c r="BJ54">
        <v>6.2599999999999999E-3</v>
      </c>
      <c r="BK54">
        <v>6.8100000000000001E-3</v>
      </c>
      <c r="BL54">
        <v>6.8999999999999999E-3</v>
      </c>
      <c r="BM54">
        <v>6.5500000000000003E-3</v>
      </c>
      <c r="BN54">
        <v>6.1500000000000001E-3</v>
      </c>
      <c r="BO54">
        <v>7.6099999999999996E-3</v>
      </c>
      <c r="BP54">
        <v>6.7099999999999998E-3</v>
      </c>
      <c r="BQ54">
        <v>5.7800000000000004E-3</v>
      </c>
      <c r="BR54">
        <v>4.5500000000000002E-3</v>
      </c>
      <c r="BT54">
        <v>6.8700000000000002E-3</v>
      </c>
      <c r="BU54">
        <v>8.4700000000000001E-3</v>
      </c>
      <c r="BV54">
        <v>8.4799999999999997E-3</v>
      </c>
      <c r="BW54">
        <v>8.2100000000000003E-3</v>
      </c>
      <c r="BX54">
        <v>8.0000000000000002E-3</v>
      </c>
      <c r="BY54">
        <v>8.1200000000000005E-3</v>
      </c>
      <c r="BZ54">
        <v>7.1000000000000004E-3</v>
      </c>
      <c r="CA54">
        <v>7.3099999999999997E-3</v>
      </c>
      <c r="CC54">
        <v>6.5100000000000002E-3</v>
      </c>
      <c r="CD54">
        <v>5.2700000000000004E-3</v>
      </c>
      <c r="CE54">
        <v>5.3699999999999998E-3</v>
      </c>
      <c r="CF54">
        <v>5.11E-3</v>
      </c>
      <c r="CG54">
        <v>4.8199999999999996E-3</v>
      </c>
      <c r="CH54">
        <v>4.5900000000000003E-3</v>
      </c>
      <c r="CI54">
        <v>4.3499999999999997E-3</v>
      </c>
      <c r="CJ54">
        <v>4.1000000000000003E-3</v>
      </c>
      <c r="CL54">
        <v>5.3499999999999997E-3</v>
      </c>
      <c r="CN54">
        <v>5.7999999999999996E-3</v>
      </c>
      <c r="CO54">
        <v>5.5900000000000004E-3</v>
      </c>
      <c r="CP54">
        <v>5.9199999999999999E-3</v>
      </c>
      <c r="CQ54">
        <v>5.3600000000000002E-3</v>
      </c>
      <c r="CR54">
        <v>5.64E-3</v>
      </c>
      <c r="CS54">
        <v>6.0000000000000001E-3</v>
      </c>
      <c r="CT54">
        <v>6.3699999999999998E-3</v>
      </c>
      <c r="CU54">
        <v>5.1500000000000001E-3</v>
      </c>
      <c r="CV54">
        <v>5.0699999999999999E-3</v>
      </c>
      <c r="CW54">
        <v>5.3600000000000002E-3</v>
      </c>
      <c r="CY54">
        <v>4.3899999999999998E-3</v>
      </c>
      <c r="CZ54">
        <v>4.4799999999999996E-3</v>
      </c>
      <c r="DA54">
        <v>4.8500000000000001E-3</v>
      </c>
      <c r="DB54">
        <v>4.7699999999999999E-3</v>
      </c>
      <c r="DC54">
        <v>4.7200000000000002E-3</v>
      </c>
      <c r="DD54">
        <v>4.6800000000000001E-3</v>
      </c>
      <c r="DE54">
        <v>4.6499999999999996E-3</v>
      </c>
      <c r="DF54">
        <v>6.1399999999999996E-3</v>
      </c>
      <c r="DG54">
        <v>4.28E-3</v>
      </c>
      <c r="DH54">
        <v>5.5999999999999999E-3</v>
      </c>
      <c r="DI54">
        <v>5.5199999999999997E-3</v>
      </c>
      <c r="DJ54">
        <v>5.6699999999999997E-3</v>
      </c>
      <c r="DK54">
        <v>5.7400000000000003E-3</v>
      </c>
      <c r="DL54">
        <v>5.8300000000000001E-3</v>
      </c>
      <c r="DM54">
        <v>7.3499999999999998E-3</v>
      </c>
      <c r="DN54">
        <v>5.4400000000000004E-3</v>
      </c>
      <c r="DO54">
        <v>7.5599999999999999E-3</v>
      </c>
      <c r="DP54">
        <v>8.1300000000000001E-3</v>
      </c>
      <c r="DQ54">
        <v>7.9500000000000005E-3</v>
      </c>
      <c r="DR54">
        <v>5.2599999999999999E-3</v>
      </c>
      <c r="DS54">
        <v>5.5500000000000002E-3</v>
      </c>
      <c r="DV54">
        <v>8.3599999999999994E-3</v>
      </c>
      <c r="DW54">
        <v>5.7600000000000004E-3</v>
      </c>
      <c r="DX54">
        <v>6.6499999999999997E-3</v>
      </c>
      <c r="DY54">
        <v>8.8599999999999998E-3</v>
      </c>
      <c r="DZ54">
        <v>8.5100000000000002E-3</v>
      </c>
      <c r="EA54">
        <v>4.8799999999999998E-3</v>
      </c>
      <c r="EB54">
        <v>4.8599999999999997E-3</v>
      </c>
      <c r="EC54">
        <v>4.5100000000000001E-3</v>
      </c>
      <c r="EF54">
        <v>1.035E-2</v>
      </c>
      <c r="EI54">
        <v>5.8799999999999998E-3</v>
      </c>
      <c r="EJ54">
        <v>5.4000000000000003E-3</v>
      </c>
      <c r="EK54">
        <v>5.3600000000000002E-3</v>
      </c>
      <c r="EL54">
        <v>5.62E-3</v>
      </c>
      <c r="EM54">
        <v>5.9199999999999999E-3</v>
      </c>
      <c r="EN54">
        <v>6.0600000000000003E-3</v>
      </c>
      <c r="EO54">
        <v>6.0800000000000003E-3</v>
      </c>
      <c r="EP54">
        <v>6.45E-3</v>
      </c>
      <c r="EQ54">
        <v>6.4999999999999997E-3</v>
      </c>
      <c r="ER54">
        <v>4.8500000000000001E-3</v>
      </c>
      <c r="ES54">
        <v>4.81E-3</v>
      </c>
      <c r="ET54">
        <v>4.7000000000000002E-3</v>
      </c>
      <c r="EU54">
        <v>9.3100000000000006E-3</v>
      </c>
      <c r="EV54">
        <v>8.5900000000000004E-3</v>
      </c>
      <c r="EW54">
        <v>8.1399999999999997E-3</v>
      </c>
      <c r="EX54">
        <v>8.2799999999999992E-3</v>
      </c>
      <c r="EY54">
        <v>6.6800000000000002E-3</v>
      </c>
      <c r="EZ54">
        <v>6.7999999999999996E-3</v>
      </c>
      <c r="FA54">
        <v>5.4599999999999996E-3</v>
      </c>
      <c r="FB54">
        <v>5.9500000000000004E-3</v>
      </c>
      <c r="FC54">
        <v>5.0600000000000003E-3</v>
      </c>
      <c r="FD54">
        <v>5.0000000000000001E-3</v>
      </c>
      <c r="FE54">
        <v>5.8700000000000002E-3</v>
      </c>
      <c r="FF54">
        <v>4.3299999999999996E-3</v>
      </c>
      <c r="FG54">
        <v>8.0599999999999995E-3</v>
      </c>
      <c r="FH54">
        <v>8.2299999999999995E-3</v>
      </c>
      <c r="FI54">
        <v>8.0199999999999994E-3</v>
      </c>
      <c r="FJ54">
        <v>8.0800000000000004E-3</v>
      </c>
      <c r="FK54">
        <v>7.2100000000000003E-3</v>
      </c>
      <c r="FL54">
        <v>4.7000000000000002E-3</v>
      </c>
      <c r="FN54">
        <v>5.5300000000000002E-3</v>
      </c>
      <c r="FO54">
        <v>5.0499999999999998E-3</v>
      </c>
      <c r="FP54">
        <v>4.6299999999999996E-3</v>
      </c>
      <c r="FQ54">
        <v>6.0200000000000002E-3</v>
      </c>
      <c r="FR54">
        <v>6.0899999999999999E-3</v>
      </c>
      <c r="FS54">
        <v>6.3E-3</v>
      </c>
      <c r="FT54">
        <v>6.13E-3</v>
      </c>
      <c r="FU54">
        <v>6.13E-3</v>
      </c>
      <c r="FV54">
        <v>6.2700000000000004E-3</v>
      </c>
      <c r="FW54">
        <v>6.0099999999999997E-3</v>
      </c>
      <c r="FX54">
        <v>6.3E-3</v>
      </c>
      <c r="FY54">
        <v>6.6400000000000001E-3</v>
      </c>
      <c r="FZ54">
        <v>6.45E-3</v>
      </c>
      <c r="GA54">
        <v>6.8199999999999997E-3</v>
      </c>
      <c r="GB54">
        <v>6.6600000000000001E-3</v>
      </c>
      <c r="GC54">
        <v>7.0299999999999998E-3</v>
      </c>
      <c r="GD54">
        <v>6.6699999999999997E-3</v>
      </c>
      <c r="GE54">
        <v>7.1199999999999996E-3</v>
      </c>
      <c r="GF54">
        <v>6.2599999999999999E-3</v>
      </c>
      <c r="GG54">
        <v>6.3200000000000001E-3</v>
      </c>
      <c r="GH54">
        <v>6.4200000000000004E-3</v>
      </c>
      <c r="GI54">
        <v>7.1999999999999998E-3</v>
      </c>
      <c r="GJ54">
        <v>7.3200000000000001E-3</v>
      </c>
      <c r="GK54">
        <v>7.4799999999999997E-3</v>
      </c>
      <c r="GL54">
        <v>7.6699999999999997E-3</v>
      </c>
      <c r="GO54">
        <v>6.45E-3</v>
      </c>
      <c r="GP54">
        <v>5.4999999999999997E-3</v>
      </c>
      <c r="GQ54">
        <v>5.8100000000000001E-3</v>
      </c>
      <c r="GR54">
        <v>6.0600000000000003E-3</v>
      </c>
      <c r="GS54">
        <v>5.3899999999999998E-3</v>
      </c>
      <c r="GT54">
        <v>5.8900000000000003E-3</v>
      </c>
      <c r="GU54">
        <v>6.0400000000000002E-3</v>
      </c>
      <c r="GV54">
        <v>7.9100000000000004E-3</v>
      </c>
      <c r="GW54">
        <v>7.5799999999999999E-3</v>
      </c>
      <c r="GX54">
        <v>7.1999999999999998E-3</v>
      </c>
      <c r="GY54">
        <v>6.7600000000000004E-3</v>
      </c>
      <c r="GZ54">
        <v>6.2100000000000002E-3</v>
      </c>
      <c r="HA54">
        <v>4.9899999999999996E-3</v>
      </c>
      <c r="HE54">
        <v>6.2199999999999998E-3</v>
      </c>
      <c r="HF54">
        <v>7.5399999999999998E-3</v>
      </c>
      <c r="HG54">
        <v>8.09E-3</v>
      </c>
      <c r="HH54">
        <v>8.1099999999999992E-3</v>
      </c>
      <c r="HI54">
        <v>8.3000000000000001E-3</v>
      </c>
      <c r="HJ54">
        <v>4.3899999999999998E-3</v>
      </c>
      <c r="HK54">
        <v>5.5700000000000003E-3</v>
      </c>
      <c r="HL54">
        <v>6.0000000000000001E-3</v>
      </c>
      <c r="HM54">
        <v>5.8799999999999998E-3</v>
      </c>
      <c r="HN54">
        <v>5.77E-3</v>
      </c>
      <c r="HO54">
        <v>5.45E-3</v>
      </c>
      <c r="HP54">
        <v>4.8500000000000001E-3</v>
      </c>
      <c r="HQ54">
        <v>5.2300000000000003E-3</v>
      </c>
      <c r="HR54">
        <v>6.0499999999999998E-3</v>
      </c>
      <c r="HS54">
        <v>9.4000000000000004E-3</v>
      </c>
      <c r="HT54">
        <v>4.8599999999999997E-3</v>
      </c>
      <c r="HU54">
        <v>5.0099999999999997E-3</v>
      </c>
      <c r="HV54">
        <v>6.3299999999999997E-3</v>
      </c>
      <c r="HW54">
        <v>5.1700000000000001E-3</v>
      </c>
      <c r="HX54">
        <v>5.64E-3</v>
      </c>
      <c r="HY54">
        <v>5.5599999999999998E-3</v>
      </c>
      <c r="HZ54">
        <v>3.9100000000000003E-3</v>
      </c>
      <c r="IA54">
        <v>6.4999999999999997E-3</v>
      </c>
      <c r="IB54">
        <v>8.1300000000000001E-3</v>
      </c>
      <c r="IC54">
        <v>7.0699999999999999E-3</v>
      </c>
      <c r="ID54">
        <v>4.81E-3</v>
      </c>
      <c r="IE54">
        <v>4.4799999999999996E-3</v>
      </c>
      <c r="IF54">
        <v>4.5500000000000002E-3</v>
      </c>
      <c r="IG54">
        <v>5.5199999999999997E-3</v>
      </c>
      <c r="IH54">
        <v>5.8500000000000002E-3</v>
      </c>
      <c r="II54">
        <v>4.3400000000000001E-3</v>
      </c>
      <c r="IJ54">
        <v>5.3699999999999998E-3</v>
      </c>
      <c r="IK54">
        <v>6.0099999999999997E-3</v>
      </c>
      <c r="IL54">
        <v>6.6299999999999996E-3</v>
      </c>
      <c r="IM54">
        <v>7.4799999999999997E-3</v>
      </c>
      <c r="IN54">
        <v>7.9299999999999995E-3</v>
      </c>
      <c r="IO54">
        <v>8.7200000000000003E-3</v>
      </c>
      <c r="IP54">
        <v>9.8499999999999994E-3</v>
      </c>
      <c r="IQ54">
        <v>1.0749999999999999E-2</v>
      </c>
      <c r="IR54">
        <v>1.166E-2</v>
      </c>
      <c r="IS54">
        <v>4.9300000000000004E-3</v>
      </c>
      <c r="IT54">
        <v>3.9100000000000003E-3</v>
      </c>
      <c r="IU54">
        <v>4.2199999999999998E-3</v>
      </c>
      <c r="IV54">
        <v>4.28E-3</v>
      </c>
      <c r="IW54">
        <v>4.9100000000000003E-3</v>
      </c>
      <c r="IX54">
        <v>3.47E-3</v>
      </c>
      <c r="IY54">
        <v>4.3600000000000002E-3</v>
      </c>
      <c r="IZ54">
        <v>3.9899999999999996E-3</v>
      </c>
      <c r="JA54">
        <v>4.4799999999999996E-3</v>
      </c>
      <c r="JB54">
        <v>4.5700000000000003E-3</v>
      </c>
      <c r="JC54">
        <v>4.9199999999999999E-3</v>
      </c>
      <c r="JD54">
        <v>5.1999999999999998E-3</v>
      </c>
      <c r="JE54">
        <v>4.4200000000000003E-3</v>
      </c>
      <c r="JF54">
        <v>6.9100000000000003E-3</v>
      </c>
      <c r="JG54">
        <v>9.7300000000000008E-3</v>
      </c>
      <c r="JH54">
        <v>9.5399999999999999E-3</v>
      </c>
      <c r="JI54">
        <v>5.8199999999999997E-3</v>
      </c>
      <c r="JJ54">
        <v>5.3400000000000001E-3</v>
      </c>
      <c r="JK54">
        <v>8.3800000000000003E-3</v>
      </c>
      <c r="JL54">
        <v>7.7600000000000004E-3</v>
      </c>
      <c r="JM54">
        <v>5.3099999999999996E-3</v>
      </c>
      <c r="JN54">
        <v>6.4000000000000003E-3</v>
      </c>
      <c r="JP54">
        <v>4.5500000000000002E-3</v>
      </c>
      <c r="JQ54">
        <v>5.5999999999999999E-3</v>
      </c>
      <c r="JR54">
        <v>5.62E-3</v>
      </c>
      <c r="JS54">
        <v>5.1399999999999996E-3</v>
      </c>
      <c r="JT54">
        <v>6.0400000000000002E-3</v>
      </c>
      <c r="JU54">
        <v>7.6499999999999997E-3</v>
      </c>
      <c r="JV54">
        <v>6.4700000000000001E-3</v>
      </c>
      <c r="JW54">
        <v>5.6100000000000004E-3</v>
      </c>
      <c r="JX54">
        <v>5.3E-3</v>
      </c>
      <c r="JY54">
        <v>6.3899999999999998E-3</v>
      </c>
      <c r="JZ54">
        <v>6.3899999999999998E-3</v>
      </c>
      <c r="KA54">
        <v>6.1700000000000001E-3</v>
      </c>
      <c r="KB54">
        <v>5.3800000000000002E-3</v>
      </c>
      <c r="KD54">
        <v>6.0200000000000002E-3</v>
      </c>
      <c r="KE54">
        <v>8.26E-3</v>
      </c>
      <c r="KF54">
        <v>1.0659999999999999E-2</v>
      </c>
      <c r="KG54">
        <v>1.1129999999999999E-2</v>
      </c>
      <c r="KH54">
        <v>1.119E-2</v>
      </c>
      <c r="KI54">
        <v>6.8399999999999997E-3</v>
      </c>
      <c r="KJ54">
        <v>6.9199999999999999E-3</v>
      </c>
      <c r="KK54">
        <v>6.9100000000000003E-3</v>
      </c>
      <c r="KL54">
        <v>7.2199999999999999E-3</v>
      </c>
      <c r="KM54">
        <v>7.4400000000000004E-3</v>
      </c>
      <c r="KO54">
        <v>6.79E-3</v>
      </c>
      <c r="KP54">
        <v>6.7400000000000003E-3</v>
      </c>
      <c r="KQ54">
        <v>6.9699999999999996E-3</v>
      </c>
      <c r="KR54">
        <v>7.0299999999999998E-3</v>
      </c>
      <c r="KS54">
        <v>6.2100000000000002E-3</v>
      </c>
      <c r="KT54">
        <v>6.4999999999999997E-3</v>
      </c>
      <c r="KU54">
        <v>6.7499999999999999E-3</v>
      </c>
      <c r="KV54">
        <v>5.6899999999999997E-3</v>
      </c>
      <c r="KW54">
        <v>4.8799999999999998E-3</v>
      </c>
      <c r="KX54">
        <v>1.082E-2</v>
      </c>
      <c r="KY54">
        <v>7.1199999999999996E-3</v>
      </c>
      <c r="KZ54">
        <v>8.0300000000000007E-3</v>
      </c>
      <c r="LA54">
        <v>5.4999999999999997E-3</v>
      </c>
      <c r="LB54">
        <v>5.4000000000000003E-3</v>
      </c>
      <c r="LC54">
        <v>5.5100000000000001E-3</v>
      </c>
      <c r="LD54">
        <v>5.5100000000000001E-3</v>
      </c>
      <c r="LE54">
        <v>8.6999999999999994E-3</v>
      </c>
      <c r="LF54">
        <v>7.8300000000000002E-3</v>
      </c>
      <c r="LG54">
        <v>6.2899999999999996E-3</v>
      </c>
      <c r="LI54">
        <v>8.6300000000000005E-3</v>
      </c>
      <c r="LJ54">
        <v>8.9999999999999993E-3</v>
      </c>
      <c r="LK54">
        <v>9.1299999999999992E-3</v>
      </c>
      <c r="LL54">
        <v>5.7999999999999996E-3</v>
      </c>
      <c r="LM54">
        <v>4.3499999999999997E-3</v>
      </c>
      <c r="LN54">
        <v>5.4000000000000003E-3</v>
      </c>
      <c r="LO54">
        <v>5.64E-3</v>
      </c>
      <c r="LP54">
        <v>4.9300000000000004E-3</v>
      </c>
      <c r="LR54">
        <v>8.4600000000000005E-3</v>
      </c>
      <c r="LS54">
        <v>9.4199999999999996E-3</v>
      </c>
      <c r="LT54">
        <v>5.13E-3</v>
      </c>
      <c r="LU54">
        <v>6.4099999999999999E-3</v>
      </c>
      <c r="LV54">
        <v>6.9899999999999997E-3</v>
      </c>
      <c r="LX54">
        <v>5.4900000000000001E-3</v>
      </c>
      <c r="LY54">
        <v>6.5199999999999998E-3</v>
      </c>
      <c r="LZ54">
        <v>6.5799999999999999E-3</v>
      </c>
      <c r="MA54">
        <v>6.7999999999999996E-3</v>
      </c>
      <c r="MB54">
        <v>4.4099999999999999E-3</v>
      </c>
      <c r="MC54">
        <v>8.1600000000000006E-3</v>
      </c>
      <c r="MD54">
        <v>9.2599999999999991E-3</v>
      </c>
      <c r="ME54">
        <v>1.142E-2</v>
      </c>
      <c r="MF54">
        <v>1.371E-2</v>
      </c>
      <c r="MG54">
        <v>1.277E-2</v>
      </c>
      <c r="MH54">
        <v>4.96E-3</v>
      </c>
      <c r="MI54">
        <v>5.3699999999999998E-3</v>
      </c>
      <c r="MJ54">
        <v>5.4200000000000003E-3</v>
      </c>
      <c r="MK54">
        <v>5.0299999999999997E-3</v>
      </c>
      <c r="ML54">
        <v>6.28E-3</v>
      </c>
      <c r="MM54">
        <v>5.2599999999999999E-3</v>
      </c>
      <c r="MN54">
        <v>5.0299999999999997E-3</v>
      </c>
      <c r="MO54">
        <v>5.3600000000000002E-3</v>
      </c>
      <c r="MP54">
        <v>6.3899999999999998E-3</v>
      </c>
      <c r="MQ54">
        <v>4.0899999999999999E-3</v>
      </c>
      <c r="MR54">
        <v>5.4400000000000004E-3</v>
      </c>
      <c r="MS54">
        <v>5.62E-3</v>
      </c>
      <c r="MT54">
        <v>6.96E-3</v>
      </c>
      <c r="MU54">
        <v>4.7299999999999998E-3</v>
      </c>
      <c r="MV54">
        <v>5.1700000000000001E-3</v>
      </c>
      <c r="MW54">
        <v>5.3699999999999998E-3</v>
      </c>
      <c r="MX54">
        <v>5.47E-3</v>
      </c>
      <c r="MY54">
        <v>5.8999999999999999E-3</v>
      </c>
      <c r="MZ54">
        <v>6.62E-3</v>
      </c>
      <c r="NA54">
        <v>5.9500000000000004E-3</v>
      </c>
      <c r="NB54">
        <v>5.7499999999999999E-3</v>
      </c>
      <c r="NC54">
        <v>3.64E-3</v>
      </c>
      <c r="ND54">
        <v>1.218E-2</v>
      </c>
      <c r="NE54">
        <v>6.28E-3</v>
      </c>
      <c r="NF54">
        <v>7.0099999999999997E-3</v>
      </c>
      <c r="NH54">
        <v>3.9399999999999999E-3</v>
      </c>
      <c r="NI54">
        <v>4.2100000000000002E-3</v>
      </c>
      <c r="NJ54">
        <v>4.5500000000000002E-3</v>
      </c>
      <c r="NK54">
        <v>4.15E-3</v>
      </c>
      <c r="NN54">
        <v>4.7499999999999999E-3</v>
      </c>
      <c r="NO54">
        <v>4.9300000000000004E-3</v>
      </c>
      <c r="NP54">
        <v>4.4299999999999999E-3</v>
      </c>
      <c r="NR54">
        <v>4.45E-3</v>
      </c>
      <c r="NS54">
        <v>4.6100000000000004E-3</v>
      </c>
      <c r="NT54">
        <v>4.9699999999999996E-3</v>
      </c>
      <c r="NU54">
        <v>4.1999999999999997E-3</v>
      </c>
      <c r="NV54">
        <v>4.4000000000000003E-3</v>
      </c>
      <c r="NW54">
        <v>4.4799999999999996E-3</v>
      </c>
      <c r="NX54">
        <v>4.4900000000000001E-3</v>
      </c>
      <c r="NY54">
        <v>4.64E-3</v>
      </c>
      <c r="NZ54">
        <v>4.79E-3</v>
      </c>
      <c r="OA54">
        <v>4.9800000000000001E-3</v>
      </c>
      <c r="OB54">
        <v>4.28E-3</v>
      </c>
      <c r="OC54">
        <v>4.45E-3</v>
      </c>
      <c r="OD54">
        <v>4.4900000000000001E-3</v>
      </c>
      <c r="OE54">
        <v>4.4900000000000001E-3</v>
      </c>
      <c r="OF54">
        <v>6.0200000000000002E-3</v>
      </c>
      <c r="OG54">
        <v>4.7099999999999998E-3</v>
      </c>
      <c r="OI54">
        <v>5.0499999999999998E-3</v>
      </c>
      <c r="OJ54">
        <v>5.2300000000000003E-3</v>
      </c>
      <c r="OL54">
        <v>5.4999999999999997E-3</v>
      </c>
      <c r="OM54">
        <v>5.4599999999999996E-3</v>
      </c>
      <c r="ON54">
        <v>5.1399999999999996E-3</v>
      </c>
      <c r="OP54">
        <v>5.1200000000000004E-3</v>
      </c>
      <c r="OQ54">
        <v>5.28E-3</v>
      </c>
      <c r="OR54">
        <v>5.6100000000000004E-3</v>
      </c>
      <c r="OS54">
        <v>6.1199999999999996E-3</v>
      </c>
      <c r="OT54">
        <v>5.9500000000000004E-3</v>
      </c>
      <c r="OU54">
        <v>6.1900000000000002E-3</v>
      </c>
      <c r="OV54">
        <v>5.3499999999999997E-3</v>
      </c>
      <c r="OW54">
        <v>3.79E-3</v>
      </c>
      <c r="OX54">
        <v>5.0200000000000002E-3</v>
      </c>
      <c r="OY54">
        <v>5.3699999999999998E-3</v>
      </c>
      <c r="OZ54">
        <v>5.0499999999999998E-3</v>
      </c>
      <c r="PA54">
        <v>8.3999999999999995E-3</v>
      </c>
      <c r="PB54">
        <v>8.8299999999999993E-3</v>
      </c>
      <c r="PD54">
        <v>6.5399999999999998E-3</v>
      </c>
      <c r="PE54">
        <v>6.13E-3</v>
      </c>
      <c r="PG54">
        <v>5.1500000000000001E-3</v>
      </c>
      <c r="PH54">
        <v>5.3800000000000002E-3</v>
      </c>
      <c r="PI54">
        <v>6.7600000000000004E-3</v>
      </c>
      <c r="PJ54">
        <v>6.3099999999999996E-3</v>
      </c>
      <c r="PK54">
        <v>5.8599999999999998E-3</v>
      </c>
      <c r="PL54">
        <v>5.8999999999999999E-3</v>
      </c>
      <c r="PM54">
        <v>5.2199999999999998E-3</v>
      </c>
      <c r="PN54">
        <v>4.8399999999999997E-3</v>
      </c>
      <c r="PO54">
        <v>4.4200000000000003E-3</v>
      </c>
      <c r="PP54">
        <v>4.5500000000000002E-3</v>
      </c>
      <c r="PQ54">
        <v>4.8199999999999996E-3</v>
      </c>
      <c r="PR54">
        <v>4.2599999999999999E-3</v>
      </c>
      <c r="PS54">
        <v>4.7699999999999999E-3</v>
      </c>
      <c r="PT54">
        <v>4.9100000000000003E-3</v>
      </c>
      <c r="PU54">
        <v>4.2599999999999999E-3</v>
      </c>
      <c r="PV54">
        <v>3.2499999999999999E-3</v>
      </c>
      <c r="PW54">
        <v>3.4299999999999999E-3</v>
      </c>
      <c r="PX54">
        <v>3.62E-3</v>
      </c>
      <c r="PY54">
        <v>3.8400000000000001E-3</v>
      </c>
      <c r="PZ54">
        <v>4.15E-3</v>
      </c>
      <c r="QB54">
        <v>4.2900000000000004E-3</v>
      </c>
      <c r="QC54">
        <v>5.3899999999999998E-3</v>
      </c>
      <c r="QD54">
        <v>5.3299999999999997E-3</v>
      </c>
      <c r="QE54">
        <v>4.4299999999999999E-3</v>
      </c>
      <c r="QF54">
        <v>4.8900000000000002E-3</v>
      </c>
      <c r="QG54">
        <v>7.1399999999999996E-3</v>
      </c>
      <c r="QI54">
        <v>5.0699999999999999E-3</v>
      </c>
      <c r="QJ54">
        <v>4.8599999999999997E-3</v>
      </c>
      <c r="QK54">
        <v>4.8999999999999998E-3</v>
      </c>
      <c r="QL54">
        <v>4.7600000000000003E-3</v>
      </c>
      <c r="QM54">
        <v>5.2900000000000004E-3</v>
      </c>
      <c r="QN54">
        <v>8.2699999999999996E-3</v>
      </c>
      <c r="QO54">
        <v>6.0099999999999997E-3</v>
      </c>
      <c r="QP54">
        <v>7.45E-3</v>
      </c>
      <c r="QQ54">
        <v>7.62E-3</v>
      </c>
      <c r="QR54">
        <v>7.7999999999999996E-3</v>
      </c>
      <c r="QS54">
        <v>7.7400000000000004E-3</v>
      </c>
      <c r="QT54">
        <v>5.6899999999999997E-3</v>
      </c>
      <c r="QU54">
        <v>5.7000000000000002E-3</v>
      </c>
      <c r="QV54">
        <v>5.7200000000000003E-3</v>
      </c>
      <c r="QW54">
        <v>5.8100000000000001E-3</v>
      </c>
      <c r="QX54">
        <v>5.3400000000000001E-3</v>
      </c>
      <c r="QY54">
        <v>5.1000000000000004E-3</v>
      </c>
      <c r="QZ54">
        <v>5.4599999999999996E-3</v>
      </c>
      <c r="RA54">
        <v>5.79E-3</v>
      </c>
      <c r="RB54">
        <v>6.7000000000000002E-3</v>
      </c>
      <c r="RC54">
        <v>5.7400000000000003E-3</v>
      </c>
      <c r="RD54">
        <v>8.2100000000000003E-3</v>
      </c>
      <c r="RE54">
        <v>6.4599999999999996E-3</v>
      </c>
      <c r="RF54">
        <v>6.6800000000000002E-3</v>
      </c>
      <c r="RG54">
        <v>4.8999999999999998E-3</v>
      </c>
      <c r="RH54">
        <v>4.9899999999999996E-3</v>
      </c>
      <c r="RI54">
        <v>7.2300000000000003E-3</v>
      </c>
      <c r="RJ54">
        <v>6.2399999999999999E-3</v>
      </c>
      <c r="RK54">
        <v>6.2100000000000002E-3</v>
      </c>
      <c r="RL54">
        <v>5.7800000000000004E-3</v>
      </c>
      <c r="RM54">
        <v>4.3E-3</v>
      </c>
      <c r="RN54">
        <v>4.4200000000000003E-3</v>
      </c>
      <c r="RO54">
        <v>4.4099999999999999E-3</v>
      </c>
      <c r="RP54">
        <v>4.0699999999999998E-3</v>
      </c>
      <c r="RQ54">
        <v>4.4000000000000003E-3</v>
      </c>
      <c r="RR54">
        <v>4.2100000000000002E-3</v>
      </c>
      <c r="RS54">
        <v>4.3E-3</v>
      </c>
      <c r="RT54">
        <v>3.7000000000000002E-3</v>
      </c>
      <c r="RU54">
        <v>4.5799999999999999E-3</v>
      </c>
      <c r="RV54">
        <v>4.8500000000000001E-3</v>
      </c>
      <c r="RW54">
        <v>5.3499999999999997E-3</v>
      </c>
      <c r="RX54">
        <v>4.96E-3</v>
      </c>
      <c r="RY54">
        <v>3.5599999999999998E-3</v>
      </c>
      <c r="RZ54">
        <v>4.3699999999999998E-3</v>
      </c>
      <c r="SA54">
        <v>5.6800000000000002E-3</v>
      </c>
      <c r="SB54">
        <v>5.2399999999999999E-3</v>
      </c>
      <c r="SC54">
        <v>6.0400000000000002E-3</v>
      </c>
      <c r="SD54">
        <v>6.4900000000000001E-3</v>
      </c>
      <c r="SE54">
        <v>5.8999999999999999E-3</v>
      </c>
      <c r="SF54">
        <v>6.8599999999999998E-3</v>
      </c>
      <c r="SG54">
        <v>8.3400000000000002E-3</v>
      </c>
      <c r="SH54">
        <v>1.069E-2</v>
      </c>
      <c r="SI54">
        <v>5.7800000000000004E-3</v>
      </c>
      <c r="SJ54">
        <v>4.7200000000000002E-3</v>
      </c>
      <c r="SK54">
        <v>4.1900000000000001E-3</v>
      </c>
      <c r="SL54">
        <v>4.5700000000000003E-3</v>
      </c>
      <c r="SM54">
        <v>3.7100000000000002E-3</v>
      </c>
      <c r="SN54">
        <v>4.1099999999999999E-3</v>
      </c>
      <c r="SO54">
        <v>3.96E-3</v>
      </c>
      <c r="SP54">
        <v>5.8500000000000002E-3</v>
      </c>
      <c r="SQ54">
        <v>4.7299999999999998E-3</v>
      </c>
      <c r="SR54">
        <v>5.45E-3</v>
      </c>
      <c r="SS54">
        <v>4.6100000000000004E-3</v>
      </c>
      <c r="ST54">
        <v>4.62E-3</v>
      </c>
      <c r="SU54">
        <v>4.8599999999999997E-3</v>
      </c>
      <c r="SV54">
        <v>4.7200000000000002E-3</v>
      </c>
      <c r="SW54">
        <v>5.0600000000000003E-3</v>
      </c>
      <c r="SX54">
        <v>5.1500000000000001E-3</v>
      </c>
      <c r="SY54">
        <v>4.5700000000000003E-3</v>
      </c>
      <c r="SZ54">
        <v>5.4799999999999996E-3</v>
      </c>
      <c r="TA54">
        <v>5.1900000000000002E-3</v>
      </c>
      <c r="TB54">
        <v>6.0200000000000002E-3</v>
      </c>
      <c r="TC54">
        <v>4.9199999999999999E-3</v>
      </c>
      <c r="TD54">
        <v>4.7099999999999998E-3</v>
      </c>
      <c r="TE54">
        <v>6.7099999999999998E-3</v>
      </c>
      <c r="TF54">
        <v>5.4000000000000003E-3</v>
      </c>
      <c r="TH54">
        <v>6.7999999999999996E-3</v>
      </c>
      <c r="TI54">
        <v>4.9800000000000001E-3</v>
      </c>
      <c r="TJ54">
        <v>6.7799999999999996E-3</v>
      </c>
      <c r="TK54">
        <v>4.2399999999999998E-3</v>
      </c>
      <c r="TL54">
        <v>3.9899999999999996E-3</v>
      </c>
      <c r="TM54">
        <v>3.81E-3</v>
      </c>
      <c r="TO54">
        <v>5.3499999999999997E-3</v>
      </c>
      <c r="TP54">
        <v>4.1599999999999996E-3</v>
      </c>
      <c r="TQ54">
        <v>5.2399999999999999E-3</v>
      </c>
      <c r="TR54">
        <v>5.8199999999999997E-3</v>
      </c>
      <c r="TS54">
        <v>5.6299999999999996E-3</v>
      </c>
      <c r="TT54">
        <v>5.62E-3</v>
      </c>
      <c r="TU54">
        <v>5.28E-3</v>
      </c>
      <c r="TV54">
        <v>4.3600000000000002E-3</v>
      </c>
      <c r="TX54">
        <v>4.9800000000000001E-3</v>
      </c>
      <c r="TY54">
        <v>4.9899999999999996E-3</v>
      </c>
      <c r="TZ54">
        <v>5.1200000000000004E-3</v>
      </c>
      <c r="UA54">
        <v>5.13E-3</v>
      </c>
      <c r="UB54">
        <v>4.9500000000000004E-3</v>
      </c>
      <c r="UC54">
        <v>4.6499999999999996E-3</v>
      </c>
      <c r="UD54">
        <v>4.7200000000000002E-3</v>
      </c>
      <c r="UE54">
        <v>4.9300000000000004E-3</v>
      </c>
      <c r="UF54">
        <v>3.7399999999999998E-3</v>
      </c>
      <c r="UG54">
        <v>4.28E-3</v>
      </c>
      <c r="UH54">
        <v>5.2900000000000004E-3</v>
      </c>
      <c r="UI54">
        <v>4.3800000000000002E-3</v>
      </c>
      <c r="UK54">
        <v>5.0499999999999998E-3</v>
      </c>
      <c r="UL54">
        <v>5.1900000000000002E-3</v>
      </c>
      <c r="UM54">
        <v>5.7999999999999996E-3</v>
      </c>
      <c r="UN54">
        <v>4.8500000000000001E-3</v>
      </c>
      <c r="UO54">
        <v>4.8799999999999998E-3</v>
      </c>
      <c r="UP54">
        <v>6.3499999999999997E-3</v>
      </c>
      <c r="UQ54">
        <v>4.6800000000000001E-3</v>
      </c>
      <c r="US54">
        <v>4.9899999999999996E-3</v>
      </c>
      <c r="UT54">
        <v>4.62E-3</v>
      </c>
      <c r="UU54">
        <v>4.7699999999999999E-3</v>
      </c>
      <c r="UV54">
        <v>5.0200000000000002E-3</v>
      </c>
      <c r="UW54">
        <v>5.7600000000000004E-3</v>
      </c>
      <c r="UX54">
        <v>4.1700000000000001E-3</v>
      </c>
      <c r="UY54">
        <v>4.5300000000000002E-3</v>
      </c>
      <c r="UZ54">
        <v>5.2700000000000004E-3</v>
      </c>
      <c r="VA54">
        <v>6.7600000000000004E-3</v>
      </c>
      <c r="VB54">
        <v>5.6100000000000004E-3</v>
      </c>
      <c r="VC54">
        <v>5.7400000000000003E-3</v>
      </c>
      <c r="VD54">
        <v>6.11E-3</v>
      </c>
      <c r="VE54">
        <v>4.7299999999999998E-3</v>
      </c>
      <c r="VF54">
        <v>6.4799999999999996E-3</v>
      </c>
      <c r="VG54">
        <v>8.1200000000000005E-3</v>
      </c>
      <c r="VH54">
        <v>4.7499999999999999E-3</v>
      </c>
      <c r="VI54">
        <v>5.3E-3</v>
      </c>
    </row>
    <row r="55" spans="1:581" x14ac:dyDescent="0.25">
      <c r="A55">
        <v>1600000</v>
      </c>
      <c r="B55">
        <v>4.2399999999999998E-3</v>
      </c>
      <c r="C55">
        <v>4.9699999999999996E-3</v>
      </c>
      <c r="D55">
        <v>5.0600000000000003E-3</v>
      </c>
      <c r="E55">
        <v>5.7400000000000003E-3</v>
      </c>
      <c r="F55">
        <v>6.1199999999999996E-3</v>
      </c>
      <c r="G55">
        <v>6.4999999999999997E-3</v>
      </c>
      <c r="H55">
        <v>5.0200000000000002E-3</v>
      </c>
      <c r="I55">
        <v>4.9500000000000004E-3</v>
      </c>
      <c r="J55">
        <v>4.9500000000000004E-3</v>
      </c>
      <c r="K55">
        <v>5.0800000000000003E-3</v>
      </c>
      <c r="L55">
        <v>4.9500000000000004E-3</v>
      </c>
      <c r="M55">
        <v>4.8500000000000001E-3</v>
      </c>
      <c r="N55">
        <v>4.8300000000000001E-3</v>
      </c>
      <c r="O55">
        <v>4.79E-3</v>
      </c>
      <c r="P55">
        <v>4.7000000000000002E-3</v>
      </c>
      <c r="Q55">
        <v>4.7099999999999998E-3</v>
      </c>
      <c r="S55">
        <v>4.6899999999999997E-3</v>
      </c>
      <c r="T55">
        <v>4.6100000000000004E-3</v>
      </c>
      <c r="U55">
        <v>5.9800000000000001E-3</v>
      </c>
      <c r="V55">
        <v>4.7099999999999998E-3</v>
      </c>
      <c r="W55">
        <v>5.7999999999999996E-3</v>
      </c>
      <c r="X55">
        <v>4.4400000000000004E-3</v>
      </c>
      <c r="Y55">
        <v>5.7600000000000004E-3</v>
      </c>
      <c r="Z55">
        <v>4.1399999999999996E-3</v>
      </c>
      <c r="AA55">
        <v>4.9100000000000003E-3</v>
      </c>
      <c r="AB55">
        <v>6.77E-3</v>
      </c>
      <c r="AC55">
        <v>6.7400000000000003E-3</v>
      </c>
      <c r="AD55">
        <v>5.0899999999999999E-3</v>
      </c>
      <c r="AE55">
        <v>5.7200000000000003E-3</v>
      </c>
      <c r="AF55">
        <v>5.9699999999999996E-3</v>
      </c>
      <c r="AG55">
        <v>4.64E-3</v>
      </c>
      <c r="AH55">
        <v>4.62E-3</v>
      </c>
      <c r="AJ55">
        <v>4.4799999999999996E-3</v>
      </c>
      <c r="AK55">
        <v>5.8900000000000003E-3</v>
      </c>
      <c r="AL55">
        <v>7.3899999999999999E-3</v>
      </c>
      <c r="AM55">
        <v>4.1399999999999996E-3</v>
      </c>
      <c r="AN55">
        <v>5.1399999999999996E-3</v>
      </c>
      <c r="AO55">
        <v>1.0149999999999999E-2</v>
      </c>
      <c r="AP55">
        <v>5.45E-3</v>
      </c>
      <c r="AQ55">
        <v>5.6899999999999997E-3</v>
      </c>
      <c r="AR55">
        <v>5.3400000000000001E-3</v>
      </c>
      <c r="AS55">
        <v>5.5599999999999998E-3</v>
      </c>
      <c r="AT55">
        <v>4.3699999999999998E-3</v>
      </c>
      <c r="AU55">
        <v>4.9500000000000004E-3</v>
      </c>
      <c r="AV55">
        <v>4.5399999999999998E-3</v>
      </c>
      <c r="AW55">
        <v>5.0600000000000003E-3</v>
      </c>
      <c r="AX55">
        <v>5.0499999999999998E-3</v>
      </c>
      <c r="AY55">
        <v>5.2500000000000003E-3</v>
      </c>
      <c r="AZ55">
        <v>5.4299999999999999E-3</v>
      </c>
      <c r="BA55">
        <v>4.47E-3</v>
      </c>
      <c r="BB55">
        <v>6.0000000000000001E-3</v>
      </c>
      <c r="BC55">
        <v>6.45E-3</v>
      </c>
      <c r="BD55">
        <v>6.7099999999999998E-3</v>
      </c>
      <c r="BE55">
        <v>7.8700000000000003E-3</v>
      </c>
      <c r="BF55">
        <v>9.2999999999999992E-3</v>
      </c>
      <c r="BG55">
        <v>6.0600000000000003E-3</v>
      </c>
      <c r="BH55">
        <v>5.2500000000000003E-3</v>
      </c>
      <c r="BI55">
        <v>9.2099999999999994E-3</v>
      </c>
      <c r="BJ55">
        <v>6.2399999999999999E-3</v>
      </c>
      <c r="BK55">
        <v>6.7499999999999999E-3</v>
      </c>
      <c r="BL55">
        <v>6.8399999999999997E-3</v>
      </c>
      <c r="BM55">
        <v>6.4900000000000001E-3</v>
      </c>
      <c r="BN55">
        <v>6.1799999999999997E-3</v>
      </c>
      <c r="BO55">
        <v>7.5599999999999999E-3</v>
      </c>
      <c r="BP55">
        <v>6.6800000000000002E-3</v>
      </c>
      <c r="BQ55">
        <v>5.7800000000000004E-3</v>
      </c>
      <c r="BR55">
        <v>4.45E-3</v>
      </c>
      <c r="BT55">
        <v>6.7999999999999996E-3</v>
      </c>
      <c r="BU55">
        <v>8.4100000000000008E-3</v>
      </c>
      <c r="BV55">
        <v>8.4200000000000004E-3</v>
      </c>
      <c r="BW55">
        <v>8.1600000000000006E-3</v>
      </c>
      <c r="BX55">
        <v>7.9299999999999995E-3</v>
      </c>
      <c r="BY55">
        <v>8.0700000000000008E-3</v>
      </c>
      <c r="BZ55">
        <v>7.0400000000000003E-3</v>
      </c>
      <c r="CA55">
        <v>7.2500000000000004E-3</v>
      </c>
      <c r="CB55">
        <v>6.0699999999999999E-3</v>
      </c>
      <c r="CC55">
        <v>6.4799999999999996E-3</v>
      </c>
      <c r="CD55">
        <v>5.2399999999999999E-3</v>
      </c>
      <c r="CE55">
        <v>5.3600000000000002E-3</v>
      </c>
      <c r="CF55">
        <v>5.11E-3</v>
      </c>
      <c r="CG55">
        <v>4.8300000000000001E-3</v>
      </c>
      <c r="CH55">
        <v>4.5999999999999999E-3</v>
      </c>
      <c r="CI55">
        <v>4.3800000000000002E-3</v>
      </c>
      <c r="CJ55">
        <v>4.13E-3</v>
      </c>
      <c r="CK55">
        <v>4.3600000000000002E-3</v>
      </c>
      <c r="CL55">
        <v>5.3299999999999997E-3</v>
      </c>
      <c r="CM55">
        <v>5.4900000000000001E-3</v>
      </c>
      <c r="CN55">
        <v>5.7600000000000004E-3</v>
      </c>
      <c r="CO55">
        <v>5.5500000000000002E-3</v>
      </c>
      <c r="CP55">
        <v>5.8599999999999998E-3</v>
      </c>
      <c r="CQ55">
        <v>5.3699999999999998E-3</v>
      </c>
      <c r="CR55">
        <v>5.5999999999999999E-3</v>
      </c>
      <c r="CS55">
        <v>5.96E-3</v>
      </c>
      <c r="CT55">
        <v>6.3299999999999997E-3</v>
      </c>
      <c r="CV55">
        <v>5.0600000000000003E-3</v>
      </c>
      <c r="CW55">
        <v>5.3299999999999997E-3</v>
      </c>
      <c r="CX55">
        <v>5.3600000000000002E-3</v>
      </c>
      <c r="CY55">
        <v>4.4099999999999999E-3</v>
      </c>
      <c r="CZ55">
        <v>4.4999999999999997E-3</v>
      </c>
      <c r="DA55">
        <v>4.8300000000000001E-3</v>
      </c>
      <c r="DB55">
        <v>4.7499999999999999E-3</v>
      </c>
      <c r="DD55">
        <v>4.6699999999999997E-3</v>
      </c>
      <c r="DE55">
        <v>4.64E-3</v>
      </c>
      <c r="DF55">
        <v>6.0499999999999998E-3</v>
      </c>
      <c r="DG55">
        <v>4.2199999999999998E-3</v>
      </c>
      <c r="DH55">
        <v>5.5100000000000001E-3</v>
      </c>
      <c r="DI55">
        <v>5.4599999999999996E-3</v>
      </c>
      <c r="DJ55">
        <v>5.5999999999999999E-3</v>
      </c>
      <c r="DK55">
        <v>5.6699999999999997E-3</v>
      </c>
      <c r="DL55">
        <v>5.7800000000000004E-3</v>
      </c>
      <c r="DM55">
        <v>7.3800000000000003E-3</v>
      </c>
      <c r="DN55">
        <v>5.5599999999999998E-3</v>
      </c>
      <c r="DO55">
        <v>7.5700000000000003E-3</v>
      </c>
      <c r="DP55">
        <v>8.0800000000000004E-3</v>
      </c>
      <c r="DQ55">
        <v>7.9000000000000008E-3</v>
      </c>
      <c r="DR55">
        <v>5.2300000000000003E-3</v>
      </c>
      <c r="DS55">
        <v>5.4799999999999996E-3</v>
      </c>
      <c r="DU55">
        <v>7.6400000000000001E-3</v>
      </c>
      <c r="DV55">
        <v>8.3199999999999993E-3</v>
      </c>
      <c r="DY55">
        <v>8.8000000000000005E-3</v>
      </c>
      <c r="DZ55">
        <v>8.4600000000000005E-3</v>
      </c>
      <c r="EA55">
        <v>4.8399999999999997E-3</v>
      </c>
      <c r="EB55">
        <v>4.8300000000000001E-3</v>
      </c>
      <c r="EF55">
        <v>1.025E-2</v>
      </c>
      <c r="EI55">
        <v>5.8500000000000002E-3</v>
      </c>
      <c r="EJ55">
        <v>5.4000000000000003E-3</v>
      </c>
      <c r="EK55">
        <v>5.3200000000000001E-3</v>
      </c>
      <c r="EL55">
        <v>5.5700000000000003E-3</v>
      </c>
      <c r="EM55">
        <v>5.8799999999999998E-3</v>
      </c>
      <c r="EN55">
        <v>6.0200000000000002E-3</v>
      </c>
      <c r="EO55">
        <v>6.0200000000000002E-3</v>
      </c>
      <c r="EP55">
        <v>6.3899999999999998E-3</v>
      </c>
      <c r="EQ55">
        <v>6.45E-3</v>
      </c>
      <c r="ER55">
        <v>4.79E-3</v>
      </c>
      <c r="ES55">
        <v>4.7400000000000003E-3</v>
      </c>
      <c r="ET55">
        <v>4.62E-3</v>
      </c>
      <c r="EU55">
        <v>9.2499999999999995E-3</v>
      </c>
      <c r="EV55">
        <v>8.5299999999999994E-3</v>
      </c>
      <c r="EW55">
        <v>8.09E-3</v>
      </c>
      <c r="EX55">
        <v>8.2000000000000007E-3</v>
      </c>
      <c r="EY55">
        <v>6.6899999999999998E-3</v>
      </c>
      <c r="FA55">
        <v>5.4099999999999999E-3</v>
      </c>
      <c r="FB55">
        <v>5.8799999999999998E-3</v>
      </c>
      <c r="FC55">
        <v>5.0000000000000001E-3</v>
      </c>
      <c r="FD55">
        <v>4.9500000000000004E-3</v>
      </c>
      <c r="FE55">
        <v>5.8100000000000001E-3</v>
      </c>
      <c r="FF55">
        <v>4.3299999999999996E-3</v>
      </c>
      <c r="FG55">
        <v>8.0199999999999994E-3</v>
      </c>
      <c r="FH55">
        <v>8.1700000000000002E-3</v>
      </c>
      <c r="FI55">
        <v>7.9699999999999997E-3</v>
      </c>
      <c r="FJ55">
        <v>8.0400000000000003E-3</v>
      </c>
      <c r="FK55">
        <v>7.1700000000000002E-3</v>
      </c>
      <c r="FN55">
        <v>5.4400000000000004E-3</v>
      </c>
      <c r="FO55">
        <v>5.0000000000000001E-3</v>
      </c>
      <c r="FP55">
        <v>4.5799999999999999E-3</v>
      </c>
      <c r="FQ55">
        <v>5.8999999999999999E-3</v>
      </c>
      <c r="FR55">
        <v>6.0000000000000001E-3</v>
      </c>
      <c r="FS55">
        <v>6.1999999999999998E-3</v>
      </c>
      <c r="FT55">
        <v>6.0400000000000002E-3</v>
      </c>
      <c r="FU55">
        <v>6.0400000000000002E-3</v>
      </c>
      <c r="FV55">
        <v>6.1999999999999998E-3</v>
      </c>
      <c r="FW55">
        <v>5.94E-3</v>
      </c>
      <c r="FX55">
        <v>6.2100000000000002E-3</v>
      </c>
      <c r="FY55">
        <v>6.6E-3</v>
      </c>
      <c r="FZ55">
        <v>6.3800000000000003E-3</v>
      </c>
      <c r="GA55">
        <v>6.7600000000000004E-3</v>
      </c>
      <c r="GB55">
        <v>6.62E-3</v>
      </c>
      <c r="GC55">
        <v>6.96E-3</v>
      </c>
      <c r="GD55">
        <v>6.6100000000000004E-3</v>
      </c>
      <c r="GE55">
        <v>7.0600000000000003E-3</v>
      </c>
      <c r="GG55">
        <v>6.28E-3</v>
      </c>
      <c r="GH55">
        <v>6.3699999999999998E-3</v>
      </c>
      <c r="GI55">
        <v>7.1399999999999996E-3</v>
      </c>
      <c r="GJ55">
        <v>7.28E-3</v>
      </c>
      <c r="GK55">
        <v>7.4200000000000004E-3</v>
      </c>
      <c r="GL55">
        <v>7.6299999999999996E-3</v>
      </c>
      <c r="GM55">
        <v>6.8100000000000001E-3</v>
      </c>
      <c r="GO55">
        <v>6.4000000000000003E-3</v>
      </c>
      <c r="GP55">
        <v>5.4299999999999999E-3</v>
      </c>
      <c r="GQ55">
        <v>5.7400000000000003E-3</v>
      </c>
      <c r="GR55">
        <v>5.96E-3</v>
      </c>
      <c r="GS55">
        <v>5.3600000000000002E-3</v>
      </c>
      <c r="GT55">
        <v>5.8300000000000001E-3</v>
      </c>
      <c r="GU55">
        <v>6.2300000000000003E-3</v>
      </c>
      <c r="GV55">
        <v>7.8600000000000007E-3</v>
      </c>
      <c r="GW55">
        <v>7.5399999999999998E-3</v>
      </c>
      <c r="GX55">
        <v>7.1500000000000001E-3</v>
      </c>
      <c r="GY55">
        <v>6.6400000000000001E-3</v>
      </c>
      <c r="GZ55">
        <v>6.1500000000000001E-3</v>
      </c>
      <c r="HB55">
        <v>4.7499999999999999E-3</v>
      </c>
      <c r="HD55">
        <v>3.8899999999999998E-3</v>
      </c>
      <c r="HE55">
        <v>6.2899999999999996E-3</v>
      </c>
      <c r="HF55">
        <v>7.5599999999999999E-3</v>
      </c>
      <c r="HG55">
        <v>8.0499999999999999E-3</v>
      </c>
      <c r="HH55">
        <v>8.0599999999999995E-3</v>
      </c>
      <c r="HI55">
        <v>8.2400000000000008E-3</v>
      </c>
      <c r="HJ55">
        <v>4.3699999999999998E-3</v>
      </c>
      <c r="HK55">
        <v>5.4799999999999996E-3</v>
      </c>
      <c r="HL55">
        <v>5.9300000000000004E-3</v>
      </c>
      <c r="HM55">
        <v>5.79E-3</v>
      </c>
      <c r="HN55">
        <v>5.7200000000000003E-3</v>
      </c>
      <c r="HP55">
        <v>4.8399999999999997E-3</v>
      </c>
      <c r="HQ55">
        <v>5.1399999999999996E-3</v>
      </c>
      <c r="HR55">
        <v>5.9199999999999999E-3</v>
      </c>
      <c r="HS55">
        <v>9.2999999999999992E-3</v>
      </c>
      <c r="HT55">
        <v>4.7800000000000004E-3</v>
      </c>
      <c r="HU55">
        <v>4.9800000000000001E-3</v>
      </c>
      <c r="HV55">
        <v>6.2700000000000004E-3</v>
      </c>
      <c r="HW55">
        <v>5.1500000000000001E-3</v>
      </c>
      <c r="HX55">
        <v>5.5100000000000001E-3</v>
      </c>
      <c r="HY55">
        <v>5.5100000000000001E-3</v>
      </c>
      <c r="HZ55">
        <v>3.9100000000000003E-3</v>
      </c>
      <c r="IA55">
        <v>6.4200000000000004E-3</v>
      </c>
      <c r="IB55">
        <v>8.0499999999999999E-3</v>
      </c>
      <c r="IC55">
        <v>7.0299999999999998E-3</v>
      </c>
      <c r="ID55">
        <v>4.7699999999999999E-3</v>
      </c>
      <c r="IE55">
        <v>4.45E-3</v>
      </c>
      <c r="IF55">
        <v>4.4999999999999997E-3</v>
      </c>
      <c r="IG55">
        <v>5.45E-3</v>
      </c>
      <c r="IJ55">
        <v>5.3299999999999997E-3</v>
      </c>
      <c r="IK55">
        <v>5.9500000000000004E-3</v>
      </c>
      <c r="IL55">
        <v>6.5799999999999999E-3</v>
      </c>
      <c r="IM55">
        <v>7.43E-3</v>
      </c>
      <c r="IN55">
        <v>7.8700000000000003E-3</v>
      </c>
      <c r="IO55">
        <v>8.6499999999999997E-3</v>
      </c>
      <c r="IP55">
        <v>9.75E-3</v>
      </c>
      <c r="IQ55">
        <v>1.0710000000000001E-2</v>
      </c>
      <c r="IR55">
        <v>1.1560000000000001E-2</v>
      </c>
      <c r="IS55">
        <v>4.9399999999999999E-3</v>
      </c>
      <c r="IT55">
        <v>3.8500000000000001E-3</v>
      </c>
      <c r="IU55">
        <v>4.15E-3</v>
      </c>
      <c r="IV55">
        <v>4.2700000000000004E-3</v>
      </c>
      <c r="IX55">
        <v>3.48E-3</v>
      </c>
      <c r="IZ55">
        <v>3.98E-3</v>
      </c>
      <c r="JA55">
        <v>4.4600000000000004E-3</v>
      </c>
      <c r="JB55">
        <v>4.5500000000000002E-3</v>
      </c>
      <c r="JC55">
        <v>4.8999999999999998E-3</v>
      </c>
      <c r="JD55">
        <v>5.1799999999999997E-3</v>
      </c>
      <c r="JE55">
        <v>4.4000000000000003E-3</v>
      </c>
      <c r="JF55">
        <v>7.0400000000000003E-3</v>
      </c>
      <c r="JG55">
        <v>9.7199999999999995E-3</v>
      </c>
      <c r="JH55">
        <v>9.4500000000000001E-3</v>
      </c>
      <c r="JI55">
        <v>5.7400000000000003E-3</v>
      </c>
      <c r="JJ55">
        <v>5.3E-3</v>
      </c>
      <c r="JK55">
        <v>8.3300000000000006E-3</v>
      </c>
      <c r="JL55">
        <v>7.6699999999999997E-3</v>
      </c>
      <c r="JM55">
        <v>5.28E-3</v>
      </c>
      <c r="JN55">
        <v>6.3E-3</v>
      </c>
      <c r="JP55">
        <v>4.4999999999999997E-3</v>
      </c>
      <c r="JQ55">
        <v>5.5999999999999999E-3</v>
      </c>
      <c r="JR55">
        <v>5.5799999999999999E-3</v>
      </c>
      <c r="JS55">
        <v>5.1200000000000004E-3</v>
      </c>
      <c r="JT55">
        <v>6.0299999999999998E-3</v>
      </c>
      <c r="JU55">
        <v>7.6299999999999996E-3</v>
      </c>
      <c r="JV55">
        <v>6.6400000000000001E-3</v>
      </c>
      <c r="JW55">
        <v>5.5500000000000002E-3</v>
      </c>
      <c r="JX55">
        <v>5.28E-3</v>
      </c>
      <c r="JY55">
        <v>6.3400000000000001E-3</v>
      </c>
      <c r="JZ55">
        <v>6.3099999999999996E-3</v>
      </c>
      <c r="KA55">
        <v>6.11E-3</v>
      </c>
      <c r="KB55">
        <v>5.3699999999999998E-3</v>
      </c>
      <c r="KC55">
        <v>5.5900000000000004E-3</v>
      </c>
      <c r="KD55">
        <v>5.9899999999999997E-3</v>
      </c>
      <c r="KE55">
        <v>8.2500000000000004E-3</v>
      </c>
      <c r="KF55">
        <v>1.06E-2</v>
      </c>
      <c r="KG55">
        <v>1.11E-2</v>
      </c>
      <c r="KH55">
        <v>1.1129999999999999E-2</v>
      </c>
      <c r="KI55">
        <v>6.7999999999999996E-3</v>
      </c>
      <c r="KJ55">
        <v>6.8300000000000001E-3</v>
      </c>
      <c r="KK55">
        <v>6.8100000000000001E-3</v>
      </c>
      <c r="KL55">
        <v>7.1500000000000001E-3</v>
      </c>
      <c r="KM55">
        <v>7.4000000000000003E-3</v>
      </c>
      <c r="KO55">
        <v>6.7799999999999996E-3</v>
      </c>
      <c r="KP55">
        <v>6.6800000000000002E-3</v>
      </c>
      <c r="KQ55">
        <v>6.9199999999999999E-3</v>
      </c>
      <c r="KR55">
        <v>6.9300000000000004E-3</v>
      </c>
      <c r="KS55">
        <v>6.2500000000000003E-3</v>
      </c>
      <c r="KT55">
        <v>6.5199999999999998E-3</v>
      </c>
      <c r="KU55">
        <v>6.77E-3</v>
      </c>
      <c r="KV55">
        <v>5.7400000000000003E-3</v>
      </c>
      <c r="KW55">
        <v>4.9199999999999999E-3</v>
      </c>
      <c r="KX55">
        <v>1.074E-2</v>
      </c>
      <c r="KY55">
        <v>7.1700000000000002E-3</v>
      </c>
      <c r="KZ55">
        <v>8.0400000000000003E-3</v>
      </c>
      <c r="LA55">
        <v>5.4400000000000004E-3</v>
      </c>
      <c r="LB55">
        <v>5.3600000000000002E-3</v>
      </c>
      <c r="LC55">
        <v>5.4400000000000004E-3</v>
      </c>
      <c r="LD55">
        <v>5.4400000000000004E-3</v>
      </c>
      <c r="LE55">
        <v>8.6400000000000001E-3</v>
      </c>
      <c r="LF55">
        <v>7.7600000000000004E-3</v>
      </c>
      <c r="LG55">
        <v>6.1799999999999997E-3</v>
      </c>
      <c r="LI55">
        <v>8.5500000000000003E-3</v>
      </c>
      <c r="LJ55">
        <v>8.94E-3</v>
      </c>
      <c r="LK55">
        <v>9.0500000000000008E-3</v>
      </c>
      <c r="LL55">
        <v>5.7299999999999999E-3</v>
      </c>
      <c r="LM55">
        <v>4.2900000000000004E-3</v>
      </c>
      <c r="LN55">
        <v>5.3200000000000001E-3</v>
      </c>
      <c r="LO55">
        <v>5.5300000000000002E-3</v>
      </c>
      <c r="LP55">
        <v>4.8500000000000001E-3</v>
      </c>
      <c r="LR55">
        <v>8.3800000000000003E-3</v>
      </c>
      <c r="LS55">
        <v>9.3399999999999993E-3</v>
      </c>
      <c r="LT55">
        <v>5.0600000000000003E-3</v>
      </c>
      <c r="LV55">
        <v>6.8199999999999997E-3</v>
      </c>
      <c r="LW55">
        <v>4.8199999999999996E-3</v>
      </c>
      <c r="LX55">
        <v>5.4900000000000001E-3</v>
      </c>
      <c r="LY55">
        <v>6.4700000000000001E-3</v>
      </c>
      <c r="LZ55">
        <v>6.5199999999999998E-3</v>
      </c>
      <c r="MB55">
        <v>4.4299999999999999E-3</v>
      </c>
      <c r="MC55">
        <v>8.0999999999999996E-3</v>
      </c>
      <c r="MD55">
        <v>9.2200000000000008E-3</v>
      </c>
      <c r="ME55">
        <v>1.132E-2</v>
      </c>
      <c r="MF55">
        <v>1.358E-2</v>
      </c>
      <c r="MG55">
        <v>1.272E-2</v>
      </c>
      <c r="MH55">
        <v>4.8900000000000002E-3</v>
      </c>
      <c r="MI55">
        <v>5.2700000000000004E-3</v>
      </c>
      <c r="MJ55">
        <v>5.3299999999999997E-3</v>
      </c>
      <c r="MK55">
        <v>4.9500000000000004E-3</v>
      </c>
      <c r="ML55">
        <v>6.1599999999999997E-3</v>
      </c>
      <c r="MM55">
        <v>5.1399999999999996E-3</v>
      </c>
      <c r="MN55">
        <v>4.9899999999999996E-3</v>
      </c>
      <c r="MO55">
        <v>5.3200000000000001E-3</v>
      </c>
      <c r="MP55">
        <v>6.3800000000000003E-3</v>
      </c>
      <c r="MQ55">
        <v>4.0499999999999998E-3</v>
      </c>
      <c r="MS55">
        <v>5.5599999999999998E-3</v>
      </c>
      <c r="MT55">
        <v>6.8999999999999999E-3</v>
      </c>
      <c r="MU55">
        <v>4.7299999999999998E-3</v>
      </c>
      <c r="MV55">
        <v>5.1399999999999996E-3</v>
      </c>
      <c r="MW55">
        <v>5.3400000000000001E-3</v>
      </c>
      <c r="MX55">
        <v>5.4400000000000004E-3</v>
      </c>
      <c r="MY55">
        <v>5.8700000000000002E-3</v>
      </c>
      <c r="MZ55">
        <v>6.5700000000000003E-3</v>
      </c>
      <c r="NA55">
        <v>5.9199999999999999E-3</v>
      </c>
      <c r="NB55">
        <v>5.6899999999999997E-3</v>
      </c>
      <c r="NC55">
        <v>3.5999999999999999E-3</v>
      </c>
      <c r="ND55">
        <v>1.2120000000000001E-2</v>
      </c>
      <c r="NE55">
        <v>6.1999999999999998E-3</v>
      </c>
      <c r="NF55">
        <v>6.9699999999999996E-3</v>
      </c>
      <c r="NG55">
        <v>4.5300000000000002E-3</v>
      </c>
      <c r="NH55">
        <v>3.9100000000000003E-3</v>
      </c>
      <c r="NI55">
        <v>4.1700000000000001E-3</v>
      </c>
      <c r="NJ55">
        <v>4.5100000000000001E-3</v>
      </c>
      <c r="NK55">
        <v>4.1200000000000004E-3</v>
      </c>
      <c r="NL55">
        <v>4.3299999999999996E-3</v>
      </c>
      <c r="NM55">
        <v>4.5300000000000002E-3</v>
      </c>
      <c r="NN55">
        <v>4.7299999999999998E-3</v>
      </c>
      <c r="NQ55">
        <v>4.1999999999999997E-3</v>
      </c>
      <c r="NR55">
        <v>4.4200000000000003E-3</v>
      </c>
      <c r="NS55">
        <v>4.5700000000000003E-3</v>
      </c>
      <c r="NT55">
        <v>4.9300000000000004E-3</v>
      </c>
      <c r="NU55">
        <v>4.1900000000000001E-3</v>
      </c>
      <c r="NV55">
        <v>4.3800000000000002E-3</v>
      </c>
      <c r="NW55">
        <v>4.4600000000000004E-3</v>
      </c>
      <c r="NX55">
        <v>4.45E-3</v>
      </c>
      <c r="NY55">
        <v>4.6100000000000004E-3</v>
      </c>
      <c r="NZ55">
        <v>4.7499999999999999E-3</v>
      </c>
      <c r="OA55">
        <v>4.9399999999999999E-3</v>
      </c>
      <c r="OB55">
        <v>4.2700000000000004E-3</v>
      </c>
      <c r="OC55">
        <v>4.4299999999999999E-3</v>
      </c>
      <c r="OD55">
        <v>4.4600000000000004E-3</v>
      </c>
      <c r="OE55">
        <v>4.45E-3</v>
      </c>
      <c r="OF55">
        <v>5.9899999999999997E-3</v>
      </c>
      <c r="OG55">
        <v>4.6899999999999997E-3</v>
      </c>
      <c r="OH55">
        <v>4.9199999999999999E-3</v>
      </c>
      <c r="OI55">
        <v>5.0200000000000002E-3</v>
      </c>
      <c r="OJ55">
        <v>5.1999999999999998E-3</v>
      </c>
      <c r="OK55">
        <v>5.2900000000000004E-3</v>
      </c>
      <c r="OL55">
        <v>5.4400000000000004E-3</v>
      </c>
      <c r="OM55">
        <v>5.5199999999999997E-3</v>
      </c>
      <c r="ON55">
        <v>5.3400000000000001E-3</v>
      </c>
      <c r="OO55">
        <v>4.7800000000000004E-3</v>
      </c>
      <c r="OP55">
        <v>5.0800000000000003E-3</v>
      </c>
      <c r="OQ55">
        <v>5.2399999999999999E-3</v>
      </c>
      <c r="OS55">
        <v>6.0800000000000003E-3</v>
      </c>
      <c r="OT55">
        <v>5.9300000000000004E-3</v>
      </c>
      <c r="OU55">
        <v>6.1500000000000001E-3</v>
      </c>
      <c r="OV55">
        <v>5.3E-3</v>
      </c>
      <c r="OW55">
        <v>3.8800000000000002E-3</v>
      </c>
      <c r="OX55">
        <v>5.1000000000000004E-3</v>
      </c>
      <c r="OY55">
        <v>5.4099999999999999E-3</v>
      </c>
      <c r="OZ55">
        <v>5.0699999999999999E-3</v>
      </c>
      <c r="PA55">
        <v>8.3199999999999993E-3</v>
      </c>
      <c r="PB55">
        <v>8.7299999999999999E-3</v>
      </c>
      <c r="PC55">
        <v>7.3099999999999997E-3</v>
      </c>
      <c r="PD55">
        <v>6.5100000000000002E-3</v>
      </c>
      <c r="PE55">
        <v>6.11E-3</v>
      </c>
      <c r="PF55">
        <v>6.0099999999999997E-3</v>
      </c>
      <c r="PG55">
        <v>5.1500000000000001E-3</v>
      </c>
      <c r="PI55">
        <v>6.7299999999999999E-3</v>
      </c>
      <c r="PJ55">
        <v>6.2700000000000004E-3</v>
      </c>
      <c r="PK55">
        <v>5.8399999999999997E-3</v>
      </c>
      <c r="PL55">
        <v>5.9100000000000003E-3</v>
      </c>
      <c r="PM55">
        <v>5.2100000000000002E-3</v>
      </c>
      <c r="PN55">
        <v>4.8300000000000001E-3</v>
      </c>
      <c r="PO55">
        <v>4.3699999999999998E-3</v>
      </c>
      <c r="PP55">
        <v>4.5199999999999997E-3</v>
      </c>
      <c r="PQ55">
        <v>4.8500000000000001E-3</v>
      </c>
      <c r="PR55">
        <v>4.2900000000000004E-3</v>
      </c>
      <c r="PS55">
        <v>4.7099999999999998E-3</v>
      </c>
      <c r="PT55">
        <v>4.8799999999999998E-3</v>
      </c>
      <c r="PU55">
        <v>4.3200000000000001E-3</v>
      </c>
      <c r="PV55">
        <v>3.1900000000000001E-3</v>
      </c>
      <c r="PW55">
        <v>3.3800000000000002E-3</v>
      </c>
      <c r="PX55">
        <v>3.5500000000000002E-3</v>
      </c>
      <c r="PY55">
        <v>3.7599999999999999E-3</v>
      </c>
      <c r="PZ55">
        <v>4.0400000000000002E-3</v>
      </c>
      <c r="QA55">
        <v>3.9100000000000003E-3</v>
      </c>
      <c r="QB55">
        <v>4.2900000000000004E-3</v>
      </c>
      <c r="QC55">
        <v>5.3699999999999998E-3</v>
      </c>
      <c r="QD55">
        <v>5.3400000000000001E-3</v>
      </c>
      <c r="QF55">
        <v>4.8900000000000002E-3</v>
      </c>
      <c r="QG55">
        <v>7.1000000000000004E-3</v>
      </c>
      <c r="QH55">
        <v>4.7999999999999996E-3</v>
      </c>
      <c r="QI55">
        <v>5.0600000000000003E-3</v>
      </c>
      <c r="QJ55">
        <v>4.8500000000000001E-3</v>
      </c>
      <c r="QK55">
        <v>4.8900000000000002E-3</v>
      </c>
      <c r="QL55">
        <v>4.7499999999999999E-3</v>
      </c>
      <c r="QM55">
        <v>5.28E-3</v>
      </c>
      <c r="QN55">
        <v>8.2699999999999996E-3</v>
      </c>
      <c r="QO55">
        <v>6.0499999999999998E-3</v>
      </c>
      <c r="QP55">
        <v>7.4400000000000004E-3</v>
      </c>
      <c r="QQ55">
        <v>7.5900000000000004E-3</v>
      </c>
      <c r="QR55">
        <v>7.7499999999999999E-3</v>
      </c>
      <c r="QS55">
        <v>7.6899999999999998E-3</v>
      </c>
      <c r="QT55">
        <v>5.6499999999999996E-3</v>
      </c>
      <c r="QU55">
        <v>5.6600000000000001E-3</v>
      </c>
      <c r="QV55">
        <v>5.6800000000000002E-3</v>
      </c>
      <c r="QW55">
        <v>5.7999999999999996E-3</v>
      </c>
      <c r="QX55">
        <v>5.3E-3</v>
      </c>
      <c r="QY55">
        <v>5.0800000000000003E-3</v>
      </c>
      <c r="QZ55">
        <v>5.4400000000000004E-3</v>
      </c>
      <c r="RA55">
        <v>5.7499999999999999E-3</v>
      </c>
      <c r="RB55">
        <v>6.5799999999999999E-3</v>
      </c>
      <c r="RC55">
        <v>5.6699999999999997E-3</v>
      </c>
      <c r="RD55">
        <v>8.1300000000000001E-3</v>
      </c>
      <c r="RE55">
        <v>6.4700000000000001E-3</v>
      </c>
      <c r="RF55">
        <v>6.6299999999999996E-3</v>
      </c>
      <c r="RG55">
        <v>4.8599999999999997E-3</v>
      </c>
      <c r="RH55">
        <v>4.96E-3</v>
      </c>
      <c r="RI55">
        <v>7.1700000000000002E-3</v>
      </c>
      <c r="RJ55">
        <v>6.13E-3</v>
      </c>
      <c r="RK55">
        <v>6.1599999999999997E-3</v>
      </c>
      <c r="RL55">
        <v>5.7000000000000002E-3</v>
      </c>
      <c r="RN55">
        <v>4.3899999999999998E-3</v>
      </c>
      <c r="RO55">
        <v>4.3899999999999998E-3</v>
      </c>
      <c r="RP55">
        <v>4.0499999999999998E-3</v>
      </c>
      <c r="RQ55">
        <v>4.3899999999999998E-3</v>
      </c>
      <c r="RR55">
        <v>4.1900000000000001E-3</v>
      </c>
      <c r="RS55">
        <v>4.28E-3</v>
      </c>
      <c r="RT55">
        <v>3.6900000000000001E-3</v>
      </c>
      <c r="RU55">
        <v>4.5799999999999999E-3</v>
      </c>
      <c r="RV55">
        <v>4.81E-3</v>
      </c>
      <c r="RW55">
        <v>5.3299999999999997E-3</v>
      </c>
      <c r="RX55">
        <v>4.9399999999999999E-3</v>
      </c>
      <c r="RY55">
        <v>3.5599999999999998E-3</v>
      </c>
      <c r="RZ55">
        <v>4.3099999999999996E-3</v>
      </c>
      <c r="SA55">
        <v>5.5399999999999998E-3</v>
      </c>
      <c r="SB55">
        <v>5.1200000000000004E-3</v>
      </c>
      <c r="SC55">
        <v>6.0000000000000001E-3</v>
      </c>
      <c r="SD55">
        <v>6.4400000000000004E-3</v>
      </c>
      <c r="SE55">
        <v>5.8700000000000002E-3</v>
      </c>
      <c r="SF55">
        <v>6.7999999999999996E-3</v>
      </c>
      <c r="SG55">
        <v>8.2799999999999992E-3</v>
      </c>
      <c r="SH55">
        <v>1.065E-2</v>
      </c>
      <c r="SI55">
        <v>5.7499999999999999E-3</v>
      </c>
      <c r="SK55">
        <v>4.1799999999999997E-3</v>
      </c>
      <c r="SL55">
        <v>4.5500000000000002E-3</v>
      </c>
      <c r="SM55">
        <v>3.7000000000000002E-3</v>
      </c>
      <c r="SN55">
        <v>4.1000000000000003E-3</v>
      </c>
      <c r="SO55">
        <v>3.9500000000000004E-3</v>
      </c>
      <c r="SP55">
        <v>5.8399999999999997E-3</v>
      </c>
      <c r="SQ55">
        <v>4.7000000000000002E-3</v>
      </c>
      <c r="SR55">
        <v>5.4299999999999999E-3</v>
      </c>
      <c r="SS55">
        <v>4.62E-3</v>
      </c>
      <c r="ST55">
        <v>4.62E-3</v>
      </c>
      <c r="SU55">
        <v>4.8700000000000002E-3</v>
      </c>
      <c r="SV55">
        <v>4.7299999999999998E-3</v>
      </c>
      <c r="SW55">
        <v>5.0699999999999999E-3</v>
      </c>
      <c r="SX55">
        <v>5.1200000000000004E-3</v>
      </c>
      <c r="SY55">
        <v>4.5799999999999999E-3</v>
      </c>
      <c r="SZ55">
        <v>5.47E-3</v>
      </c>
      <c r="TA55">
        <v>5.1700000000000001E-3</v>
      </c>
      <c r="TB55">
        <v>6.0200000000000002E-3</v>
      </c>
      <c r="TC55">
        <v>4.9100000000000003E-3</v>
      </c>
      <c r="TD55">
        <v>4.6899999999999997E-3</v>
      </c>
      <c r="TF55">
        <v>5.3699999999999998E-3</v>
      </c>
      <c r="TG55">
        <v>6.0299999999999998E-3</v>
      </c>
      <c r="TH55">
        <v>6.7600000000000004E-3</v>
      </c>
      <c r="TI55">
        <v>4.9899999999999996E-3</v>
      </c>
      <c r="TJ55">
        <v>6.77E-3</v>
      </c>
      <c r="TK55">
        <v>4.2300000000000003E-3</v>
      </c>
      <c r="TL55">
        <v>3.9899999999999996E-3</v>
      </c>
      <c r="TM55">
        <v>3.81E-3</v>
      </c>
      <c r="TN55">
        <v>4.81E-3</v>
      </c>
      <c r="TO55">
        <v>5.3600000000000002E-3</v>
      </c>
      <c r="TP55">
        <v>4.1599999999999996E-3</v>
      </c>
      <c r="TQ55">
        <v>5.2399999999999999E-3</v>
      </c>
      <c r="TR55">
        <v>5.8100000000000001E-3</v>
      </c>
      <c r="TS55">
        <v>5.5900000000000004E-3</v>
      </c>
      <c r="TT55">
        <v>5.5799999999999999E-3</v>
      </c>
      <c r="TU55">
        <v>5.2500000000000003E-3</v>
      </c>
      <c r="TV55">
        <v>4.3299999999999996E-3</v>
      </c>
      <c r="TW55">
        <v>4.5599999999999998E-3</v>
      </c>
      <c r="TX55">
        <v>4.9699999999999996E-3</v>
      </c>
      <c r="TY55">
        <v>5.0000000000000001E-3</v>
      </c>
      <c r="TZ55">
        <v>5.1200000000000004E-3</v>
      </c>
      <c r="UA55">
        <v>5.13E-3</v>
      </c>
      <c r="UB55">
        <v>4.9500000000000004E-3</v>
      </c>
      <c r="UC55">
        <v>4.6499999999999996E-3</v>
      </c>
      <c r="UD55">
        <v>4.7200000000000002E-3</v>
      </c>
      <c r="UE55">
        <v>4.9199999999999999E-3</v>
      </c>
      <c r="UF55">
        <v>3.7200000000000002E-3</v>
      </c>
      <c r="UG55">
        <v>4.2700000000000004E-3</v>
      </c>
      <c r="UH55">
        <v>5.2700000000000004E-3</v>
      </c>
      <c r="UI55">
        <v>4.3499999999999997E-3</v>
      </c>
      <c r="UJ55">
        <v>5.2500000000000003E-3</v>
      </c>
      <c r="UK55">
        <v>5.0499999999999998E-3</v>
      </c>
      <c r="UM55">
        <v>5.79E-3</v>
      </c>
      <c r="UN55">
        <v>4.8399999999999997E-3</v>
      </c>
      <c r="UO55">
        <v>4.8700000000000002E-3</v>
      </c>
      <c r="UP55">
        <v>6.3299999999999997E-3</v>
      </c>
      <c r="UQ55">
        <v>4.6899999999999997E-3</v>
      </c>
      <c r="UR55">
        <v>4.6299999999999996E-3</v>
      </c>
      <c r="US55">
        <v>4.9899999999999996E-3</v>
      </c>
      <c r="UT55">
        <v>4.62E-3</v>
      </c>
      <c r="UU55">
        <v>4.7699999999999999E-3</v>
      </c>
      <c r="UV55">
        <v>5.0200000000000002E-3</v>
      </c>
      <c r="UW55">
        <v>5.7000000000000002E-3</v>
      </c>
      <c r="UX55">
        <v>4.1399999999999996E-3</v>
      </c>
      <c r="UY55">
        <v>4.5100000000000001E-3</v>
      </c>
      <c r="UZ55">
        <v>5.2500000000000003E-3</v>
      </c>
      <c r="VA55">
        <v>6.7099999999999998E-3</v>
      </c>
      <c r="VB55">
        <v>5.6100000000000004E-3</v>
      </c>
      <c r="VC55">
        <v>5.6800000000000002E-3</v>
      </c>
      <c r="VD55">
        <v>5.9300000000000004E-3</v>
      </c>
      <c r="VE55">
        <v>4.6499999999999996E-3</v>
      </c>
      <c r="VF55">
        <v>6.3299999999999997E-3</v>
      </c>
      <c r="VG55">
        <v>8.0800000000000004E-3</v>
      </c>
      <c r="VH55">
        <v>4.6899999999999997E-3</v>
      </c>
      <c r="VI55">
        <v>5.2500000000000003E-3</v>
      </c>
    </row>
    <row r="56" spans="1:581" x14ac:dyDescent="0.25">
      <c r="A56">
        <v>1650000</v>
      </c>
      <c r="B56">
        <v>4.3E-3</v>
      </c>
      <c r="C56">
        <v>4.9899999999999996E-3</v>
      </c>
      <c r="E56">
        <v>5.7400000000000003E-3</v>
      </c>
      <c r="F56">
        <v>6.1399999999999996E-3</v>
      </c>
      <c r="G56">
        <v>6.4900000000000001E-3</v>
      </c>
      <c r="H56">
        <v>5.0200000000000002E-3</v>
      </c>
      <c r="I56">
        <v>4.96E-3</v>
      </c>
      <c r="J56">
        <v>4.9699999999999996E-3</v>
      </c>
      <c r="K56">
        <v>5.0699999999999999E-3</v>
      </c>
      <c r="L56">
        <v>4.9399999999999999E-3</v>
      </c>
      <c r="N56">
        <v>4.8399999999999997E-3</v>
      </c>
      <c r="O56">
        <v>4.7600000000000003E-3</v>
      </c>
      <c r="P56">
        <v>4.6699999999999997E-3</v>
      </c>
      <c r="Q56">
        <v>4.6800000000000001E-3</v>
      </c>
      <c r="R56">
        <v>4.6100000000000004E-3</v>
      </c>
      <c r="T56">
        <v>4.64E-3</v>
      </c>
      <c r="U56">
        <v>5.9699999999999996E-3</v>
      </c>
      <c r="V56">
        <v>4.7299999999999998E-3</v>
      </c>
      <c r="W56">
        <v>5.7800000000000004E-3</v>
      </c>
      <c r="X56">
        <v>4.4799999999999996E-3</v>
      </c>
      <c r="Y56">
        <v>5.7400000000000003E-3</v>
      </c>
      <c r="Z56">
        <v>4.1900000000000001E-3</v>
      </c>
      <c r="AA56">
        <v>4.8300000000000001E-3</v>
      </c>
      <c r="AB56">
        <v>6.7600000000000004E-3</v>
      </c>
      <c r="AC56">
        <v>6.6899999999999998E-3</v>
      </c>
      <c r="AD56">
        <v>5.0699999999999999E-3</v>
      </c>
      <c r="AE56">
        <v>5.6800000000000002E-3</v>
      </c>
      <c r="AF56">
        <v>5.94E-3</v>
      </c>
      <c r="AG56">
        <v>4.5700000000000003E-3</v>
      </c>
      <c r="AH56">
        <v>4.5500000000000002E-3</v>
      </c>
      <c r="AI56">
        <v>4.6699999999999997E-3</v>
      </c>
      <c r="AJ56">
        <v>4.45E-3</v>
      </c>
      <c r="AK56">
        <v>5.8599999999999998E-3</v>
      </c>
      <c r="AL56">
        <v>7.3800000000000003E-3</v>
      </c>
      <c r="AM56">
        <v>4.0899999999999999E-3</v>
      </c>
      <c r="AN56">
        <v>5.0600000000000003E-3</v>
      </c>
      <c r="AO56">
        <v>1.0070000000000001E-2</v>
      </c>
      <c r="AP56">
        <v>5.3899999999999998E-3</v>
      </c>
      <c r="AQ56">
        <v>5.5599999999999998E-3</v>
      </c>
      <c r="AR56">
        <v>5.2700000000000004E-3</v>
      </c>
      <c r="AS56">
        <v>5.47E-3</v>
      </c>
      <c r="AT56">
        <v>4.3099999999999996E-3</v>
      </c>
      <c r="AU56">
        <v>4.8799999999999998E-3</v>
      </c>
      <c r="AV56">
        <v>4.4400000000000004E-3</v>
      </c>
      <c r="AW56">
        <v>4.9800000000000001E-3</v>
      </c>
      <c r="AX56">
        <v>4.9800000000000001E-3</v>
      </c>
      <c r="AZ56">
        <v>5.4599999999999996E-3</v>
      </c>
      <c r="BA56">
        <v>4.3600000000000002E-3</v>
      </c>
      <c r="BB56">
        <v>5.96E-3</v>
      </c>
      <c r="BC56">
        <v>6.4099999999999999E-3</v>
      </c>
      <c r="BD56">
        <v>6.6499999999999997E-3</v>
      </c>
      <c r="BE56">
        <v>7.7999999999999996E-3</v>
      </c>
      <c r="BF56">
        <v>9.2300000000000004E-3</v>
      </c>
      <c r="BG56">
        <v>6.0099999999999997E-3</v>
      </c>
      <c r="BH56">
        <v>5.1700000000000001E-3</v>
      </c>
      <c r="BI56">
        <v>9.1400000000000006E-3</v>
      </c>
      <c r="BJ56">
        <v>6.2199999999999998E-3</v>
      </c>
      <c r="BK56">
        <v>6.7000000000000002E-3</v>
      </c>
      <c r="BL56">
        <v>6.7999999999999996E-3</v>
      </c>
      <c r="BN56">
        <v>6.2100000000000002E-3</v>
      </c>
      <c r="BO56">
        <v>7.4999999999999997E-3</v>
      </c>
      <c r="BP56">
        <v>6.6600000000000001E-3</v>
      </c>
      <c r="BQ56">
        <v>5.7800000000000004E-3</v>
      </c>
      <c r="BR56">
        <v>4.3600000000000002E-3</v>
      </c>
      <c r="BT56">
        <v>6.7600000000000004E-3</v>
      </c>
      <c r="BU56">
        <v>8.3499999999999998E-3</v>
      </c>
      <c r="BV56">
        <v>8.3700000000000007E-3</v>
      </c>
      <c r="BX56">
        <v>7.8799999999999999E-3</v>
      </c>
      <c r="BY56">
        <v>8.0199999999999994E-3</v>
      </c>
      <c r="BZ56">
        <v>6.9800000000000001E-3</v>
      </c>
      <c r="CA56">
        <v>7.1900000000000002E-3</v>
      </c>
      <c r="CB56">
        <v>6.0299999999999998E-3</v>
      </c>
      <c r="CC56">
        <v>6.45E-3</v>
      </c>
      <c r="CD56">
        <v>5.2100000000000002E-3</v>
      </c>
      <c r="CE56">
        <v>5.3499999999999997E-3</v>
      </c>
      <c r="CF56">
        <v>5.11E-3</v>
      </c>
      <c r="CG56">
        <v>4.8300000000000001E-3</v>
      </c>
      <c r="CH56">
        <v>4.6100000000000004E-3</v>
      </c>
      <c r="CI56">
        <v>4.4000000000000003E-3</v>
      </c>
      <c r="CJ56">
        <v>4.1599999999999996E-3</v>
      </c>
      <c r="CK56">
        <v>4.3800000000000002E-3</v>
      </c>
      <c r="CL56">
        <v>5.3200000000000001E-3</v>
      </c>
      <c r="CM56">
        <v>5.4599999999999996E-3</v>
      </c>
      <c r="CN56">
        <v>5.7099999999999998E-3</v>
      </c>
      <c r="CO56">
        <v>5.5300000000000002E-3</v>
      </c>
      <c r="CP56">
        <v>5.8199999999999997E-3</v>
      </c>
      <c r="CQ56">
        <v>5.3699999999999998E-3</v>
      </c>
      <c r="CR56">
        <v>5.5799999999999999E-3</v>
      </c>
      <c r="CS56">
        <v>5.9199999999999999E-3</v>
      </c>
      <c r="CT56">
        <v>6.3E-3</v>
      </c>
      <c r="CU56">
        <v>5.11E-3</v>
      </c>
      <c r="CV56">
        <v>5.0400000000000002E-3</v>
      </c>
      <c r="CX56">
        <v>5.3400000000000001E-3</v>
      </c>
      <c r="CY56">
        <v>4.4299999999999999E-3</v>
      </c>
      <c r="CZ56">
        <v>4.5300000000000002E-3</v>
      </c>
      <c r="DA56">
        <v>4.81E-3</v>
      </c>
      <c r="DB56">
        <v>4.7299999999999998E-3</v>
      </c>
      <c r="DC56">
        <v>4.7000000000000002E-3</v>
      </c>
      <c r="DD56">
        <v>4.6600000000000001E-3</v>
      </c>
      <c r="DE56">
        <v>4.64E-3</v>
      </c>
      <c r="DF56">
        <v>5.9699999999999996E-3</v>
      </c>
      <c r="DG56">
        <v>4.1799999999999997E-3</v>
      </c>
      <c r="DH56">
        <v>5.4400000000000004E-3</v>
      </c>
      <c r="DI56">
        <v>5.4099999999999999E-3</v>
      </c>
      <c r="DJ56">
        <v>5.5399999999999998E-3</v>
      </c>
      <c r="DK56">
        <v>5.5999999999999999E-3</v>
      </c>
      <c r="DL56">
        <v>5.7400000000000003E-3</v>
      </c>
      <c r="DM56">
        <v>7.4700000000000001E-3</v>
      </c>
      <c r="DN56">
        <v>5.6699999999999997E-3</v>
      </c>
      <c r="DO56">
        <v>7.5700000000000003E-3</v>
      </c>
      <c r="DP56">
        <v>8.0199999999999994E-3</v>
      </c>
      <c r="DQ56">
        <v>7.8499999999999993E-3</v>
      </c>
      <c r="DR56">
        <v>5.2599999999999999E-3</v>
      </c>
      <c r="DS56">
        <v>5.4299999999999999E-3</v>
      </c>
      <c r="DT56">
        <v>6.1900000000000002E-3</v>
      </c>
      <c r="DU56">
        <v>7.7000000000000002E-3</v>
      </c>
      <c r="DV56">
        <v>8.2900000000000005E-3</v>
      </c>
      <c r="DW56">
        <v>6.13E-3</v>
      </c>
      <c r="DY56">
        <v>8.7500000000000008E-3</v>
      </c>
      <c r="EA56">
        <v>4.81E-3</v>
      </c>
      <c r="EB56">
        <v>4.79E-3</v>
      </c>
      <c r="EC56">
        <v>4.4400000000000004E-3</v>
      </c>
      <c r="EF56">
        <v>1.017E-2</v>
      </c>
      <c r="EI56">
        <v>5.8399999999999997E-3</v>
      </c>
      <c r="EK56">
        <v>5.2900000000000004E-3</v>
      </c>
      <c r="EL56">
        <v>5.5300000000000002E-3</v>
      </c>
      <c r="EM56">
        <v>5.8399999999999997E-3</v>
      </c>
      <c r="EN56">
        <v>5.9800000000000001E-3</v>
      </c>
      <c r="EO56">
        <v>5.9800000000000001E-3</v>
      </c>
      <c r="EP56">
        <v>6.3499999999999997E-3</v>
      </c>
      <c r="ER56">
        <v>4.7299999999999998E-3</v>
      </c>
      <c r="ES56">
        <v>4.6800000000000001E-3</v>
      </c>
      <c r="ET56">
        <v>4.5500000000000002E-3</v>
      </c>
      <c r="EU56">
        <v>9.1900000000000003E-3</v>
      </c>
      <c r="EV56">
        <v>8.4600000000000005E-3</v>
      </c>
      <c r="EW56">
        <v>8.0499999999999999E-3</v>
      </c>
      <c r="EX56">
        <v>8.1200000000000005E-3</v>
      </c>
      <c r="EY56">
        <v>6.6899999999999998E-3</v>
      </c>
      <c r="EZ56">
        <v>6.7600000000000004E-3</v>
      </c>
      <c r="FA56">
        <v>5.3600000000000002E-3</v>
      </c>
      <c r="FB56">
        <v>5.8199999999999997E-3</v>
      </c>
      <c r="FC56">
        <v>4.9399999999999999E-3</v>
      </c>
      <c r="FD56">
        <v>4.8999999999999998E-3</v>
      </c>
      <c r="FE56">
        <v>5.7600000000000004E-3</v>
      </c>
      <c r="FF56">
        <v>4.3299999999999996E-3</v>
      </c>
      <c r="FG56">
        <v>7.9900000000000006E-3</v>
      </c>
      <c r="FH56">
        <v>8.1200000000000005E-3</v>
      </c>
      <c r="FI56">
        <v>7.92E-3</v>
      </c>
      <c r="FJ56">
        <v>8.0099999999999998E-3</v>
      </c>
      <c r="FK56">
        <v>7.1199999999999996E-3</v>
      </c>
      <c r="FL56">
        <v>4.6600000000000001E-3</v>
      </c>
      <c r="FN56">
        <v>5.3600000000000002E-3</v>
      </c>
      <c r="FO56">
        <v>4.9500000000000004E-3</v>
      </c>
      <c r="FP56">
        <v>4.5300000000000002E-3</v>
      </c>
      <c r="FQ56">
        <v>5.7999999999999996E-3</v>
      </c>
      <c r="FR56">
        <v>5.9199999999999999E-3</v>
      </c>
      <c r="FS56">
        <v>6.1000000000000004E-3</v>
      </c>
      <c r="FT56">
        <v>5.96E-3</v>
      </c>
      <c r="FU56">
        <v>5.96E-3</v>
      </c>
      <c r="FV56">
        <v>6.1199999999999996E-3</v>
      </c>
      <c r="FW56">
        <v>5.8799999999999998E-3</v>
      </c>
      <c r="FX56">
        <v>6.13E-3</v>
      </c>
      <c r="FY56">
        <v>6.5399999999999998E-3</v>
      </c>
      <c r="FZ56">
        <v>6.3299999999999997E-3</v>
      </c>
      <c r="GA56">
        <v>6.7099999999999998E-3</v>
      </c>
      <c r="GB56">
        <v>6.5599999999999999E-3</v>
      </c>
      <c r="GC56">
        <v>6.8900000000000003E-3</v>
      </c>
      <c r="GD56">
        <v>6.5500000000000003E-3</v>
      </c>
      <c r="GE56">
        <v>7.0000000000000001E-3</v>
      </c>
      <c r="GF56">
        <v>6.1799999999999997E-3</v>
      </c>
      <c r="GG56">
        <v>6.2399999999999999E-3</v>
      </c>
      <c r="GH56">
        <v>6.3200000000000001E-3</v>
      </c>
      <c r="GI56">
        <v>7.0899999999999999E-3</v>
      </c>
      <c r="GK56">
        <v>7.3800000000000003E-3</v>
      </c>
      <c r="GL56">
        <v>7.5799999999999999E-3</v>
      </c>
      <c r="GM56">
        <v>6.77E-3</v>
      </c>
      <c r="GP56">
        <v>5.3499999999999997E-3</v>
      </c>
      <c r="GQ56">
        <v>5.6800000000000002E-3</v>
      </c>
      <c r="GR56">
        <v>5.8799999999999998E-3</v>
      </c>
      <c r="GS56">
        <v>5.2900000000000004E-3</v>
      </c>
      <c r="GT56">
        <v>5.7800000000000004E-3</v>
      </c>
      <c r="GU56">
        <v>6.5599999999999999E-3</v>
      </c>
      <c r="GV56">
        <v>7.8200000000000006E-3</v>
      </c>
      <c r="GW56">
        <v>7.4700000000000001E-3</v>
      </c>
      <c r="GX56">
        <v>7.0899999999999999E-3</v>
      </c>
      <c r="GY56">
        <v>6.5300000000000002E-3</v>
      </c>
      <c r="GZ56">
        <v>6.0899999999999999E-3</v>
      </c>
      <c r="HB56">
        <v>4.7400000000000003E-3</v>
      </c>
      <c r="HC56">
        <v>7.0400000000000003E-3</v>
      </c>
      <c r="HD56">
        <v>3.8300000000000001E-3</v>
      </c>
      <c r="HE56">
        <v>6.3699999999999998E-3</v>
      </c>
      <c r="HF56">
        <v>7.5700000000000003E-3</v>
      </c>
      <c r="HG56">
        <v>8.0000000000000002E-3</v>
      </c>
      <c r="HH56">
        <v>8.0199999999999994E-3</v>
      </c>
      <c r="HI56">
        <v>8.1799999999999998E-3</v>
      </c>
      <c r="HJ56">
        <v>4.3699999999999998E-3</v>
      </c>
      <c r="HK56">
        <v>5.4099999999999999E-3</v>
      </c>
      <c r="HL56">
        <v>5.8599999999999998E-3</v>
      </c>
      <c r="HM56">
        <v>5.7099999999999998E-3</v>
      </c>
      <c r="HN56">
        <v>5.6600000000000001E-3</v>
      </c>
      <c r="HO56">
        <v>5.3E-3</v>
      </c>
      <c r="HP56">
        <v>4.81E-3</v>
      </c>
      <c r="HQ56">
        <v>5.0600000000000003E-3</v>
      </c>
      <c r="HR56">
        <v>5.79E-3</v>
      </c>
      <c r="HS56">
        <v>9.2200000000000008E-3</v>
      </c>
      <c r="HT56">
        <v>4.6899999999999997E-3</v>
      </c>
      <c r="HU56">
        <v>4.9500000000000004E-3</v>
      </c>
      <c r="HV56">
        <v>6.2199999999999998E-3</v>
      </c>
      <c r="HW56">
        <v>5.1200000000000004E-3</v>
      </c>
      <c r="HX56">
        <v>5.4000000000000003E-3</v>
      </c>
      <c r="HY56">
        <v>5.4400000000000004E-3</v>
      </c>
      <c r="HZ56">
        <v>3.9199999999999999E-3</v>
      </c>
      <c r="IA56">
        <v>6.3499999999999997E-3</v>
      </c>
      <c r="IB56">
        <v>7.9799999999999992E-3</v>
      </c>
      <c r="IC56">
        <v>6.9899999999999997E-3</v>
      </c>
      <c r="ID56">
        <v>4.7400000000000003E-3</v>
      </c>
      <c r="IE56">
        <v>4.4099999999999999E-3</v>
      </c>
      <c r="IF56">
        <v>4.47E-3</v>
      </c>
      <c r="IG56">
        <v>5.3899999999999998E-3</v>
      </c>
      <c r="IH56">
        <v>5.7499999999999999E-3</v>
      </c>
      <c r="II56">
        <v>4.2700000000000004E-3</v>
      </c>
      <c r="IJ56">
        <v>5.2900000000000004E-3</v>
      </c>
      <c r="IK56">
        <v>5.8999999999999999E-3</v>
      </c>
      <c r="IL56">
        <v>6.5399999999999998E-3</v>
      </c>
      <c r="IM56">
        <v>7.3899999999999999E-3</v>
      </c>
      <c r="IN56">
        <v>7.8100000000000001E-3</v>
      </c>
      <c r="IO56">
        <v>8.5800000000000008E-3</v>
      </c>
      <c r="IP56">
        <v>9.6500000000000006E-3</v>
      </c>
      <c r="IQ56">
        <v>1.0630000000000001E-2</v>
      </c>
      <c r="IR56">
        <v>1.1469999999999999E-2</v>
      </c>
      <c r="IT56">
        <v>3.8E-3</v>
      </c>
      <c r="IU56">
        <v>4.1000000000000003E-3</v>
      </c>
      <c r="IV56">
        <v>4.2599999999999999E-3</v>
      </c>
      <c r="IW56">
        <v>4.8500000000000001E-3</v>
      </c>
      <c r="IX56">
        <v>3.48E-3</v>
      </c>
      <c r="IY56">
        <v>4.3499999999999997E-3</v>
      </c>
      <c r="IZ56">
        <v>3.98E-3</v>
      </c>
      <c r="JC56">
        <v>4.8799999999999998E-3</v>
      </c>
      <c r="JD56">
        <v>5.1500000000000001E-3</v>
      </c>
      <c r="JE56">
        <v>4.3899999999999998E-3</v>
      </c>
      <c r="JF56">
        <v>7.1000000000000004E-3</v>
      </c>
      <c r="JG56">
        <v>9.7099999999999999E-3</v>
      </c>
      <c r="JH56">
        <v>9.3799999999999994E-3</v>
      </c>
      <c r="JI56">
        <v>5.6699999999999997E-3</v>
      </c>
      <c r="JJ56">
        <v>5.2599999999999999E-3</v>
      </c>
      <c r="JK56">
        <v>8.26E-3</v>
      </c>
      <c r="JL56">
        <v>7.5900000000000004E-3</v>
      </c>
      <c r="JM56">
        <v>5.2700000000000004E-3</v>
      </c>
      <c r="JN56">
        <v>6.1999999999999998E-3</v>
      </c>
      <c r="JP56">
        <v>4.45E-3</v>
      </c>
      <c r="JR56">
        <v>5.5500000000000002E-3</v>
      </c>
      <c r="JS56">
        <v>5.1000000000000004E-3</v>
      </c>
      <c r="JT56">
        <v>6.0099999999999997E-3</v>
      </c>
      <c r="JU56">
        <v>7.62E-3</v>
      </c>
      <c r="JV56">
        <v>6.8399999999999997E-3</v>
      </c>
      <c r="JW56">
        <v>5.4999999999999997E-3</v>
      </c>
      <c r="JX56">
        <v>5.2399999999999999E-3</v>
      </c>
      <c r="JY56">
        <v>6.2899999999999996E-3</v>
      </c>
      <c r="JZ56">
        <v>6.2399999999999999E-3</v>
      </c>
      <c r="KB56">
        <v>5.3699999999999998E-3</v>
      </c>
      <c r="KC56">
        <v>5.5599999999999998E-3</v>
      </c>
      <c r="KD56">
        <v>5.9699999999999996E-3</v>
      </c>
      <c r="KE56">
        <v>8.2699999999999996E-3</v>
      </c>
      <c r="KF56">
        <v>1.0540000000000001E-2</v>
      </c>
      <c r="KH56">
        <v>1.1129999999999999E-2</v>
      </c>
      <c r="KI56">
        <v>6.7200000000000003E-3</v>
      </c>
      <c r="KJ56">
        <v>6.7600000000000004E-3</v>
      </c>
      <c r="KK56">
        <v>6.7299999999999999E-3</v>
      </c>
      <c r="KL56">
        <v>7.0800000000000004E-3</v>
      </c>
      <c r="KM56">
        <v>7.3099999999999997E-3</v>
      </c>
      <c r="KO56">
        <v>6.7600000000000004E-3</v>
      </c>
      <c r="KP56">
        <v>6.62E-3</v>
      </c>
      <c r="KQ56">
        <v>6.8300000000000001E-3</v>
      </c>
      <c r="KR56">
        <v>6.8500000000000002E-3</v>
      </c>
      <c r="KS56">
        <v>6.2899999999999996E-3</v>
      </c>
      <c r="KT56">
        <v>6.5300000000000002E-3</v>
      </c>
      <c r="KU56">
        <v>6.7799999999999996E-3</v>
      </c>
      <c r="KV56">
        <v>5.7800000000000004E-3</v>
      </c>
      <c r="KW56">
        <v>4.9800000000000001E-3</v>
      </c>
      <c r="KX56">
        <v>1.068E-2</v>
      </c>
      <c r="KY56">
        <v>7.1999999999999998E-3</v>
      </c>
      <c r="KZ56">
        <v>8.0300000000000007E-3</v>
      </c>
      <c r="LA56">
        <v>5.3800000000000002E-3</v>
      </c>
      <c r="LB56">
        <v>5.3400000000000001E-3</v>
      </c>
      <c r="LC56">
        <v>5.3899999999999998E-3</v>
      </c>
      <c r="LD56">
        <v>5.3899999999999998E-3</v>
      </c>
      <c r="LE56">
        <v>8.6E-3</v>
      </c>
      <c r="LF56">
        <v>7.7099999999999998E-3</v>
      </c>
      <c r="LG56">
        <v>6.0800000000000003E-3</v>
      </c>
      <c r="LI56">
        <v>8.4799999999999997E-3</v>
      </c>
      <c r="LJ56">
        <v>8.8800000000000007E-3</v>
      </c>
      <c r="LK56">
        <v>8.9700000000000005E-3</v>
      </c>
      <c r="LL56">
        <v>5.6699999999999997E-3</v>
      </c>
      <c r="LM56">
        <v>4.2300000000000003E-3</v>
      </c>
      <c r="LN56">
        <v>5.2300000000000003E-3</v>
      </c>
      <c r="LO56">
        <v>5.4200000000000003E-3</v>
      </c>
      <c r="LP56">
        <v>4.7800000000000004E-3</v>
      </c>
      <c r="LR56">
        <v>8.3000000000000001E-3</v>
      </c>
      <c r="LS56">
        <v>9.2700000000000005E-3</v>
      </c>
      <c r="LT56">
        <v>4.9899999999999996E-3</v>
      </c>
      <c r="LU56">
        <v>6.1399999999999996E-3</v>
      </c>
      <c r="LV56">
        <v>6.6600000000000001E-3</v>
      </c>
      <c r="LW56">
        <v>4.8300000000000001E-3</v>
      </c>
      <c r="LX56">
        <v>5.4799999999999996E-3</v>
      </c>
      <c r="LY56">
        <v>6.43E-3</v>
      </c>
      <c r="LZ56">
        <v>6.4599999999999996E-3</v>
      </c>
      <c r="MA56">
        <v>6.7200000000000003E-3</v>
      </c>
      <c r="MB56">
        <v>4.4600000000000004E-3</v>
      </c>
      <c r="MC56">
        <v>8.0400000000000003E-3</v>
      </c>
      <c r="MD56">
        <v>9.1400000000000006E-3</v>
      </c>
      <c r="ME56">
        <v>1.123E-2</v>
      </c>
      <c r="MF56">
        <v>1.3469999999999999E-2</v>
      </c>
      <c r="MG56">
        <v>1.2630000000000001E-2</v>
      </c>
      <c r="MH56">
        <v>4.8300000000000001E-3</v>
      </c>
      <c r="MI56">
        <v>5.1900000000000002E-3</v>
      </c>
      <c r="MJ56">
        <v>5.2399999999999999E-3</v>
      </c>
      <c r="MK56">
        <v>4.8700000000000002E-3</v>
      </c>
      <c r="ML56">
        <v>6.0400000000000002E-3</v>
      </c>
      <c r="MM56">
        <v>5.0400000000000002E-3</v>
      </c>
      <c r="MN56">
        <v>4.96E-3</v>
      </c>
      <c r="MO56">
        <v>5.2900000000000004E-3</v>
      </c>
      <c r="MP56">
        <v>6.3600000000000002E-3</v>
      </c>
      <c r="MQ56">
        <v>4.0000000000000001E-3</v>
      </c>
      <c r="MR56">
        <v>5.3600000000000002E-3</v>
      </c>
      <c r="MS56">
        <v>5.5199999999999997E-3</v>
      </c>
      <c r="MT56">
        <v>6.8399999999999997E-3</v>
      </c>
      <c r="MU56">
        <v>4.7299999999999998E-3</v>
      </c>
      <c r="MV56">
        <v>5.1200000000000004E-3</v>
      </c>
      <c r="MW56">
        <v>5.3200000000000001E-3</v>
      </c>
      <c r="MX56">
        <v>5.4099999999999999E-3</v>
      </c>
      <c r="MY56">
        <v>5.8300000000000001E-3</v>
      </c>
      <c r="MZ56">
        <v>6.5300000000000002E-3</v>
      </c>
      <c r="NA56">
        <v>5.8999999999999999E-3</v>
      </c>
      <c r="NB56">
        <v>5.6299999999999996E-3</v>
      </c>
      <c r="NC56">
        <v>3.5699999999999998E-3</v>
      </c>
      <c r="ND56">
        <v>1.206E-2</v>
      </c>
      <c r="NE56">
        <v>6.1399999999999996E-3</v>
      </c>
      <c r="NF56">
        <v>6.9300000000000004E-3</v>
      </c>
      <c r="NG56">
        <v>4.4900000000000001E-3</v>
      </c>
      <c r="NH56">
        <v>3.8899999999999998E-3</v>
      </c>
      <c r="NI56">
        <v>4.15E-3</v>
      </c>
      <c r="NJ56">
        <v>4.4799999999999996E-3</v>
      </c>
      <c r="NK56">
        <v>4.1000000000000003E-3</v>
      </c>
      <c r="NL56">
        <v>4.3E-3</v>
      </c>
      <c r="NM56">
        <v>4.4999999999999997E-3</v>
      </c>
      <c r="NN56">
        <v>4.7000000000000002E-3</v>
      </c>
      <c r="NO56">
        <v>4.8599999999999997E-3</v>
      </c>
      <c r="NP56">
        <v>4.4299999999999999E-3</v>
      </c>
      <c r="NQ56">
        <v>4.1700000000000001E-3</v>
      </c>
      <c r="NR56">
        <v>4.3899999999999998E-3</v>
      </c>
      <c r="NS56">
        <v>4.5399999999999998E-3</v>
      </c>
      <c r="NT56">
        <v>4.8900000000000002E-3</v>
      </c>
      <c r="NU56">
        <v>4.1700000000000001E-3</v>
      </c>
      <c r="NW56">
        <v>4.45E-3</v>
      </c>
      <c r="NX56">
        <v>4.4200000000000003E-3</v>
      </c>
      <c r="NY56">
        <v>4.5799999999999999E-3</v>
      </c>
      <c r="NZ56">
        <v>4.7200000000000002E-3</v>
      </c>
      <c r="OA56">
        <v>4.8999999999999998E-3</v>
      </c>
      <c r="OB56">
        <v>4.2700000000000004E-3</v>
      </c>
      <c r="OC56">
        <v>4.4000000000000003E-3</v>
      </c>
      <c r="OD56">
        <v>4.4200000000000003E-3</v>
      </c>
      <c r="OE56">
        <v>4.4200000000000003E-3</v>
      </c>
      <c r="OF56">
        <v>5.9800000000000001E-3</v>
      </c>
      <c r="OG56">
        <v>4.6699999999999997E-3</v>
      </c>
      <c r="OH56">
        <v>4.8799999999999998E-3</v>
      </c>
      <c r="OI56">
        <v>4.9899999999999996E-3</v>
      </c>
      <c r="OJ56">
        <v>5.1700000000000001E-3</v>
      </c>
      <c r="OK56">
        <v>5.2399999999999999E-3</v>
      </c>
      <c r="OL56">
        <v>5.3899999999999998E-3</v>
      </c>
      <c r="OM56">
        <v>5.5999999999999999E-3</v>
      </c>
      <c r="ON56">
        <v>5.4299999999999999E-3</v>
      </c>
      <c r="OO56">
        <v>4.7400000000000003E-3</v>
      </c>
      <c r="OP56">
        <v>5.0499999999999998E-3</v>
      </c>
      <c r="OQ56">
        <v>5.2100000000000002E-3</v>
      </c>
      <c r="OR56">
        <v>5.5399999999999998E-3</v>
      </c>
      <c r="OS56">
        <v>6.0299999999999998E-3</v>
      </c>
      <c r="OT56">
        <v>5.8900000000000003E-3</v>
      </c>
      <c r="OU56">
        <v>6.11E-3</v>
      </c>
      <c r="OV56">
        <v>5.2599999999999999E-3</v>
      </c>
      <c r="OW56">
        <v>3.96E-3</v>
      </c>
      <c r="OX56">
        <v>5.1599999999999997E-3</v>
      </c>
      <c r="OY56">
        <v>5.4400000000000004E-3</v>
      </c>
      <c r="OZ56">
        <v>5.1000000000000004E-3</v>
      </c>
      <c r="PA56">
        <v>8.26E-3</v>
      </c>
      <c r="PB56">
        <v>8.6499999999999997E-3</v>
      </c>
      <c r="PC56">
        <v>7.2700000000000004E-3</v>
      </c>
      <c r="PD56">
        <v>6.4599999999999996E-3</v>
      </c>
      <c r="PE56">
        <v>6.0899999999999999E-3</v>
      </c>
      <c r="PF56">
        <v>5.9899999999999997E-3</v>
      </c>
      <c r="PG56">
        <v>5.1500000000000001E-3</v>
      </c>
      <c r="PH56">
        <v>5.3499999999999997E-3</v>
      </c>
      <c r="PI56">
        <v>6.7000000000000002E-3</v>
      </c>
      <c r="PJ56">
        <v>6.2399999999999999E-3</v>
      </c>
      <c r="PK56">
        <v>5.8199999999999997E-3</v>
      </c>
      <c r="PL56">
        <v>5.9199999999999999E-3</v>
      </c>
      <c r="PN56">
        <v>4.81E-3</v>
      </c>
      <c r="PO56">
        <v>4.3200000000000001E-3</v>
      </c>
      <c r="PQ56">
        <v>4.8799999999999998E-3</v>
      </c>
      <c r="PR56">
        <v>4.3099999999999996E-3</v>
      </c>
      <c r="PS56">
        <v>4.6499999999999996E-3</v>
      </c>
      <c r="PT56">
        <v>4.8700000000000002E-3</v>
      </c>
      <c r="PV56">
        <v>3.14E-3</v>
      </c>
      <c r="PW56">
        <v>3.32E-3</v>
      </c>
      <c r="PX56">
        <v>3.49E-3</v>
      </c>
      <c r="PY56">
        <v>3.6800000000000001E-3</v>
      </c>
      <c r="PZ56">
        <v>3.9500000000000004E-3</v>
      </c>
      <c r="QA56">
        <v>3.9199999999999999E-3</v>
      </c>
      <c r="QB56">
        <v>4.2900000000000004E-3</v>
      </c>
      <c r="QC56">
        <v>5.3499999999999997E-3</v>
      </c>
      <c r="QD56">
        <v>5.3499999999999997E-3</v>
      </c>
      <c r="QE56">
        <v>4.4200000000000003E-3</v>
      </c>
      <c r="QF56">
        <v>4.8900000000000002E-3</v>
      </c>
      <c r="QG56">
        <v>7.0499999999999998E-3</v>
      </c>
      <c r="QH56">
        <v>4.7999999999999996E-3</v>
      </c>
      <c r="QI56">
        <v>5.0499999999999998E-3</v>
      </c>
      <c r="QJ56">
        <v>4.8500000000000001E-3</v>
      </c>
      <c r="QK56">
        <v>4.8799999999999998E-3</v>
      </c>
      <c r="QL56">
        <v>4.7499999999999999E-3</v>
      </c>
      <c r="QM56">
        <v>5.2700000000000004E-3</v>
      </c>
      <c r="QN56">
        <v>8.26E-3</v>
      </c>
      <c r="QO56">
        <v>6.0800000000000003E-3</v>
      </c>
      <c r="QP56">
        <v>7.43E-3</v>
      </c>
      <c r="QQ56">
        <v>7.5700000000000003E-3</v>
      </c>
      <c r="QR56">
        <v>7.7099999999999998E-3</v>
      </c>
      <c r="QS56">
        <v>7.6499999999999997E-3</v>
      </c>
      <c r="QT56">
        <v>5.62E-3</v>
      </c>
      <c r="QU56">
        <v>5.64E-3</v>
      </c>
      <c r="QV56">
        <v>5.6600000000000001E-3</v>
      </c>
      <c r="QW56">
        <v>5.7800000000000004E-3</v>
      </c>
      <c r="QX56">
        <v>5.2700000000000004E-3</v>
      </c>
      <c r="QY56">
        <v>5.0600000000000003E-3</v>
      </c>
      <c r="QZ56">
        <v>5.4299999999999999E-3</v>
      </c>
      <c r="RA56">
        <v>5.7000000000000002E-3</v>
      </c>
      <c r="RB56">
        <v>6.4799999999999996E-3</v>
      </c>
      <c r="RC56">
        <v>5.5999999999999999E-3</v>
      </c>
      <c r="RD56">
        <v>7.8899999999999994E-3</v>
      </c>
      <c r="RE56">
        <v>6.3600000000000002E-3</v>
      </c>
      <c r="RF56">
        <v>6.5500000000000003E-3</v>
      </c>
      <c r="RG56">
        <v>4.8300000000000001E-3</v>
      </c>
      <c r="RH56">
        <v>4.9399999999999999E-3</v>
      </c>
      <c r="RI56">
        <v>7.11E-3</v>
      </c>
      <c r="RJ56">
        <v>6.0299999999999998E-3</v>
      </c>
      <c r="RK56">
        <v>6.0800000000000003E-3</v>
      </c>
      <c r="RL56">
        <v>5.6299999999999996E-3</v>
      </c>
      <c r="RM56">
        <v>4.2700000000000004E-3</v>
      </c>
      <c r="RN56">
        <v>4.3800000000000002E-3</v>
      </c>
      <c r="RO56">
        <v>4.3800000000000002E-3</v>
      </c>
      <c r="RP56">
        <v>4.0299999999999997E-3</v>
      </c>
      <c r="RQ56">
        <v>4.3699999999999998E-3</v>
      </c>
      <c r="RR56">
        <v>4.1700000000000001E-3</v>
      </c>
      <c r="RS56">
        <v>4.2599999999999999E-3</v>
      </c>
      <c r="RU56">
        <v>4.5799999999999999E-3</v>
      </c>
      <c r="RV56">
        <v>4.79E-3</v>
      </c>
      <c r="RW56">
        <v>5.3E-3</v>
      </c>
      <c r="RX56">
        <v>4.9199999999999999E-3</v>
      </c>
      <c r="RY56">
        <v>3.5799999999999998E-3</v>
      </c>
      <c r="RZ56">
        <v>4.2599999999999999E-3</v>
      </c>
      <c r="SA56">
        <v>5.4200000000000003E-3</v>
      </c>
      <c r="SB56">
        <v>5.0099999999999997E-3</v>
      </c>
      <c r="SC56">
        <v>5.9500000000000004E-3</v>
      </c>
      <c r="SD56">
        <v>6.3899999999999998E-3</v>
      </c>
      <c r="SE56">
        <v>5.8399999999999997E-3</v>
      </c>
      <c r="SF56">
        <v>6.7200000000000003E-3</v>
      </c>
      <c r="SG56">
        <v>8.2199999999999999E-3</v>
      </c>
      <c r="SH56">
        <v>1.06E-2</v>
      </c>
      <c r="SI56">
        <v>5.7099999999999998E-3</v>
      </c>
      <c r="SJ56">
        <v>4.6899999999999997E-3</v>
      </c>
      <c r="SK56">
        <v>4.1599999999999996E-3</v>
      </c>
      <c r="SL56">
        <v>4.5399999999999998E-3</v>
      </c>
      <c r="SN56">
        <v>4.1000000000000003E-3</v>
      </c>
      <c r="SO56">
        <v>3.9500000000000004E-3</v>
      </c>
      <c r="SP56">
        <v>5.8300000000000001E-3</v>
      </c>
      <c r="SQ56">
        <v>4.6800000000000001E-3</v>
      </c>
      <c r="SR56">
        <v>5.4200000000000003E-3</v>
      </c>
      <c r="SS56">
        <v>4.6299999999999996E-3</v>
      </c>
      <c r="ST56">
        <v>4.6299999999999996E-3</v>
      </c>
      <c r="SU56">
        <v>4.8799999999999998E-3</v>
      </c>
      <c r="SV56">
        <v>4.7400000000000003E-3</v>
      </c>
      <c r="SW56">
        <v>5.0800000000000003E-3</v>
      </c>
      <c r="SY56">
        <v>4.5799999999999999E-3</v>
      </c>
      <c r="SZ56">
        <v>5.4400000000000004E-3</v>
      </c>
      <c r="TA56">
        <v>5.1399999999999996E-3</v>
      </c>
      <c r="TD56">
        <v>4.6800000000000001E-3</v>
      </c>
      <c r="TE56">
        <v>6.6499999999999997E-3</v>
      </c>
      <c r="TG56">
        <v>6.0099999999999997E-3</v>
      </c>
      <c r="TH56">
        <v>6.7200000000000003E-3</v>
      </c>
      <c r="TI56">
        <v>5.0099999999999997E-3</v>
      </c>
      <c r="TJ56">
        <v>6.7499999999999999E-3</v>
      </c>
      <c r="TK56">
        <v>4.2199999999999998E-3</v>
      </c>
      <c r="TL56">
        <v>3.98E-3</v>
      </c>
      <c r="TM56">
        <v>3.8300000000000001E-3</v>
      </c>
      <c r="TN56">
        <v>4.79E-3</v>
      </c>
      <c r="TO56">
        <v>5.3600000000000002E-3</v>
      </c>
      <c r="TP56">
        <v>4.1799999999999997E-3</v>
      </c>
      <c r="TQ56">
        <v>5.2399999999999999E-3</v>
      </c>
      <c r="TR56">
        <v>5.77E-3</v>
      </c>
      <c r="TS56">
        <v>5.5399999999999998E-3</v>
      </c>
      <c r="TT56">
        <v>5.5399999999999998E-3</v>
      </c>
      <c r="TU56">
        <v>5.2199999999999998E-3</v>
      </c>
      <c r="TV56">
        <v>4.2900000000000004E-3</v>
      </c>
      <c r="TW56">
        <v>4.5500000000000002E-3</v>
      </c>
      <c r="TX56">
        <v>4.9800000000000001E-3</v>
      </c>
      <c r="TY56">
        <v>5.0000000000000001E-3</v>
      </c>
      <c r="TZ56">
        <v>5.13E-3</v>
      </c>
      <c r="UA56">
        <v>5.1399999999999996E-3</v>
      </c>
      <c r="UB56">
        <v>4.9500000000000004E-3</v>
      </c>
      <c r="UC56">
        <v>4.64E-3</v>
      </c>
      <c r="UE56">
        <v>4.9300000000000004E-3</v>
      </c>
      <c r="UF56">
        <v>3.7100000000000002E-3</v>
      </c>
      <c r="UG56">
        <v>4.2700000000000004E-3</v>
      </c>
      <c r="UH56">
        <v>5.2599999999999999E-3</v>
      </c>
      <c r="UI56">
        <v>4.3400000000000001E-3</v>
      </c>
      <c r="UJ56">
        <v>5.2300000000000003E-3</v>
      </c>
      <c r="UK56">
        <v>5.0600000000000003E-3</v>
      </c>
      <c r="UM56">
        <v>5.77E-3</v>
      </c>
      <c r="UN56">
        <v>4.8500000000000001E-3</v>
      </c>
      <c r="UO56">
        <v>4.8700000000000002E-3</v>
      </c>
      <c r="UP56">
        <v>6.3E-3</v>
      </c>
      <c r="UQ56">
        <v>4.6899999999999997E-3</v>
      </c>
      <c r="UR56">
        <v>4.6299999999999996E-3</v>
      </c>
      <c r="US56">
        <v>4.9800000000000001E-3</v>
      </c>
      <c r="UT56">
        <v>4.62E-3</v>
      </c>
      <c r="UU56">
        <v>4.7699999999999999E-3</v>
      </c>
      <c r="UV56">
        <v>5.0099999999999997E-3</v>
      </c>
      <c r="UW56">
        <v>5.6499999999999996E-3</v>
      </c>
      <c r="UX56">
        <v>4.1200000000000004E-3</v>
      </c>
      <c r="UY56">
        <v>4.4900000000000001E-3</v>
      </c>
      <c r="UZ56">
        <v>5.2399999999999999E-3</v>
      </c>
      <c r="VA56">
        <v>6.6600000000000001E-3</v>
      </c>
      <c r="VB56">
        <v>5.6100000000000004E-3</v>
      </c>
      <c r="VC56">
        <v>5.62E-3</v>
      </c>
      <c r="VD56">
        <v>5.77E-3</v>
      </c>
      <c r="VE56">
        <v>4.5799999999999999E-3</v>
      </c>
      <c r="VF56">
        <v>6.1799999999999997E-3</v>
      </c>
      <c r="VG56">
        <v>8.0499999999999999E-3</v>
      </c>
      <c r="VH56">
        <v>4.6299999999999996E-3</v>
      </c>
      <c r="VI56">
        <v>5.1999999999999998E-3</v>
      </c>
    </row>
    <row r="57" spans="1:581" x14ac:dyDescent="0.25">
      <c r="A57">
        <v>1700000</v>
      </c>
      <c r="B57">
        <v>4.3499999999999997E-3</v>
      </c>
      <c r="C57">
        <v>5.0000000000000001E-3</v>
      </c>
      <c r="D57">
        <v>5.0899999999999999E-3</v>
      </c>
      <c r="E57">
        <v>5.7499999999999999E-3</v>
      </c>
      <c r="F57">
        <v>6.1599999999999997E-3</v>
      </c>
      <c r="G57">
        <v>6.4900000000000001E-3</v>
      </c>
      <c r="I57">
        <v>4.96E-3</v>
      </c>
      <c r="J57">
        <v>4.9899999999999996E-3</v>
      </c>
      <c r="K57">
        <v>5.0600000000000003E-3</v>
      </c>
      <c r="L57">
        <v>4.9399999999999999E-3</v>
      </c>
      <c r="M57">
        <v>4.8599999999999997E-3</v>
      </c>
      <c r="N57">
        <v>4.8599999999999997E-3</v>
      </c>
      <c r="O57">
        <v>4.7200000000000002E-3</v>
      </c>
      <c r="P57">
        <v>4.6299999999999996E-3</v>
      </c>
      <c r="Q57">
        <v>4.6499999999999996E-3</v>
      </c>
      <c r="R57">
        <v>4.5799999999999999E-3</v>
      </c>
      <c r="S57">
        <v>4.7200000000000002E-3</v>
      </c>
      <c r="T57">
        <v>4.6699999999999997E-3</v>
      </c>
      <c r="U57">
        <v>5.9500000000000004E-3</v>
      </c>
      <c r="V57">
        <v>4.7400000000000003E-3</v>
      </c>
      <c r="W57">
        <v>5.7600000000000004E-3</v>
      </c>
      <c r="X57">
        <v>4.5199999999999997E-3</v>
      </c>
      <c r="Y57">
        <v>5.7200000000000003E-3</v>
      </c>
      <c r="Z57">
        <v>4.2300000000000003E-3</v>
      </c>
      <c r="AA57">
        <v>4.7600000000000003E-3</v>
      </c>
      <c r="AB57">
        <v>6.7499999999999999E-3</v>
      </c>
      <c r="AC57">
        <v>6.6499999999999997E-3</v>
      </c>
      <c r="AD57">
        <v>5.0499999999999998E-3</v>
      </c>
      <c r="AF57">
        <v>5.9199999999999999E-3</v>
      </c>
      <c r="AG57">
        <v>4.5100000000000001E-3</v>
      </c>
      <c r="AH57">
        <v>4.4900000000000001E-3</v>
      </c>
      <c r="AI57">
        <v>4.5900000000000003E-3</v>
      </c>
      <c r="AJ57">
        <v>4.4099999999999999E-3</v>
      </c>
      <c r="AK57">
        <v>5.8300000000000001E-3</v>
      </c>
      <c r="AL57">
        <v>7.3299999999999997E-3</v>
      </c>
      <c r="AM57">
        <v>4.0499999999999998E-3</v>
      </c>
      <c r="AN57">
        <v>4.9800000000000001E-3</v>
      </c>
      <c r="AO57">
        <v>1.001E-2</v>
      </c>
      <c r="AP57">
        <v>5.3400000000000001E-3</v>
      </c>
      <c r="AQ57">
        <v>5.4400000000000004E-3</v>
      </c>
      <c r="AR57">
        <v>5.1999999999999998E-3</v>
      </c>
      <c r="AS57">
        <v>5.3899999999999998E-3</v>
      </c>
      <c r="AT57">
        <v>4.2700000000000004E-3</v>
      </c>
      <c r="AU57">
        <v>4.8300000000000001E-3</v>
      </c>
      <c r="AV57">
        <v>4.3499999999999997E-3</v>
      </c>
      <c r="AW57">
        <v>4.9100000000000003E-3</v>
      </c>
      <c r="AX57">
        <v>4.9300000000000004E-3</v>
      </c>
      <c r="AZ57">
        <v>5.4900000000000001E-3</v>
      </c>
      <c r="BA57">
        <v>4.2500000000000003E-3</v>
      </c>
      <c r="BB57">
        <v>5.9300000000000004E-3</v>
      </c>
      <c r="BC57">
        <v>6.3600000000000002E-3</v>
      </c>
      <c r="BD57">
        <v>6.6E-3</v>
      </c>
      <c r="BE57">
        <v>7.7299999999999999E-3</v>
      </c>
      <c r="BF57">
        <v>9.1699999999999993E-3</v>
      </c>
      <c r="BG57">
        <v>5.96E-3</v>
      </c>
      <c r="BH57">
        <v>5.0899999999999999E-3</v>
      </c>
      <c r="BI57">
        <v>9.0799999999999995E-3</v>
      </c>
      <c r="BJ57">
        <v>6.1700000000000001E-3</v>
      </c>
      <c r="BK57">
        <v>6.6600000000000001E-3</v>
      </c>
      <c r="BL57">
        <v>6.7600000000000004E-3</v>
      </c>
      <c r="BM57">
        <v>6.4000000000000003E-3</v>
      </c>
      <c r="BN57">
        <v>6.2500000000000003E-3</v>
      </c>
      <c r="BO57">
        <v>7.4599999999999996E-3</v>
      </c>
      <c r="BP57">
        <v>6.6400000000000001E-3</v>
      </c>
      <c r="BQ57">
        <v>5.79E-3</v>
      </c>
      <c r="BR57">
        <v>4.2700000000000004E-3</v>
      </c>
      <c r="BT57">
        <v>6.6800000000000002E-3</v>
      </c>
      <c r="BU57">
        <v>8.3099999999999997E-3</v>
      </c>
      <c r="BV57">
        <v>8.3300000000000006E-3</v>
      </c>
      <c r="BW57">
        <v>8.0700000000000008E-3</v>
      </c>
      <c r="BX57">
        <v>7.8200000000000006E-3</v>
      </c>
      <c r="BY57">
        <v>7.9799999999999992E-3</v>
      </c>
      <c r="BZ57">
        <v>6.9300000000000004E-3</v>
      </c>
      <c r="CA57">
        <v>7.1399999999999996E-3</v>
      </c>
      <c r="CB57">
        <v>6.0000000000000001E-3</v>
      </c>
      <c r="CC57">
        <v>6.4099999999999999E-3</v>
      </c>
      <c r="CD57">
        <v>5.1599999999999997E-3</v>
      </c>
      <c r="CE57">
        <v>5.3400000000000001E-3</v>
      </c>
      <c r="CF57">
        <v>5.1000000000000004E-3</v>
      </c>
      <c r="CG57">
        <v>4.8300000000000001E-3</v>
      </c>
      <c r="CH57">
        <v>4.62E-3</v>
      </c>
      <c r="CI57">
        <v>4.4099999999999999E-3</v>
      </c>
      <c r="CJ57">
        <v>4.1900000000000001E-3</v>
      </c>
      <c r="CK57">
        <v>4.4000000000000003E-3</v>
      </c>
      <c r="CL57">
        <v>5.3099999999999996E-3</v>
      </c>
      <c r="CM57">
        <v>5.4200000000000003E-3</v>
      </c>
      <c r="CN57">
        <v>5.6699999999999997E-3</v>
      </c>
      <c r="CP57">
        <v>5.7800000000000004E-3</v>
      </c>
      <c r="CQ57">
        <v>5.3800000000000002E-3</v>
      </c>
      <c r="CR57">
        <v>5.5500000000000002E-3</v>
      </c>
      <c r="CS57">
        <v>5.8900000000000003E-3</v>
      </c>
      <c r="CT57">
        <v>6.2700000000000004E-3</v>
      </c>
      <c r="CV57">
        <v>5.0299999999999997E-3</v>
      </c>
      <c r="CW57">
        <v>5.28E-3</v>
      </c>
      <c r="CY57">
        <v>4.4600000000000004E-3</v>
      </c>
      <c r="CZ57">
        <v>4.5599999999999998E-3</v>
      </c>
      <c r="DA57">
        <v>4.81E-3</v>
      </c>
      <c r="DC57">
        <v>4.6800000000000001E-3</v>
      </c>
      <c r="DD57">
        <v>4.6499999999999996E-3</v>
      </c>
      <c r="DE57">
        <v>4.6299999999999996E-3</v>
      </c>
      <c r="DF57">
        <v>5.9100000000000003E-3</v>
      </c>
      <c r="DG57">
        <v>4.1399999999999996E-3</v>
      </c>
      <c r="DH57">
        <v>5.3800000000000002E-3</v>
      </c>
      <c r="DI57">
        <v>5.3499999999999997E-3</v>
      </c>
      <c r="DJ57">
        <v>5.4799999999999996E-3</v>
      </c>
      <c r="DK57">
        <v>5.5399999999999998E-3</v>
      </c>
      <c r="DL57">
        <v>5.6899999999999997E-3</v>
      </c>
      <c r="DM57">
        <v>7.5300000000000002E-3</v>
      </c>
      <c r="DN57">
        <v>5.7800000000000004E-3</v>
      </c>
      <c r="DO57">
        <v>7.5599999999999999E-3</v>
      </c>
      <c r="DP57">
        <v>7.9799999999999992E-3</v>
      </c>
      <c r="DQ57">
        <v>7.8100000000000001E-3</v>
      </c>
      <c r="DS57">
        <v>5.3699999999999998E-3</v>
      </c>
      <c r="DT57">
        <v>6.3099999999999996E-3</v>
      </c>
      <c r="DU57">
        <v>7.7299999999999999E-3</v>
      </c>
      <c r="DV57">
        <v>8.2500000000000004E-3</v>
      </c>
      <c r="DW57">
        <v>6.28E-3</v>
      </c>
      <c r="DY57">
        <v>8.6999999999999994E-3</v>
      </c>
      <c r="DZ57">
        <v>8.3700000000000007E-3</v>
      </c>
      <c r="EA57">
        <v>4.7800000000000004E-3</v>
      </c>
      <c r="EB57">
        <v>4.7499999999999999E-3</v>
      </c>
      <c r="EC57">
        <v>4.4099999999999999E-3</v>
      </c>
      <c r="EF57">
        <v>1.009E-2</v>
      </c>
      <c r="EI57">
        <v>5.8100000000000001E-3</v>
      </c>
      <c r="EJ57">
        <v>5.3800000000000002E-3</v>
      </c>
      <c r="EK57">
        <v>5.2599999999999999E-3</v>
      </c>
      <c r="EL57">
        <v>5.4900000000000001E-3</v>
      </c>
      <c r="EM57">
        <v>5.8100000000000001E-3</v>
      </c>
      <c r="EN57">
        <v>5.9500000000000004E-3</v>
      </c>
      <c r="EO57">
        <v>5.94E-3</v>
      </c>
      <c r="EP57">
        <v>6.3099999999999996E-3</v>
      </c>
      <c r="EQ57">
        <v>6.3499999999999997E-3</v>
      </c>
      <c r="ER57">
        <v>4.6600000000000001E-3</v>
      </c>
      <c r="ES57">
        <v>4.64E-3</v>
      </c>
      <c r="ET57">
        <v>4.4799999999999996E-3</v>
      </c>
      <c r="EU57">
        <v>9.1400000000000006E-3</v>
      </c>
      <c r="EV57">
        <v>8.4100000000000008E-3</v>
      </c>
      <c r="EW57">
        <v>8.0099999999999998E-3</v>
      </c>
      <c r="EX57">
        <v>8.0499999999999999E-3</v>
      </c>
      <c r="EZ57">
        <v>6.7499999999999999E-3</v>
      </c>
      <c r="FA57">
        <v>5.2900000000000004E-3</v>
      </c>
      <c r="FB57">
        <v>5.77E-3</v>
      </c>
      <c r="FC57">
        <v>4.8799999999999998E-3</v>
      </c>
      <c r="FD57">
        <v>4.8599999999999997E-3</v>
      </c>
      <c r="FF57">
        <v>4.3099999999999996E-3</v>
      </c>
      <c r="FG57">
        <v>7.9600000000000001E-3</v>
      </c>
      <c r="FH57">
        <v>8.0700000000000008E-3</v>
      </c>
      <c r="FI57">
        <v>7.8799999999999999E-3</v>
      </c>
      <c r="FJ57">
        <v>7.9900000000000006E-3</v>
      </c>
      <c r="FK57">
        <v>7.0699999999999999E-3</v>
      </c>
      <c r="FL57">
        <v>4.64E-3</v>
      </c>
      <c r="FN57">
        <v>5.28E-3</v>
      </c>
      <c r="FO57">
        <v>4.9199999999999999E-3</v>
      </c>
      <c r="FP57">
        <v>4.4999999999999997E-3</v>
      </c>
      <c r="FQ57">
        <v>5.7000000000000002E-3</v>
      </c>
      <c r="FR57">
        <v>5.8599999999999998E-3</v>
      </c>
      <c r="FS57">
        <v>6.0099999999999997E-3</v>
      </c>
      <c r="FT57">
        <v>5.8900000000000003E-3</v>
      </c>
      <c r="FU57">
        <v>5.8900000000000003E-3</v>
      </c>
      <c r="FV57">
        <v>6.0499999999999998E-3</v>
      </c>
      <c r="FW57">
        <v>5.8399999999999997E-3</v>
      </c>
      <c r="FX57">
        <v>6.0499999999999998E-3</v>
      </c>
      <c r="FY57">
        <v>6.45E-3</v>
      </c>
      <c r="FZ57">
        <v>6.2700000000000004E-3</v>
      </c>
      <c r="GA57">
        <v>6.6400000000000001E-3</v>
      </c>
      <c r="GB57">
        <v>6.4900000000000001E-3</v>
      </c>
      <c r="GC57">
        <v>6.8300000000000001E-3</v>
      </c>
      <c r="GD57">
        <v>6.4999999999999997E-3</v>
      </c>
      <c r="GE57">
        <v>6.9499999999999996E-3</v>
      </c>
      <c r="GF57">
        <v>6.1399999999999996E-3</v>
      </c>
      <c r="GG57">
        <v>6.2100000000000002E-3</v>
      </c>
      <c r="GH57">
        <v>6.28E-3</v>
      </c>
      <c r="GI57">
        <v>7.0400000000000003E-3</v>
      </c>
      <c r="GJ57">
        <v>7.1900000000000002E-3</v>
      </c>
      <c r="GK57">
        <v>7.3400000000000002E-3</v>
      </c>
      <c r="GL57">
        <v>7.5500000000000003E-3</v>
      </c>
      <c r="GO57">
        <v>6.3E-3</v>
      </c>
      <c r="GP57">
        <v>5.28E-3</v>
      </c>
      <c r="GQ57">
        <v>5.6299999999999996E-3</v>
      </c>
      <c r="GR57">
        <v>5.8100000000000001E-3</v>
      </c>
      <c r="GS57">
        <v>5.2300000000000003E-3</v>
      </c>
      <c r="GT57">
        <v>5.7400000000000003E-3</v>
      </c>
      <c r="GU57">
        <v>6.7499999999999999E-3</v>
      </c>
      <c r="GV57">
        <v>7.7799999999999996E-3</v>
      </c>
      <c r="GW57">
        <v>7.4099999999999999E-3</v>
      </c>
      <c r="GX57">
        <v>7.0400000000000003E-3</v>
      </c>
      <c r="GY57">
        <v>6.4200000000000004E-3</v>
      </c>
      <c r="GZ57">
        <v>6.0099999999999997E-3</v>
      </c>
      <c r="HA57">
        <v>4.9500000000000004E-3</v>
      </c>
      <c r="HB57">
        <v>4.7400000000000003E-3</v>
      </c>
      <c r="HC57">
        <v>7.1799999999999998E-3</v>
      </c>
      <c r="HD57">
        <v>3.7699999999999999E-3</v>
      </c>
      <c r="HE57">
        <v>6.45E-3</v>
      </c>
      <c r="HF57">
        <v>7.5599999999999999E-3</v>
      </c>
      <c r="HG57">
        <v>7.9500000000000005E-3</v>
      </c>
      <c r="HH57">
        <v>7.9900000000000006E-3</v>
      </c>
      <c r="HI57">
        <v>8.1200000000000005E-3</v>
      </c>
      <c r="HJ57">
        <v>4.3699999999999998E-3</v>
      </c>
      <c r="HK57">
        <v>5.3200000000000001E-3</v>
      </c>
      <c r="HL57">
        <v>5.8100000000000001E-3</v>
      </c>
      <c r="HM57">
        <v>5.6299999999999996E-3</v>
      </c>
      <c r="HN57">
        <v>5.62E-3</v>
      </c>
      <c r="HO57">
        <v>5.2300000000000003E-3</v>
      </c>
      <c r="HP57">
        <v>4.79E-3</v>
      </c>
      <c r="HQ57">
        <v>4.9899999999999996E-3</v>
      </c>
      <c r="HR57">
        <v>5.6899999999999997E-3</v>
      </c>
      <c r="HS57">
        <v>9.1400000000000006E-3</v>
      </c>
      <c r="HT57">
        <v>4.5999999999999999E-3</v>
      </c>
      <c r="HU57">
        <v>4.9300000000000004E-3</v>
      </c>
      <c r="HV57">
        <v>6.1700000000000001E-3</v>
      </c>
      <c r="HW57">
        <v>5.0899999999999999E-3</v>
      </c>
      <c r="HX57">
        <v>5.2900000000000004E-3</v>
      </c>
      <c r="HY57">
        <v>5.3800000000000002E-3</v>
      </c>
      <c r="HZ57">
        <v>3.9199999999999999E-3</v>
      </c>
      <c r="IA57">
        <v>6.2899999999999996E-3</v>
      </c>
      <c r="IB57">
        <v>7.92E-3</v>
      </c>
      <c r="IC57">
        <v>6.96E-3</v>
      </c>
      <c r="IE57">
        <v>4.3699999999999998E-3</v>
      </c>
      <c r="IF57">
        <v>4.4299999999999999E-3</v>
      </c>
      <c r="IG57">
        <v>5.3299999999999997E-3</v>
      </c>
      <c r="IH57">
        <v>5.6699999999999997E-3</v>
      </c>
      <c r="II57">
        <v>4.2399999999999998E-3</v>
      </c>
      <c r="IJ57">
        <v>5.2500000000000003E-3</v>
      </c>
      <c r="IK57">
        <v>5.8500000000000002E-3</v>
      </c>
      <c r="IL57">
        <v>6.4900000000000001E-3</v>
      </c>
      <c r="IM57">
        <v>7.3400000000000002E-3</v>
      </c>
      <c r="IN57">
        <v>7.7600000000000004E-3</v>
      </c>
      <c r="IO57">
        <v>8.5199999999999998E-3</v>
      </c>
      <c r="IP57">
        <v>9.5600000000000008E-3</v>
      </c>
      <c r="IQ57">
        <v>1.0500000000000001E-2</v>
      </c>
      <c r="IR57">
        <v>1.1339999999999999E-2</v>
      </c>
      <c r="IS57">
        <v>4.96E-3</v>
      </c>
      <c r="IT57">
        <v>3.7699999999999999E-3</v>
      </c>
      <c r="IU57">
        <v>4.0499999999999998E-3</v>
      </c>
      <c r="IV57">
        <v>4.2399999999999998E-3</v>
      </c>
      <c r="IW57">
        <v>4.81E-3</v>
      </c>
      <c r="IX57">
        <v>3.5000000000000001E-3</v>
      </c>
      <c r="IY57">
        <v>4.3499999999999997E-3</v>
      </c>
      <c r="IZ57">
        <v>3.96E-3</v>
      </c>
      <c r="JA57">
        <v>4.4400000000000004E-3</v>
      </c>
      <c r="JB57">
        <v>4.5300000000000002E-3</v>
      </c>
      <c r="JC57">
        <v>4.8599999999999997E-3</v>
      </c>
      <c r="JD57">
        <v>5.13E-3</v>
      </c>
      <c r="JE57">
        <v>4.3800000000000002E-3</v>
      </c>
      <c r="JF57">
        <v>7.1199999999999996E-3</v>
      </c>
      <c r="JG57">
        <v>9.6900000000000007E-3</v>
      </c>
      <c r="JH57">
        <v>9.3299999999999998E-3</v>
      </c>
      <c r="JI57">
        <v>5.5999999999999999E-3</v>
      </c>
      <c r="JK57">
        <v>8.2000000000000007E-3</v>
      </c>
      <c r="JL57">
        <v>7.5199999999999998E-3</v>
      </c>
      <c r="JM57">
        <v>5.2500000000000003E-3</v>
      </c>
      <c r="JN57">
        <v>6.11E-3</v>
      </c>
      <c r="JP57">
        <v>4.4299999999999999E-3</v>
      </c>
      <c r="JQ57">
        <v>5.62E-3</v>
      </c>
      <c r="JR57">
        <v>5.5300000000000002E-3</v>
      </c>
      <c r="JT57">
        <v>5.9699999999999996E-3</v>
      </c>
      <c r="JU57">
        <v>7.6099999999999996E-3</v>
      </c>
      <c r="JV57">
        <v>6.9300000000000004E-3</v>
      </c>
      <c r="JW57">
        <v>5.45E-3</v>
      </c>
      <c r="JX57">
        <v>5.2100000000000002E-3</v>
      </c>
      <c r="JY57">
        <v>6.2599999999999999E-3</v>
      </c>
      <c r="JZ57">
        <v>6.1799999999999997E-3</v>
      </c>
      <c r="KA57">
        <v>5.9699999999999996E-3</v>
      </c>
      <c r="KB57">
        <v>5.3600000000000002E-3</v>
      </c>
      <c r="KC57">
        <v>5.5399999999999998E-3</v>
      </c>
      <c r="KD57">
        <v>5.94E-3</v>
      </c>
      <c r="KE57">
        <v>8.2500000000000004E-3</v>
      </c>
      <c r="KF57">
        <v>1.048E-2</v>
      </c>
      <c r="KG57">
        <v>1.1010000000000001E-2</v>
      </c>
      <c r="KH57">
        <v>1.112E-2</v>
      </c>
      <c r="KI57">
        <v>6.6600000000000001E-3</v>
      </c>
      <c r="KJ57">
        <v>6.6899999999999998E-3</v>
      </c>
      <c r="KK57">
        <v>6.6499999999999997E-3</v>
      </c>
      <c r="KL57">
        <v>7.0299999999999998E-3</v>
      </c>
      <c r="KM57">
        <v>7.2199999999999999E-3</v>
      </c>
      <c r="KN57">
        <v>6.6499999999999997E-3</v>
      </c>
      <c r="KO57">
        <v>6.7499999999999999E-3</v>
      </c>
      <c r="KP57">
        <v>6.5599999999999999E-3</v>
      </c>
      <c r="KQ57">
        <v>6.7600000000000004E-3</v>
      </c>
      <c r="KR57">
        <v>6.77E-3</v>
      </c>
      <c r="KS57">
        <v>6.2899999999999996E-3</v>
      </c>
      <c r="KT57">
        <v>6.5399999999999998E-3</v>
      </c>
      <c r="KU57">
        <v>6.79E-3</v>
      </c>
      <c r="KV57">
        <v>5.8300000000000001E-3</v>
      </c>
      <c r="KW57">
        <v>5.0299999999999997E-3</v>
      </c>
      <c r="KX57">
        <v>1.0619999999999999E-2</v>
      </c>
      <c r="KY57">
        <v>7.2399999999999999E-3</v>
      </c>
      <c r="KZ57">
        <v>8.0499999999999999E-3</v>
      </c>
      <c r="LA57">
        <v>5.3299999999999997E-3</v>
      </c>
      <c r="LB57">
        <v>5.3200000000000001E-3</v>
      </c>
      <c r="LC57">
        <v>5.3400000000000001E-3</v>
      </c>
      <c r="LD57">
        <v>5.3400000000000001E-3</v>
      </c>
      <c r="LE57">
        <v>8.5599999999999999E-3</v>
      </c>
      <c r="LF57">
        <v>7.6600000000000001E-3</v>
      </c>
      <c r="LG57">
        <v>5.9899999999999997E-3</v>
      </c>
      <c r="LI57">
        <v>8.4200000000000004E-3</v>
      </c>
      <c r="LJ57">
        <v>8.8199999999999997E-3</v>
      </c>
      <c r="LK57">
        <v>8.8999999999999999E-3</v>
      </c>
      <c r="LL57">
        <v>5.6299999999999996E-3</v>
      </c>
      <c r="LM57">
        <v>4.1799999999999997E-3</v>
      </c>
      <c r="LN57">
        <v>5.13E-3</v>
      </c>
      <c r="LO57">
        <v>5.3299999999999997E-3</v>
      </c>
      <c r="LP57">
        <v>4.7099999999999998E-3</v>
      </c>
      <c r="LR57">
        <v>8.2299999999999995E-3</v>
      </c>
      <c r="LS57">
        <v>9.2200000000000008E-3</v>
      </c>
      <c r="LT57">
        <v>4.9300000000000004E-3</v>
      </c>
      <c r="LV57">
        <v>6.5100000000000002E-3</v>
      </c>
      <c r="LW57">
        <v>4.8300000000000001E-3</v>
      </c>
      <c r="LX57">
        <v>5.4900000000000001E-3</v>
      </c>
      <c r="LY57">
        <v>6.3800000000000003E-3</v>
      </c>
      <c r="LZ57">
        <v>6.4099999999999999E-3</v>
      </c>
      <c r="MA57">
        <v>6.6699999999999997E-3</v>
      </c>
      <c r="MC57">
        <v>7.9799999999999992E-3</v>
      </c>
      <c r="MD57">
        <v>9.0699999999999999E-3</v>
      </c>
      <c r="ME57">
        <v>1.115E-2</v>
      </c>
      <c r="MF57">
        <v>1.337E-2</v>
      </c>
      <c r="MG57">
        <v>1.2840000000000001E-2</v>
      </c>
      <c r="MH57">
        <v>4.7800000000000004E-3</v>
      </c>
      <c r="MI57">
        <v>5.13E-3</v>
      </c>
      <c r="MJ57">
        <v>5.1500000000000001E-3</v>
      </c>
      <c r="MK57">
        <v>4.7999999999999996E-3</v>
      </c>
      <c r="ML57">
        <v>5.9300000000000004E-3</v>
      </c>
      <c r="MM57">
        <v>4.9500000000000004E-3</v>
      </c>
      <c r="MN57">
        <v>4.9399999999999999E-3</v>
      </c>
      <c r="MP57">
        <v>6.3499999999999997E-3</v>
      </c>
      <c r="MQ57">
        <v>3.96E-3</v>
      </c>
      <c r="MR57">
        <v>5.3200000000000001E-3</v>
      </c>
      <c r="MS57">
        <v>5.47E-3</v>
      </c>
      <c r="MT57">
        <v>6.7799999999999996E-3</v>
      </c>
      <c r="MU57">
        <v>4.7299999999999998E-3</v>
      </c>
      <c r="MV57">
        <v>5.1000000000000004E-3</v>
      </c>
      <c r="MW57">
        <v>5.3E-3</v>
      </c>
      <c r="MX57">
        <v>5.3899999999999998E-3</v>
      </c>
      <c r="MY57">
        <v>5.7999999999999996E-3</v>
      </c>
      <c r="NB57">
        <v>5.5799999999999999E-3</v>
      </c>
      <c r="NC57">
        <v>3.5300000000000002E-3</v>
      </c>
      <c r="ND57">
        <v>1.2E-2</v>
      </c>
      <c r="NE57">
        <v>6.1000000000000004E-3</v>
      </c>
      <c r="NF57">
        <v>6.8900000000000003E-3</v>
      </c>
      <c r="NG57">
        <v>4.45E-3</v>
      </c>
      <c r="NI57">
        <v>4.13E-3</v>
      </c>
      <c r="NJ57">
        <v>4.4600000000000004E-3</v>
      </c>
      <c r="NK57">
        <v>4.0699999999999998E-3</v>
      </c>
      <c r="NL57">
        <v>4.28E-3</v>
      </c>
      <c r="NN57">
        <v>4.6600000000000001E-3</v>
      </c>
      <c r="NO57">
        <v>4.8199999999999996E-3</v>
      </c>
      <c r="NP57">
        <v>4.4299999999999999E-3</v>
      </c>
      <c r="NQ57">
        <v>4.15E-3</v>
      </c>
      <c r="NR57">
        <v>4.3600000000000002E-3</v>
      </c>
      <c r="NS57">
        <v>4.5199999999999997E-3</v>
      </c>
      <c r="NT57">
        <v>4.8599999999999997E-3</v>
      </c>
      <c r="NU57">
        <v>4.1599999999999996E-3</v>
      </c>
      <c r="NV57">
        <v>4.3299999999999996E-3</v>
      </c>
      <c r="NW57">
        <v>4.4299999999999999E-3</v>
      </c>
      <c r="NX57">
        <v>4.4000000000000003E-3</v>
      </c>
      <c r="NY57">
        <v>4.5500000000000002E-3</v>
      </c>
      <c r="NZ57">
        <v>4.6899999999999997E-3</v>
      </c>
      <c r="OA57">
        <v>4.8700000000000002E-3</v>
      </c>
      <c r="OB57">
        <v>4.2599999999999999E-3</v>
      </c>
      <c r="OC57">
        <v>4.3800000000000002E-3</v>
      </c>
      <c r="OD57">
        <v>4.4000000000000003E-3</v>
      </c>
      <c r="OE57">
        <v>4.4000000000000003E-3</v>
      </c>
      <c r="OF57">
        <v>5.9699999999999996E-3</v>
      </c>
      <c r="OG57">
        <v>4.6499999999999996E-3</v>
      </c>
      <c r="OH57">
        <v>4.8399999999999997E-3</v>
      </c>
      <c r="OI57">
        <v>4.9500000000000004E-3</v>
      </c>
      <c r="OK57">
        <v>5.1999999999999998E-3</v>
      </c>
      <c r="OL57">
        <v>5.3499999999999997E-3</v>
      </c>
      <c r="OM57">
        <v>5.62E-3</v>
      </c>
      <c r="ON57">
        <v>5.47E-3</v>
      </c>
      <c r="OO57">
        <v>4.7200000000000002E-3</v>
      </c>
      <c r="OP57">
        <v>5.0299999999999997E-3</v>
      </c>
      <c r="OQ57">
        <v>5.1700000000000001E-3</v>
      </c>
      <c r="OR57">
        <v>5.4900000000000001E-3</v>
      </c>
      <c r="OS57">
        <v>5.9899999999999997E-3</v>
      </c>
      <c r="OT57">
        <v>5.8500000000000002E-3</v>
      </c>
      <c r="OU57">
        <v>6.0699999999999999E-3</v>
      </c>
      <c r="OV57">
        <v>5.2199999999999998E-3</v>
      </c>
      <c r="OW57">
        <v>4.0400000000000002E-3</v>
      </c>
      <c r="OX57">
        <v>5.2199999999999998E-3</v>
      </c>
      <c r="OY57">
        <v>5.47E-3</v>
      </c>
      <c r="OZ57">
        <v>5.13E-3</v>
      </c>
      <c r="PA57">
        <v>8.2100000000000003E-3</v>
      </c>
      <c r="PB57">
        <v>8.5699999999999995E-3</v>
      </c>
      <c r="PC57">
        <v>7.2300000000000003E-3</v>
      </c>
      <c r="PD57">
        <v>6.43E-3</v>
      </c>
      <c r="PE57">
        <v>6.0699999999999999E-3</v>
      </c>
      <c r="PF57">
        <v>5.9800000000000001E-3</v>
      </c>
      <c r="PG57">
        <v>5.1500000000000001E-3</v>
      </c>
      <c r="PH57">
        <v>5.3400000000000001E-3</v>
      </c>
      <c r="PI57">
        <v>6.6600000000000001E-3</v>
      </c>
      <c r="PJ57">
        <v>6.2100000000000002E-3</v>
      </c>
      <c r="PK57">
        <v>5.7800000000000004E-3</v>
      </c>
      <c r="PL57">
        <v>5.9100000000000003E-3</v>
      </c>
      <c r="PM57">
        <v>5.1799999999999997E-3</v>
      </c>
      <c r="PN57">
        <v>4.7999999999999996E-3</v>
      </c>
      <c r="PO57">
        <v>4.28E-3</v>
      </c>
      <c r="PP57">
        <v>4.4400000000000004E-3</v>
      </c>
      <c r="PQ57">
        <v>4.8999999999999998E-3</v>
      </c>
      <c r="PR57">
        <v>4.3299999999999996E-3</v>
      </c>
      <c r="PS57">
        <v>4.5999999999999999E-3</v>
      </c>
      <c r="PT57">
        <v>4.8599999999999997E-3</v>
      </c>
      <c r="PU57">
        <v>4.4200000000000003E-3</v>
      </c>
      <c r="PV57">
        <v>3.0899999999999999E-3</v>
      </c>
      <c r="PW57">
        <v>3.2699999999999999E-3</v>
      </c>
      <c r="PX57">
        <v>3.4399999999999999E-3</v>
      </c>
      <c r="PY57">
        <v>3.6099999999999999E-3</v>
      </c>
      <c r="PZ57">
        <v>3.8600000000000001E-3</v>
      </c>
      <c r="QA57">
        <v>3.9300000000000003E-3</v>
      </c>
      <c r="QB57">
        <v>4.3E-3</v>
      </c>
      <c r="QC57">
        <v>5.3200000000000001E-3</v>
      </c>
      <c r="QD57">
        <v>5.3699999999999998E-3</v>
      </c>
      <c r="QE57">
        <v>4.4200000000000003E-3</v>
      </c>
      <c r="QF57">
        <v>4.8999999999999998E-3</v>
      </c>
      <c r="QG57">
        <v>7.0200000000000002E-3</v>
      </c>
      <c r="QH57">
        <v>4.7999999999999996E-3</v>
      </c>
      <c r="QI57">
        <v>5.0499999999999998E-3</v>
      </c>
      <c r="QJ57">
        <v>4.8399999999999997E-3</v>
      </c>
      <c r="QK57">
        <v>4.8900000000000002E-3</v>
      </c>
      <c r="QL57">
        <v>4.7499999999999999E-3</v>
      </c>
      <c r="QM57">
        <v>5.2599999999999999E-3</v>
      </c>
      <c r="QN57">
        <v>8.26E-3</v>
      </c>
      <c r="QO57">
        <v>6.11E-3</v>
      </c>
      <c r="QP57">
        <v>7.4099999999999999E-3</v>
      </c>
      <c r="QQ57">
        <v>7.5399999999999998E-3</v>
      </c>
      <c r="QR57">
        <v>7.6699999999999997E-3</v>
      </c>
      <c r="QS57">
        <v>7.6099999999999996E-3</v>
      </c>
      <c r="QT57">
        <v>5.5999999999999999E-3</v>
      </c>
      <c r="QU57">
        <v>5.5999999999999999E-3</v>
      </c>
      <c r="QV57">
        <v>5.6299999999999996E-3</v>
      </c>
      <c r="QW57">
        <v>5.7800000000000004E-3</v>
      </c>
      <c r="QX57">
        <v>5.2500000000000003E-3</v>
      </c>
      <c r="QZ57">
        <v>5.3899999999999998E-3</v>
      </c>
      <c r="RA57">
        <v>5.6699999999999997E-3</v>
      </c>
      <c r="RB57">
        <v>6.3800000000000003E-3</v>
      </c>
      <c r="RC57">
        <v>5.5399999999999998E-3</v>
      </c>
      <c r="RD57">
        <v>7.6699999999999997E-3</v>
      </c>
      <c r="RE57">
        <v>6.2399999999999999E-3</v>
      </c>
      <c r="RF57">
        <v>6.4900000000000001E-3</v>
      </c>
      <c r="RG57">
        <v>4.7999999999999996E-3</v>
      </c>
      <c r="RH57">
        <v>4.9199999999999999E-3</v>
      </c>
      <c r="RI57">
        <v>7.0699999999999999E-3</v>
      </c>
      <c r="RJ57">
        <v>5.94E-3</v>
      </c>
      <c r="RK57">
        <v>5.9899999999999997E-3</v>
      </c>
      <c r="RL57">
        <v>5.5799999999999999E-3</v>
      </c>
      <c r="RM57">
        <v>4.2500000000000003E-3</v>
      </c>
      <c r="RN57">
        <v>4.3600000000000002E-3</v>
      </c>
      <c r="RO57">
        <v>4.3600000000000002E-3</v>
      </c>
      <c r="RP57">
        <v>4.0200000000000001E-3</v>
      </c>
      <c r="RQ57">
        <v>4.3600000000000002E-3</v>
      </c>
      <c r="RR57">
        <v>4.1700000000000001E-3</v>
      </c>
      <c r="RS57">
        <v>4.2500000000000003E-3</v>
      </c>
      <c r="RT57">
        <v>3.65E-3</v>
      </c>
      <c r="RU57">
        <v>4.5799999999999999E-3</v>
      </c>
      <c r="RV57">
        <v>4.7699999999999999E-3</v>
      </c>
      <c r="RW57">
        <v>5.2700000000000004E-3</v>
      </c>
      <c r="RY57">
        <v>3.62E-3</v>
      </c>
      <c r="RZ57">
        <v>4.2100000000000002E-3</v>
      </c>
      <c r="SA57">
        <v>5.3099999999999996E-3</v>
      </c>
      <c r="SB57">
        <v>4.9199999999999999E-3</v>
      </c>
      <c r="SC57">
        <v>5.8999999999999999E-3</v>
      </c>
      <c r="SD57">
        <v>6.3499999999999997E-3</v>
      </c>
      <c r="SE57">
        <v>5.8199999999999997E-3</v>
      </c>
      <c r="SF57">
        <v>6.6699999999999997E-3</v>
      </c>
      <c r="SG57">
        <v>8.1600000000000006E-3</v>
      </c>
      <c r="SH57">
        <v>1.056E-2</v>
      </c>
      <c r="SJ57">
        <v>4.6699999999999997E-3</v>
      </c>
      <c r="SK57">
        <v>4.1399999999999996E-3</v>
      </c>
      <c r="SL57">
        <v>4.5300000000000002E-3</v>
      </c>
      <c r="SM57">
        <v>3.6600000000000001E-3</v>
      </c>
      <c r="SN57">
        <v>4.0899999999999999E-3</v>
      </c>
      <c r="SO57">
        <v>3.9500000000000004E-3</v>
      </c>
      <c r="SP57">
        <v>5.8199999999999997E-3</v>
      </c>
      <c r="SQ57">
        <v>4.6600000000000001E-3</v>
      </c>
      <c r="SR57">
        <v>5.4099999999999999E-3</v>
      </c>
      <c r="SS57">
        <v>4.6499999999999996E-3</v>
      </c>
      <c r="ST57">
        <v>4.6299999999999996E-3</v>
      </c>
      <c r="SU57">
        <v>4.8900000000000002E-3</v>
      </c>
      <c r="SV57">
        <v>4.7400000000000003E-3</v>
      </c>
      <c r="SW57">
        <v>5.0899999999999999E-3</v>
      </c>
      <c r="SX57">
        <v>5.0600000000000003E-3</v>
      </c>
      <c r="SY57">
        <v>4.5799999999999999E-3</v>
      </c>
      <c r="SZ57">
        <v>5.4200000000000003E-3</v>
      </c>
      <c r="TA57">
        <v>5.1200000000000004E-3</v>
      </c>
      <c r="TB57">
        <v>6.0000000000000001E-3</v>
      </c>
      <c r="TC57">
        <v>4.8999999999999998E-3</v>
      </c>
      <c r="TD57">
        <v>4.6699999999999997E-3</v>
      </c>
      <c r="TE57">
        <v>6.6100000000000004E-3</v>
      </c>
      <c r="TF57">
        <v>5.3099999999999996E-3</v>
      </c>
      <c r="TG57">
        <v>5.9899999999999997E-3</v>
      </c>
      <c r="TJ57">
        <v>6.7200000000000003E-3</v>
      </c>
      <c r="TK57">
        <v>4.1999999999999997E-3</v>
      </c>
      <c r="TL57">
        <v>3.98E-3</v>
      </c>
      <c r="TM57">
        <v>3.8300000000000001E-3</v>
      </c>
      <c r="TN57">
        <v>4.7699999999999999E-3</v>
      </c>
      <c r="TO57">
        <v>5.3699999999999998E-3</v>
      </c>
      <c r="TP57">
        <v>4.1999999999999997E-3</v>
      </c>
      <c r="TQ57">
        <v>5.2300000000000003E-3</v>
      </c>
      <c r="TR57">
        <v>5.7499999999999999E-3</v>
      </c>
      <c r="TS57">
        <v>5.4900000000000001E-3</v>
      </c>
      <c r="TT57">
        <v>5.5199999999999997E-3</v>
      </c>
      <c r="TU57">
        <v>5.1999999999999998E-3</v>
      </c>
      <c r="TV57">
        <v>4.2599999999999999E-3</v>
      </c>
      <c r="TW57">
        <v>4.5500000000000002E-3</v>
      </c>
      <c r="TX57">
        <v>4.9800000000000001E-3</v>
      </c>
      <c r="TY57">
        <v>5.0099999999999997E-3</v>
      </c>
      <c r="TZ57">
        <v>5.1200000000000004E-3</v>
      </c>
      <c r="UA57">
        <v>5.1399999999999996E-3</v>
      </c>
      <c r="UB57">
        <v>4.96E-3</v>
      </c>
      <c r="UC57">
        <v>4.64E-3</v>
      </c>
      <c r="UD57">
        <v>4.7200000000000002E-3</v>
      </c>
      <c r="UE57">
        <v>4.9399999999999999E-3</v>
      </c>
      <c r="UF57">
        <v>3.6800000000000001E-3</v>
      </c>
      <c r="UG57">
        <v>4.28E-3</v>
      </c>
      <c r="UH57">
        <v>5.2500000000000003E-3</v>
      </c>
      <c r="UI57">
        <v>4.3200000000000001E-3</v>
      </c>
      <c r="UJ57">
        <v>5.2199999999999998E-3</v>
      </c>
      <c r="UK57">
        <v>5.0600000000000003E-3</v>
      </c>
      <c r="UL57">
        <v>5.1599999999999997E-3</v>
      </c>
      <c r="UM57">
        <v>5.77E-3</v>
      </c>
      <c r="UO57">
        <v>4.8599999999999997E-3</v>
      </c>
      <c r="UQ57">
        <v>4.6899999999999997E-3</v>
      </c>
      <c r="UR57">
        <v>4.6499999999999996E-3</v>
      </c>
      <c r="US57">
        <v>4.9800000000000001E-3</v>
      </c>
      <c r="UT57">
        <v>4.62E-3</v>
      </c>
      <c r="UU57">
        <v>4.7600000000000003E-3</v>
      </c>
      <c r="UV57">
        <v>5.0099999999999997E-3</v>
      </c>
      <c r="UW57">
        <v>5.6100000000000004E-3</v>
      </c>
      <c r="UX57">
        <v>4.1000000000000003E-3</v>
      </c>
      <c r="UY57">
        <v>4.4600000000000004E-3</v>
      </c>
      <c r="UZ57">
        <v>5.2399999999999999E-3</v>
      </c>
      <c r="VA57">
        <v>6.62E-3</v>
      </c>
      <c r="VB57">
        <v>5.6100000000000004E-3</v>
      </c>
      <c r="VC57">
        <v>5.5700000000000003E-3</v>
      </c>
      <c r="VD57">
        <v>5.6100000000000004E-3</v>
      </c>
      <c r="VE57">
        <v>4.5199999999999997E-3</v>
      </c>
      <c r="VF57">
        <v>6.0499999999999998E-3</v>
      </c>
      <c r="VG57">
        <v>8.0199999999999994E-3</v>
      </c>
      <c r="VH57">
        <v>4.5799999999999999E-3</v>
      </c>
      <c r="VI57">
        <v>5.1599999999999997E-3</v>
      </c>
    </row>
    <row r="58" spans="1:581" x14ac:dyDescent="0.25">
      <c r="A58">
        <v>1750000</v>
      </c>
      <c r="B58">
        <v>4.4000000000000003E-3</v>
      </c>
      <c r="C58">
        <v>5.0099999999999997E-3</v>
      </c>
      <c r="E58">
        <v>5.7499999999999999E-3</v>
      </c>
      <c r="F58">
        <v>6.1599999999999997E-3</v>
      </c>
      <c r="G58">
        <v>6.4700000000000001E-3</v>
      </c>
      <c r="H58">
        <v>5.0200000000000002E-3</v>
      </c>
      <c r="I58">
        <v>4.9699999999999996E-3</v>
      </c>
      <c r="J58">
        <v>5.0099999999999997E-3</v>
      </c>
      <c r="K58">
        <v>5.0600000000000003E-3</v>
      </c>
      <c r="L58">
        <v>4.9399999999999999E-3</v>
      </c>
      <c r="M58">
        <v>4.8799999999999998E-3</v>
      </c>
      <c r="N58">
        <v>4.8599999999999997E-3</v>
      </c>
      <c r="O58">
        <v>4.6800000000000001E-3</v>
      </c>
      <c r="P58">
        <v>4.5900000000000003E-3</v>
      </c>
      <c r="Q58">
        <v>4.62E-3</v>
      </c>
      <c r="R58">
        <v>4.5500000000000002E-3</v>
      </c>
      <c r="S58">
        <v>4.7299999999999998E-3</v>
      </c>
      <c r="T58">
        <v>4.7099999999999998E-3</v>
      </c>
      <c r="U58">
        <v>5.94E-3</v>
      </c>
      <c r="V58">
        <v>4.7499999999999999E-3</v>
      </c>
      <c r="W58">
        <v>5.7499999999999999E-3</v>
      </c>
      <c r="X58">
        <v>4.5500000000000002E-3</v>
      </c>
      <c r="Y58">
        <v>5.7000000000000002E-3</v>
      </c>
      <c r="Z58">
        <v>4.28E-3</v>
      </c>
      <c r="AA58">
        <v>4.7000000000000002E-3</v>
      </c>
      <c r="AB58">
        <v>6.7400000000000003E-3</v>
      </c>
      <c r="AC58">
        <v>6.6299999999999996E-3</v>
      </c>
      <c r="AD58">
        <v>5.0200000000000002E-3</v>
      </c>
      <c r="AE58">
        <v>5.6299999999999996E-3</v>
      </c>
      <c r="AF58">
        <v>5.8999999999999999E-3</v>
      </c>
      <c r="AG58">
        <v>4.45E-3</v>
      </c>
      <c r="AI58">
        <v>4.5199999999999997E-3</v>
      </c>
      <c r="AJ58">
        <v>4.3699999999999998E-3</v>
      </c>
      <c r="AK58">
        <v>5.7999999999999996E-3</v>
      </c>
      <c r="AL58">
        <v>7.2899999999999996E-3</v>
      </c>
      <c r="AM58">
        <v>4.0200000000000001E-3</v>
      </c>
      <c r="AN58">
        <v>4.9100000000000003E-3</v>
      </c>
      <c r="AO58">
        <v>9.9500000000000005E-3</v>
      </c>
      <c r="AP58">
        <v>5.2599999999999999E-3</v>
      </c>
      <c r="AQ58">
        <v>5.3299999999999997E-3</v>
      </c>
      <c r="AR58">
        <v>5.1399999999999996E-3</v>
      </c>
      <c r="AS58">
        <v>5.3200000000000001E-3</v>
      </c>
      <c r="AT58">
        <v>4.1900000000000001E-3</v>
      </c>
      <c r="AU58">
        <v>4.7800000000000004E-3</v>
      </c>
      <c r="AV58">
        <v>4.28E-3</v>
      </c>
      <c r="AW58">
        <v>4.8399999999999997E-3</v>
      </c>
      <c r="AX58">
        <v>4.8599999999999997E-3</v>
      </c>
      <c r="AZ58">
        <v>5.5100000000000001E-3</v>
      </c>
      <c r="BA58">
        <v>4.1399999999999996E-3</v>
      </c>
      <c r="BB58">
        <v>5.9100000000000003E-3</v>
      </c>
      <c r="BC58">
        <v>6.3299999999999997E-3</v>
      </c>
      <c r="BD58">
        <v>6.5599999999999999E-3</v>
      </c>
      <c r="BE58">
        <v>7.6600000000000001E-3</v>
      </c>
      <c r="BF58">
        <v>9.1199999999999996E-3</v>
      </c>
      <c r="BG58">
        <v>5.9300000000000004E-3</v>
      </c>
      <c r="BH58">
        <v>5.0200000000000002E-3</v>
      </c>
      <c r="BI58">
        <v>9.0200000000000002E-3</v>
      </c>
      <c r="BJ58">
        <v>6.1199999999999996E-3</v>
      </c>
      <c r="BK58">
        <v>6.62E-3</v>
      </c>
      <c r="BL58">
        <v>6.7200000000000003E-3</v>
      </c>
      <c r="BM58">
        <v>6.3600000000000002E-3</v>
      </c>
      <c r="BN58">
        <v>6.28E-3</v>
      </c>
      <c r="BO58">
        <v>7.4200000000000004E-3</v>
      </c>
      <c r="BP58">
        <v>6.6100000000000004E-3</v>
      </c>
      <c r="BQ58">
        <v>5.8100000000000001E-3</v>
      </c>
      <c r="BR58">
        <v>4.1900000000000001E-3</v>
      </c>
      <c r="BT58">
        <v>6.5799999999999999E-3</v>
      </c>
      <c r="BU58">
        <v>8.26E-3</v>
      </c>
      <c r="BV58">
        <v>8.2799999999999992E-3</v>
      </c>
      <c r="BW58">
        <v>8.0199999999999994E-3</v>
      </c>
      <c r="BX58">
        <v>7.7799999999999996E-3</v>
      </c>
      <c r="BY58">
        <v>7.9399999999999991E-3</v>
      </c>
      <c r="BZ58">
        <v>6.8900000000000003E-3</v>
      </c>
      <c r="CA58">
        <v>7.0899999999999999E-3</v>
      </c>
      <c r="CB58">
        <v>5.9800000000000001E-3</v>
      </c>
      <c r="CC58">
        <v>6.3699999999999998E-3</v>
      </c>
      <c r="CD58">
        <v>5.1200000000000004E-3</v>
      </c>
      <c r="CE58">
        <v>5.3299999999999997E-3</v>
      </c>
      <c r="CF58">
        <v>5.1000000000000004E-3</v>
      </c>
      <c r="CG58">
        <v>4.8399999999999997E-3</v>
      </c>
      <c r="CH58">
        <v>4.6299999999999996E-3</v>
      </c>
      <c r="CI58">
        <v>4.4200000000000003E-3</v>
      </c>
      <c r="CJ58">
        <v>4.2100000000000002E-3</v>
      </c>
      <c r="CK58">
        <v>4.4200000000000003E-3</v>
      </c>
      <c r="CL58">
        <v>5.3E-3</v>
      </c>
      <c r="CM58">
        <v>5.3899999999999998E-3</v>
      </c>
      <c r="CN58">
        <v>5.6299999999999996E-3</v>
      </c>
      <c r="CO58">
        <v>5.47E-3</v>
      </c>
      <c r="CP58">
        <v>5.7400000000000003E-3</v>
      </c>
      <c r="CR58">
        <v>5.5199999999999997E-3</v>
      </c>
      <c r="CS58">
        <v>5.8599999999999998E-3</v>
      </c>
      <c r="CT58">
        <v>6.2399999999999999E-3</v>
      </c>
      <c r="CU58">
        <v>5.0499999999999998E-3</v>
      </c>
      <c r="CV58">
        <v>5.0200000000000002E-3</v>
      </c>
      <c r="CW58">
        <v>5.2399999999999999E-3</v>
      </c>
      <c r="CX58">
        <v>5.3200000000000001E-3</v>
      </c>
      <c r="DA58">
        <v>4.79E-3</v>
      </c>
      <c r="DB58">
        <v>4.7200000000000002E-3</v>
      </c>
      <c r="DC58">
        <v>4.6800000000000001E-3</v>
      </c>
      <c r="DE58">
        <v>4.6299999999999996E-3</v>
      </c>
      <c r="DF58">
        <v>5.8799999999999998E-3</v>
      </c>
      <c r="DG58">
        <v>4.1000000000000003E-3</v>
      </c>
      <c r="DH58">
        <v>5.3200000000000001E-3</v>
      </c>
      <c r="DI58">
        <v>5.3E-3</v>
      </c>
      <c r="DJ58">
        <v>5.4299999999999999E-3</v>
      </c>
      <c r="DK58">
        <v>5.4900000000000001E-3</v>
      </c>
      <c r="DL58">
        <v>5.64E-3</v>
      </c>
      <c r="DM58">
        <v>7.5300000000000002E-3</v>
      </c>
      <c r="DN58">
        <v>5.8799999999999998E-3</v>
      </c>
      <c r="DO58">
        <v>7.5500000000000003E-3</v>
      </c>
      <c r="DP58">
        <v>7.9299999999999995E-3</v>
      </c>
      <c r="DQ58">
        <v>7.7799999999999996E-3</v>
      </c>
      <c r="DS58">
        <v>5.3200000000000001E-3</v>
      </c>
      <c r="DT58">
        <v>6.4099999999999999E-3</v>
      </c>
      <c r="DU58">
        <v>7.7499999999999999E-3</v>
      </c>
      <c r="DV58">
        <v>8.2000000000000007E-3</v>
      </c>
      <c r="DY58">
        <v>8.6499999999999997E-3</v>
      </c>
      <c r="DZ58">
        <v>8.3300000000000006E-3</v>
      </c>
      <c r="EA58">
        <v>4.7400000000000003E-3</v>
      </c>
      <c r="EB58">
        <v>4.7099999999999998E-3</v>
      </c>
      <c r="EC58">
        <v>4.3899999999999998E-3</v>
      </c>
      <c r="EF58">
        <v>1.0019999999999999E-2</v>
      </c>
      <c r="EI58">
        <v>5.7800000000000004E-3</v>
      </c>
      <c r="EJ58">
        <v>5.3600000000000002E-3</v>
      </c>
      <c r="EK58">
        <v>5.2300000000000003E-3</v>
      </c>
      <c r="EL58">
        <v>5.4599999999999996E-3</v>
      </c>
      <c r="EN58">
        <v>5.8999999999999999E-3</v>
      </c>
      <c r="EO58">
        <v>5.9100000000000003E-3</v>
      </c>
      <c r="EQ58">
        <v>6.3099999999999996E-3</v>
      </c>
      <c r="ER58">
        <v>4.5999999999999999E-3</v>
      </c>
      <c r="ES58">
        <v>4.5799999999999999E-3</v>
      </c>
      <c r="ET58">
        <v>4.4200000000000003E-3</v>
      </c>
      <c r="EU58">
        <v>9.1000000000000004E-3</v>
      </c>
      <c r="EV58">
        <v>8.3599999999999994E-3</v>
      </c>
      <c r="EW58">
        <v>7.9600000000000001E-3</v>
      </c>
      <c r="EX58">
        <v>7.9799999999999992E-3</v>
      </c>
      <c r="EY58">
        <v>6.7000000000000002E-3</v>
      </c>
      <c r="EZ58">
        <v>6.7200000000000003E-3</v>
      </c>
      <c r="FA58">
        <v>5.2300000000000003E-3</v>
      </c>
      <c r="FB58">
        <v>5.7299999999999999E-3</v>
      </c>
      <c r="FC58">
        <v>4.8399999999999997E-3</v>
      </c>
      <c r="FD58">
        <v>4.8199999999999996E-3</v>
      </c>
      <c r="FE58">
        <v>5.6499999999999996E-3</v>
      </c>
      <c r="FF58">
        <v>4.3E-3</v>
      </c>
      <c r="FG58">
        <v>7.9299999999999995E-3</v>
      </c>
      <c r="FH58">
        <v>8.0199999999999994E-3</v>
      </c>
      <c r="FI58">
        <v>7.8499999999999993E-3</v>
      </c>
      <c r="FJ58">
        <v>7.9600000000000001E-3</v>
      </c>
      <c r="FK58">
        <v>7.0200000000000002E-3</v>
      </c>
      <c r="FL58">
        <v>4.6299999999999996E-3</v>
      </c>
      <c r="FN58">
        <v>5.2100000000000002E-3</v>
      </c>
      <c r="FO58">
        <v>4.8599999999999997E-3</v>
      </c>
      <c r="FP58">
        <v>4.4600000000000004E-3</v>
      </c>
      <c r="FQ58">
        <v>5.62E-3</v>
      </c>
      <c r="FR58">
        <v>5.8399999999999997E-3</v>
      </c>
      <c r="FS58">
        <v>5.9300000000000004E-3</v>
      </c>
      <c r="FT58">
        <v>5.8300000000000001E-3</v>
      </c>
      <c r="FU58">
        <v>5.8199999999999997E-3</v>
      </c>
      <c r="FV58">
        <v>5.9899999999999997E-3</v>
      </c>
      <c r="FW58">
        <v>5.8100000000000001E-3</v>
      </c>
      <c r="FX58">
        <v>5.9800000000000001E-3</v>
      </c>
      <c r="FY58">
        <v>6.3699999999999998E-3</v>
      </c>
      <c r="GA58">
        <v>6.5700000000000003E-3</v>
      </c>
      <c r="GB58">
        <v>6.43E-3</v>
      </c>
      <c r="GC58">
        <v>6.7799999999999996E-3</v>
      </c>
      <c r="GD58">
        <v>6.4599999999999996E-3</v>
      </c>
      <c r="GE58">
        <v>6.9100000000000003E-3</v>
      </c>
      <c r="GF58">
        <v>6.11E-3</v>
      </c>
      <c r="GG58">
        <v>6.1599999999999997E-3</v>
      </c>
      <c r="GH58">
        <v>6.2500000000000003E-3</v>
      </c>
      <c r="GI58">
        <v>7.0000000000000001E-3</v>
      </c>
      <c r="GJ58">
        <v>7.1399999999999996E-3</v>
      </c>
      <c r="GK58">
        <v>7.3000000000000001E-3</v>
      </c>
      <c r="GL58">
        <v>7.4999999999999997E-3</v>
      </c>
      <c r="GM58">
        <v>6.6899999999999998E-3</v>
      </c>
      <c r="GO58">
        <v>6.2399999999999999E-3</v>
      </c>
      <c r="GP58">
        <v>5.2100000000000002E-3</v>
      </c>
      <c r="GQ58">
        <v>5.5799999999999999E-3</v>
      </c>
      <c r="GR58">
        <v>5.7299999999999999E-3</v>
      </c>
      <c r="GS58">
        <v>5.1599999999999997E-3</v>
      </c>
      <c r="GT58">
        <v>5.7000000000000002E-3</v>
      </c>
      <c r="GU58">
        <v>6.8399999999999997E-3</v>
      </c>
      <c r="GV58">
        <v>7.7400000000000004E-3</v>
      </c>
      <c r="GW58">
        <v>7.3400000000000002E-3</v>
      </c>
      <c r="GX58">
        <v>7.0000000000000001E-3</v>
      </c>
      <c r="GY58">
        <v>6.3299999999999997E-3</v>
      </c>
      <c r="GZ58">
        <v>5.9300000000000004E-3</v>
      </c>
      <c r="HA58">
        <v>4.9300000000000004E-3</v>
      </c>
      <c r="HB58">
        <v>4.7200000000000002E-3</v>
      </c>
      <c r="HD58">
        <v>3.7299999999999998E-3</v>
      </c>
      <c r="HE58">
        <v>6.5100000000000002E-3</v>
      </c>
      <c r="HF58">
        <v>7.5399999999999998E-3</v>
      </c>
      <c r="HG58">
        <v>7.9100000000000004E-3</v>
      </c>
      <c r="HH58">
        <v>7.9399999999999991E-3</v>
      </c>
      <c r="HI58">
        <v>8.0700000000000008E-3</v>
      </c>
      <c r="HJ58">
        <v>4.3600000000000002E-3</v>
      </c>
      <c r="HK58">
        <v>5.2300000000000003E-3</v>
      </c>
      <c r="HL58">
        <v>5.7600000000000004E-3</v>
      </c>
      <c r="HM58">
        <v>5.5599999999999998E-3</v>
      </c>
      <c r="HN58">
        <v>5.5900000000000004E-3</v>
      </c>
      <c r="HO58">
        <v>5.1700000000000001E-3</v>
      </c>
      <c r="HP58">
        <v>4.7800000000000004E-3</v>
      </c>
      <c r="HQ58">
        <v>4.9300000000000004E-3</v>
      </c>
      <c r="HR58">
        <v>5.6100000000000004E-3</v>
      </c>
      <c r="HS58">
        <v>9.0799999999999995E-3</v>
      </c>
      <c r="HT58">
        <v>4.5399999999999998E-3</v>
      </c>
      <c r="HU58">
        <v>4.9100000000000003E-3</v>
      </c>
      <c r="HV58">
        <v>6.1399999999999996E-3</v>
      </c>
      <c r="HX58">
        <v>5.1999999999999998E-3</v>
      </c>
      <c r="HY58">
        <v>5.3299999999999997E-3</v>
      </c>
      <c r="HZ58">
        <v>3.9199999999999999E-3</v>
      </c>
      <c r="IA58">
        <v>6.2300000000000003E-3</v>
      </c>
      <c r="IB58">
        <v>7.8600000000000007E-3</v>
      </c>
      <c r="IC58">
        <v>6.9100000000000003E-3</v>
      </c>
      <c r="ID58">
        <v>4.6299999999999996E-3</v>
      </c>
      <c r="IE58">
        <v>4.3200000000000001E-3</v>
      </c>
      <c r="IF58">
        <v>4.3800000000000002E-3</v>
      </c>
      <c r="IG58">
        <v>5.2900000000000004E-3</v>
      </c>
      <c r="IH58">
        <v>5.5999999999999999E-3</v>
      </c>
      <c r="II58">
        <v>4.1999999999999997E-3</v>
      </c>
      <c r="IJ58">
        <v>5.2199999999999998E-3</v>
      </c>
      <c r="IK58">
        <v>5.8100000000000001E-3</v>
      </c>
      <c r="IL58">
        <v>6.4400000000000004E-3</v>
      </c>
      <c r="IM58">
        <v>7.3099999999999997E-3</v>
      </c>
      <c r="IN58">
        <v>7.7200000000000003E-3</v>
      </c>
      <c r="IO58">
        <v>8.4700000000000001E-3</v>
      </c>
      <c r="IP58">
        <v>9.4699999999999993E-3</v>
      </c>
      <c r="IQ58">
        <v>1.038E-2</v>
      </c>
      <c r="IR58">
        <v>1.12E-2</v>
      </c>
      <c r="IS58">
        <v>4.9699999999999996E-3</v>
      </c>
      <c r="IT58">
        <v>3.7200000000000002E-3</v>
      </c>
      <c r="IU58">
        <v>4.0099999999999997E-3</v>
      </c>
      <c r="IV58">
        <v>4.2199999999999998E-3</v>
      </c>
      <c r="IW58">
        <v>4.7699999999999999E-3</v>
      </c>
      <c r="IX58">
        <v>3.5000000000000001E-3</v>
      </c>
      <c r="IY58">
        <v>4.3499999999999997E-3</v>
      </c>
      <c r="IZ58">
        <v>3.9500000000000004E-3</v>
      </c>
      <c r="JA58">
        <v>4.4200000000000003E-3</v>
      </c>
      <c r="JB58">
        <v>4.5100000000000001E-3</v>
      </c>
      <c r="JC58">
        <v>4.8500000000000001E-3</v>
      </c>
      <c r="JD58">
        <v>5.1200000000000004E-3</v>
      </c>
      <c r="JE58">
        <v>4.3499999999999997E-3</v>
      </c>
      <c r="JF58">
        <v>7.1399999999999996E-3</v>
      </c>
      <c r="JG58">
        <v>9.6699999999999998E-3</v>
      </c>
      <c r="JH58">
        <v>9.2099999999999994E-3</v>
      </c>
      <c r="JI58">
        <v>5.5300000000000002E-3</v>
      </c>
      <c r="JJ58">
        <v>5.2100000000000002E-3</v>
      </c>
      <c r="JK58">
        <v>8.1399999999999997E-3</v>
      </c>
      <c r="JL58">
        <v>7.45E-3</v>
      </c>
      <c r="JM58">
        <v>5.2500000000000003E-3</v>
      </c>
      <c r="JN58">
        <v>6.0200000000000002E-3</v>
      </c>
      <c r="JP58">
        <v>4.4000000000000003E-3</v>
      </c>
      <c r="JQ58">
        <v>5.6299999999999996E-3</v>
      </c>
      <c r="JR58">
        <v>5.4900000000000001E-3</v>
      </c>
      <c r="JS58">
        <v>5.0499999999999998E-3</v>
      </c>
      <c r="JT58">
        <v>5.94E-3</v>
      </c>
      <c r="JU58">
        <v>7.5799999999999999E-3</v>
      </c>
      <c r="JV58">
        <v>6.9899999999999997E-3</v>
      </c>
      <c r="JW58">
        <v>5.4000000000000003E-3</v>
      </c>
      <c r="JX58">
        <v>5.1900000000000002E-3</v>
      </c>
      <c r="JY58">
        <v>6.2300000000000003E-3</v>
      </c>
      <c r="JZ58">
        <v>6.1199999999999996E-3</v>
      </c>
      <c r="KA58">
        <v>5.8999999999999999E-3</v>
      </c>
      <c r="KB58">
        <v>5.3400000000000001E-3</v>
      </c>
      <c r="KC58">
        <v>5.5300000000000002E-3</v>
      </c>
      <c r="KD58">
        <v>5.8999999999999999E-3</v>
      </c>
      <c r="KE58">
        <v>8.2699999999999996E-3</v>
      </c>
      <c r="KF58">
        <v>1.042E-2</v>
      </c>
      <c r="KG58">
        <v>1.0970000000000001E-2</v>
      </c>
      <c r="KH58">
        <v>1.108E-2</v>
      </c>
      <c r="KI58">
        <v>6.5700000000000003E-3</v>
      </c>
      <c r="KJ58">
        <v>6.6299999999999996E-3</v>
      </c>
      <c r="KK58">
        <v>6.5700000000000003E-3</v>
      </c>
      <c r="KL58">
        <v>6.9800000000000001E-3</v>
      </c>
      <c r="KM58">
        <v>7.1399999999999996E-3</v>
      </c>
      <c r="KN58">
        <v>6.7200000000000003E-3</v>
      </c>
      <c r="KO58">
        <v>6.7299999999999999E-3</v>
      </c>
      <c r="KP58">
        <v>6.5100000000000002E-3</v>
      </c>
      <c r="KQ58">
        <v>6.6899999999999998E-3</v>
      </c>
      <c r="KR58">
        <v>6.7000000000000002E-3</v>
      </c>
      <c r="KS58">
        <v>6.2899999999999996E-3</v>
      </c>
      <c r="KT58">
        <v>6.5500000000000003E-3</v>
      </c>
      <c r="KU58">
        <v>6.7999999999999996E-3</v>
      </c>
      <c r="KV58">
        <v>5.8700000000000002E-3</v>
      </c>
      <c r="KW58">
        <v>5.0699999999999999E-3</v>
      </c>
      <c r="KX58">
        <v>1.055E-2</v>
      </c>
      <c r="KZ58">
        <v>8.0499999999999999E-3</v>
      </c>
      <c r="LA58">
        <v>5.28E-3</v>
      </c>
      <c r="LB58">
        <v>5.3E-3</v>
      </c>
      <c r="LC58">
        <v>5.2900000000000004E-3</v>
      </c>
      <c r="LD58">
        <v>5.2900000000000004E-3</v>
      </c>
      <c r="LE58">
        <v>8.5199999999999998E-3</v>
      </c>
      <c r="LF58">
        <v>7.6400000000000001E-3</v>
      </c>
      <c r="LG58">
        <v>5.8999999999999999E-3</v>
      </c>
      <c r="LI58">
        <v>8.3599999999999994E-3</v>
      </c>
      <c r="LJ58">
        <v>8.77E-3</v>
      </c>
      <c r="LK58">
        <v>8.8299999999999993E-3</v>
      </c>
      <c r="LM58">
        <v>4.13E-3</v>
      </c>
      <c r="LN58">
        <v>5.0400000000000002E-3</v>
      </c>
      <c r="LO58">
        <v>5.2500000000000003E-3</v>
      </c>
      <c r="LP58">
        <v>4.6600000000000001E-3</v>
      </c>
      <c r="LR58">
        <v>8.1600000000000006E-3</v>
      </c>
      <c r="LS58">
        <v>9.1900000000000003E-3</v>
      </c>
      <c r="LT58">
        <v>4.8799999999999998E-3</v>
      </c>
      <c r="LU58">
        <v>5.9100000000000003E-3</v>
      </c>
      <c r="LV58">
        <v>6.3899999999999998E-3</v>
      </c>
      <c r="LW58">
        <v>4.8300000000000001E-3</v>
      </c>
      <c r="LX58">
        <v>5.4900000000000001E-3</v>
      </c>
      <c r="LY58">
        <v>6.3200000000000001E-3</v>
      </c>
      <c r="LZ58">
        <v>6.3600000000000002E-3</v>
      </c>
      <c r="MA58">
        <v>6.6299999999999996E-3</v>
      </c>
      <c r="MB58">
        <v>4.5199999999999997E-3</v>
      </c>
      <c r="MC58">
        <v>7.92E-3</v>
      </c>
      <c r="MD58">
        <v>8.9999999999999993E-3</v>
      </c>
      <c r="ME58">
        <v>1.107E-2</v>
      </c>
      <c r="MF58">
        <v>1.328E-2</v>
      </c>
      <c r="MG58">
        <v>1.2919999999999999E-2</v>
      </c>
      <c r="MH58">
        <v>4.7299999999999998E-3</v>
      </c>
      <c r="MI58">
        <v>5.0800000000000003E-3</v>
      </c>
      <c r="MJ58">
        <v>5.0699999999999999E-3</v>
      </c>
      <c r="MK58">
        <v>4.7299999999999998E-3</v>
      </c>
      <c r="ML58">
        <v>5.8399999999999997E-3</v>
      </c>
      <c r="MM58">
        <v>4.8599999999999997E-3</v>
      </c>
      <c r="MO58">
        <v>5.2300000000000003E-3</v>
      </c>
      <c r="MP58">
        <v>6.3400000000000001E-3</v>
      </c>
      <c r="MQ58">
        <v>3.9300000000000003E-3</v>
      </c>
      <c r="MR58">
        <v>5.2900000000000004E-3</v>
      </c>
      <c r="MS58">
        <v>5.4099999999999999E-3</v>
      </c>
      <c r="MT58">
        <v>6.7299999999999999E-3</v>
      </c>
      <c r="MU58">
        <v>4.7299999999999998E-3</v>
      </c>
      <c r="MV58">
        <v>5.0800000000000003E-3</v>
      </c>
      <c r="MW58">
        <v>5.2900000000000004E-3</v>
      </c>
      <c r="MX58">
        <v>5.3699999999999998E-3</v>
      </c>
      <c r="MY58">
        <v>5.77E-3</v>
      </c>
      <c r="MZ58">
        <v>6.4599999999999996E-3</v>
      </c>
      <c r="NA58">
        <v>5.8300000000000001E-3</v>
      </c>
      <c r="NB58">
        <v>5.5399999999999998E-3</v>
      </c>
      <c r="NC58">
        <v>3.49E-3</v>
      </c>
      <c r="ND58">
        <v>1.1939999999999999E-2</v>
      </c>
      <c r="NE58">
        <v>6.0200000000000002E-3</v>
      </c>
      <c r="NF58">
        <v>6.8599999999999998E-3</v>
      </c>
      <c r="NG58">
        <v>4.4299999999999999E-3</v>
      </c>
      <c r="NH58">
        <v>3.8600000000000001E-3</v>
      </c>
      <c r="NI58">
        <v>4.1099999999999999E-3</v>
      </c>
      <c r="NJ58">
        <v>4.4299999999999999E-3</v>
      </c>
      <c r="NL58">
        <v>4.2500000000000003E-3</v>
      </c>
      <c r="NM58">
        <v>4.45E-3</v>
      </c>
      <c r="NN58">
        <v>4.62E-3</v>
      </c>
      <c r="NO58">
        <v>4.79E-3</v>
      </c>
      <c r="NP58">
        <v>4.4400000000000004E-3</v>
      </c>
      <c r="NQ58">
        <v>4.1200000000000004E-3</v>
      </c>
      <c r="NR58">
        <v>4.3400000000000001E-3</v>
      </c>
      <c r="NS58">
        <v>4.4999999999999997E-3</v>
      </c>
      <c r="NT58">
        <v>4.8300000000000001E-3</v>
      </c>
      <c r="NU58">
        <v>4.1399999999999996E-3</v>
      </c>
      <c r="NV58">
        <v>4.3099999999999996E-3</v>
      </c>
      <c r="NW58">
        <v>4.4200000000000003E-3</v>
      </c>
      <c r="NY58">
        <v>4.5300000000000002E-3</v>
      </c>
      <c r="NZ58">
        <v>4.6600000000000001E-3</v>
      </c>
      <c r="OA58">
        <v>4.8399999999999997E-3</v>
      </c>
      <c r="OB58">
        <v>4.2599999999999999E-3</v>
      </c>
      <c r="OC58">
        <v>4.3600000000000002E-3</v>
      </c>
      <c r="OD58">
        <v>4.3800000000000002E-3</v>
      </c>
      <c r="OE58">
        <v>4.3800000000000002E-3</v>
      </c>
      <c r="OF58">
        <v>5.96E-3</v>
      </c>
      <c r="OG58">
        <v>4.6299999999999996E-3</v>
      </c>
      <c r="OH58">
        <v>4.8199999999999996E-3</v>
      </c>
      <c r="OI58">
        <v>4.9199999999999999E-3</v>
      </c>
      <c r="OJ58">
        <v>5.0899999999999999E-3</v>
      </c>
      <c r="OK58">
        <v>5.1700000000000001E-3</v>
      </c>
      <c r="OL58">
        <v>5.3099999999999996E-3</v>
      </c>
      <c r="OM58">
        <v>5.6299999999999996E-3</v>
      </c>
      <c r="ON58">
        <v>5.5199999999999997E-3</v>
      </c>
      <c r="OO58">
        <v>4.7000000000000002E-3</v>
      </c>
      <c r="OP58">
        <v>5.0099999999999997E-3</v>
      </c>
      <c r="OQ58">
        <v>5.13E-3</v>
      </c>
      <c r="OR58">
        <v>5.4599999999999996E-3</v>
      </c>
      <c r="OS58">
        <v>5.9500000000000004E-3</v>
      </c>
      <c r="OT58">
        <v>5.8199999999999997E-3</v>
      </c>
      <c r="OU58">
        <v>6.0499999999999998E-3</v>
      </c>
      <c r="OV58">
        <v>5.1900000000000002E-3</v>
      </c>
      <c r="OW58">
        <v>4.1099999999999999E-3</v>
      </c>
      <c r="OX58">
        <v>5.2599999999999999E-3</v>
      </c>
      <c r="OY58">
        <v>5.4900000000000001E-3</v>
      </c>
      <c r="OZ58">
        <v>5.1500000000000001E-3</v>
      </c>
      <c r="PA58">
        <v>8.1300000000000001E-3</v>
      </c>
      <c r="PB58">
        <v>8.4899999999999993E-3</v>
      </c>
      <c r="PC58">
        <v>7.1999999999999998E-3</v>
      </c>
      <c r="PD58">
        <v>6.4000000000000003E-3</v>
      </c>
      <c r="PE58">
        <v>6.0499999999999998E-3</v>
      </c>
      <c r="PF58">
        <v>5.96E-3</v>
      </c>
      <c r="PG58">
        <v>5.1399999999999996E-3</v>
      </c>
      <c r="PH58">
        <v>5.3400000000000001E-3</v>
      </c>
      <c r="PI58">
        <v>6.62E-3</v>
      </c>
      <c r="PJ58">
        <v>6.1900000000000002E-3</v>
      </c>
      <c r="PK58">
        <v>5.7600000000000004E-3</v>
      </c>
      <c r="PL58">
        <v>5.9100000000000003E-3</v>
      </c>
      <c r="PM58">
        <v>5.1599999999999997E-3</v>
      </c>
      <c r="PN58">
        <v>4.79E-3</v>
      </c>
      <c r="PO58">
        <v>4.2399999999999998E-3</v>
      </c>
      <c r="PP58">
        <v>4.4000000000000003E-3</v>
      </c>
      <c r="PQ58">
        <v>4.9199999999999999E-3</v>
      </c>
      <c r="PR58">
        <v>4.3600000000000002E-3</v>
      </c>
      <c r="PS58">
        <v>4.5599999999999998E-3</v>
      </c>
      <c r="PT58">
        <v>4.8399999999999997E-3</v>
      </c>
      <c r="PU58">
        <v>4.4600000000000004E-3</v>
      </c>
      <c r="PV58">
        <v>3.0400000000000002E-3</v>
      </c>
      <c r="PW58">
        <v>3.2299999999999998E-3</v>
      </c>
      <c r="PX58">
        <v>3.3800000000000002E-3</v>
      </c>
      <c r="PY58">
        <v>3.5400000000000002E-3</v>
      </c>
      <c r="PZ58">
        <v>3.7699999999999999E-3</v>
      </c>
      <c r="QA58">
        <v>3.9300000000000003E-3</v>
      </c>
      <c r="QB58">
        <v>4.3E-3</v>
      </c>
      <c r="QC58">
        <v>5.2900000000000004E-3</v>
      </c>
      <c r="QD58">
        <v>5.3899999999999998E-3</v>
      </c>
      <c r="QE58">
        <v>4.4200000000000003E-3</v>
      </c>
      <c r="QF58">
        <v>4.8900000000000002E-3</v>
      </c>
      <c r="QG58">
        <v>6.9800000000000001E-3</v>
      </c>
      <c r="QH58">
        <v>4.7999999999999996E-3</v>
      </c>
      <c r="QI58">
        <v>5.0400000000000002E-3</v>
      </c>
      <c r="QJ58">
        <v>4.8199999999999996E-3</v>
      </c>
      <c r="QK58">
        <v>4.8700000000000002E-3</v>
      </c>
      <c r="QL58">
        <v>4.7400000000000003E-3</v>
      </c>
      <c r="QM58">
        <v>5.2500000000000003E-3</v>
      </c>
      <c r="QN58">
        <v>8.2400000000000008E-3</v>
      </c>
      <c r="QO58">
        <v>6.1399999999999996E-3</v>
      </c>
      <c r="QP58">
        <v>7.4000000000000003E-3</v>
      </c>
      <c r="QQ58">
        <v>7.5199999999999998E-3</v>
      </c>
      <c r="QR58">
        <v>7.6299999999999996E-3</v>
      </c>
      <c r="QT58">
        <v>5.5900000000000004E-3</v>
      </c>
      <c r="QU58">
        <v>5.5799999999999999E-3</v>
      </c>
      <c r="QV58">
        <v>5.5999999999999999E-3</v>
      </c>
      <c r="QW58">
        <v>5.7600000000000004E-3</v>
      </c>
      <c r="QX58">
        <v>5.2199999999999998E-3</v>
      </c>
      <c r="QY58">
        <v>5.0299999999999997E-3</v>
      </c>
      <c r="QZ58">
        <v>5.3600000000000002E-3</v>
      </c>
      <c r="RA58">
        <v>5.5900000000000004E-3</v>
      </c>
      <c r="RB58">
        <v>6.2899999999999996E-3</v>
      </c>
      <c r="RC58">
        <v>5.4900000000000001E-3</v>
      </c>
      <c r="RD58">
        <v>7.4700000000000001E-3</v>
      </c>
      <c r="RE58">
        <v>6.11E-3</v>
      </c>
      <c r="RF58">
        <v>6.43E-3</v>
      </c>
      <c r="RG58">
        <v>4.7600000000000003E-3</v>
      </c>
      <c r="RH58">
        <v>4.8999999999999998E-3</v>
      </c>
      <c r="RI58">
        <v>7.0299999999999998E-3</v>
      </c>
      <c r="RJ58">
        <v>5.8599999999999998E-3</v>
      </c>
      <c r="RK58">
        <v>5.9100000000000003E-3</v>
      </c>
      <c r="RL58">
        <v>5.5300000000000002E-3</v>
      </c>
      <c r="RO58">
        <v>4.3400000000000001E-3</v>
      </c>
      <c r="RP58">
        <v>4.0099999999999997E-3</v>
      </c>
      <c r="RQ58">
        <v>4.3499999999999997E-3</v>
      </c>
      <c r="RR58">
        <v>4.15E-3</v>
      </c>
      <c r="RS58">
        <v>4.2399999999999998E-3</v>
      </c>
      <c r="RT58">
        <v>3.64E-3</v>
      </c>
      <c r="RU58">
        <v>4.5799999999999999E-3</v>
      </c>
      <c r="RV58">
        <v>4.7600000000000003E-3</v>
      </c>
      <c r="RW58">
        <v>5.2399999999999999E-3</v>
      </c>
      <c r="RX58">
        <v>4.8900000000000002E-3</v>
      </c>
      <c r="RY58">
        <v>3.65E-3</v>
      </c>
      <c r="RZ58">
        <v>4.1700000000000001E-3</v>
      </c>
      <c r="SA58">
        <v>5.1999999999999998E-3</v>
      </c>
      <c r="SB58">
        <v>4.8300000000000001E-3</v>
      </c>
      <c r="SC58">
        <v>5.8599999999999998E-3</v>
      </c>
      <c r="SD58">
        <v>6.3200000000000001E-3</v>
      </c>
      <c r="SE58">
        <v>5.79E-3</v>
      </c>
      <c r="SF58">
        <v>6.62E-3</v>
      </c>
      <c r="SG58">
        <v>8.0999999999999996E-3</v>
      </c>
      <c r="SH58">
        <v>1.0500000000000001E-2</v>
      </c>
      <c r="SI58">
        <v>5.64E-3</v>
      </c>
      <c r="SJ58">
        <v>4.6600000000000001E-3</v>
      </c>
      <c r="SK58">
        <v>4.1099999999999999E-3</v>
      </c>
      <c r="SL58">
        <v>4.5100000000000001E-3</v>
      </c>
      <c r="SM58">
        <v>3.65E-3</v>
      </c>
      <c r="SN58">
        <v>4.0899999999999999E-3</v>
      </c>
      <c r="SO58">
        <v>3.9500000000000004E-3</v>
      </c>
      <c r="SP58">
        <v>5.8100000000000001E-3</v>
      </c>
      <c r="SQ58">
        <v>4.6299999999999996E-3</v>
      </c>
      <c r="SR58">
        <v>5.4000000000000003E-3</v>
      </c>
      <c r="SS58">
        <v>4.6499999999999996E-3</v>
      </c>
      <c r="ST58">
        <v>4.6299999999999996E-3</v>
      </c>
      <c r="SU58">
        <v>4.8999999999999998E-3</v>
      </c>
      <c r="SV58">
        <v>4.7499999999999999E-3</v>
      </c>
      <c r="SW58">
        <v>5.1000000000000004E-3</v>
      </c>
      <c r="SX58">
        <v>5.0200000000000002E-3</v>
      </c>
      <c r="SY58">
        <v>4.5700000000000003E-3</v>
      </c>
      <c r="SZ58">
        <v>5.4000000000000003E-3</v>
      </c>
      <c r="TA58">
        <v>5.1000000000000004E-3</v>
      </c>
      <c r="TB58">
        <v>5.9899999999999997E-3</v>
      </c>
      <c r="TC58">
        <v>4.8999999999999998E-3</v>
      </c>
      <c r="TD58">
        <v>4.64E-3</v>
      </c>
      <c r="TE58">
        <v>6.5900000000000004E-3</v>
      </c>
      <c r="TF58">
        <v>5.2700000000000004E-3</v>
      </c>
      <c r="TG58">
        <v>5.9699999999999996E-3</v>
      </c>
      <c r="TH58">
        <v>6.6499999999999997E-3</v>
      </c>
      <c r="TI58">
        <v>5.0299999999999997E-3</v>
      </c>
      <c r="TJ58">
        <v>6.6899999999999998E-3</v>
      </c>
      <c r="TK58">
        <v>4.1799999999999997E-3</v>
      </c>
      <c r="TL58">
        <v>3.98E-3</v>
      </c>
      <c r="TM58">
        <v>3.8400000000000001E-3</v>
      </c>
      <c r="TN58">
        <v>4.7600000000000003E-3</v>
      </c>
      <c r="TO58">
        <v>5.3800000000000002E-3</v>
      </c>
      <c r="TP58">
        <v>4.2199999999999998E-3</v>
      </c>
      <c r="TQ58">
        <v>5.2300000000000003E-3</v>
      </c>
      <c r="TR58">
        <v>5.7299999999999999E-3</v>
      </c>
      <c r="TS58">
        <v>5.45E-3</v>
      </c>
      <c r="TT58">
        <v>5.4900000000000001E-3</v>
      </c>
      <c r="TU58">
        <v>5.1599999999999997E-3</v>
      </c>
      <c r="TV58">
        <v>4.2399999999999998E-3</v>
      </c>
      <c r="TW58">
        <v>4.5399999999999998E-3</v>
      </c>
      <c r="TX58">
        <v>4.9800000000000001E-3</v>
      </c>
      <c r="TY58">
        <v>5.0099999999999997E-3</v>
      </c>
      <c r="TZ58">
        <v>5.1200000000000004E-3</v>
      </c>
      <c r="UA58">
        <v>5.1500000000000001E-3</v>
      </c>
      <c r="UC58">
        <v>4.64E-3</v>
      </c>
      <c r="UD58">
        <v>4.7099999999999998E-3</v>
      </c>
      <c r="UE58">
        <v>4.9300000000000004E-3</v>
      </c>
      <c r="UF58">
        <v>3.6600000000000001E-3</v>
      </c>
      <c r="UH58">
        <v>5.2399999999999999E-3</v>
      </c>
      <c r="UI58">
        <v>4.2900000000000004E-3</v>
      </c>
      <c r="UJ58">
        <v>5.2100000000000002E-3</v>
      </c>
      <c r="UL58">
        <v>5.1599999999999997E-3</v>
      </c>
      <c r="UN58">
        <v>4.8500000000000001E-3</v>
      </c>
      <c r="UO58">
        <v>4.8599999999999997E-3</v>
      </c>
      <c r="UP58">
        <v>6.2599999999999999E-3</v>
      </c>
      <c r="UQ58">
        <v>4.7000000000000002E-3</v>
      </c>
      <c r="UR58">
        <v>4.6499999999999996E-3</v>
      </c>
      <c r="US58">
        <v>4.9899999999999996E-3</v>
      </c>
      <c r="UT58">
        <v>4.62E-3</v>
      </c>
      <c r="UU58">
        <v>4.7699999999999999E-3</v>
      </c>
      <c r="UV58">
        <v>5.0200000000000002E-3</v>
      </c>
      <c r="UW58">
        <v>5.5700000000000003E-3</v>
      </c>
      <c r="UX58">
        <v>4.0800000000000003E-3</v>
      </c>
      <c r="UY58">
        <v>4.45E-3</v>
      </c>
      <c r="UZ58">
        <v>5.2300000000000003E-3</v>
      </c>
      <c r="VA58">
        <v>6.5799999999999999E-3</v>
      </c>
      <c r="VB58">
        <v>5.62E-3</v>
      </c>
      <c r="VC58">
        <v>5.5199999999999997E-3</v>
      </c>
      <c r="VD58">
        <v>5.47E-3</v>
      </c>
      <c r="VE58">
        <v>4.45E-3</v>
      </c>
      <c r="VF58">
        <v>5.9199999999999999E-3</v>
      </c>
      <c r="VG58">
        <v>7.9900000000000006E-3</v>
      </c>
      <c r="VH58">
        <v>4.5399999999999998E-3</v>
      </c>
      <c r="VI58">
        <v>5.1200000000000004E-3</v>
      </c>
    </row>
    <row r="59" spans="1:581" x14ac:dyDescent="0.25">
      <c r="A59">
        <v>1800000</v>
      </c>
      <c r="B59">
        <v>4.4600000000000004E-3</v>
      </c>
      <c r="C59">
        <v>5.0200000000000002E-3</v>
      </c>
      <c r="D59">
        <v>5.1200000000000004E-3</v>
      </c>
      <c r="E59">
        <v>5.7499999999999999E-3</v>
      </c>
      <c r="F59">
        <v>6.1700000000000001E-3</v>
      </c>
      <c r="G59">
        <v>6.4599999999999996E-3</v>
      </c>
      <c r="H59">
        <v>5.0299999999999997E-3</v>
      </c>
      <c r="I59">
        <v>4.9800000000000001E-3</v>
      </c>
      <c r="J59">
        <v>5.0200000000000002E-3</v>
      </c>
      <c r="K59">
        <v>5.0499999999999998E-3</v>
      </c>
      <c r="L59">
        <v>4.9399999999999999E-3</v>
      </c>
      <c r="M59">
        <v>4.8799999999999998E-3</v>
      </c>
      <c r="N59">
        <v>4.8700000000000002E-3</v>
      </c>
      <c r="O59">
        <v>4.64E-3</v>
      </c>
      <c r="P59">
        <v>4.5500000000000002E-3</v>
      </c>
      <c r="Q59">
        <v>4.5999999999999999E-3</v>
      </c>
      <c r="R59">
        <v>4.5199999999999997E-3</v>
      </c>
      <c r="S59">
        <v>4.7499999999999999E-3</v>
      </c>
      <c r="T59">
        <v>4.7299999999999998E-3</v>
      </c>
      <c r="U59">
        <v>5.9199999999999999E-3</v>
      </c>
      <c r="V59">
        <v>4.7699999999999999E-3</v>
      </c>
      <c r="W59">
        <v>5.7299999999999999E-3</v>
      </c>
      <c r="X59">
        <v>4.5799999999999999E-3</v>
      </c>
      <c r="Y59">
        <v>5.6800000000000002E-3</v>
      </c>
      <c r="Z59">
        <v>4.3200000000000001E-3</v>
      </c>
      <c r="AA59">
        <v>4.6499999999999996E-3</v>
      </c>
      <c r="AB59">
        <v>6.7400000000000003E-3</v>
      </c>
      <c r="AC59">
        <v>6.6E-3</v>
      </c>
      <c r="AE59">
        <v>5.6100000000000004E-3</v>
      </c>
      <c r="AF59">
        <v>5.8700000000000002E-3</v>
      </c>
      <c r="AG59">
        <v>4.4000000000000003E-3</v>
      </c>
      <c r="AH59">
        <v>4.3800000000000002E-3</v>
      </c>
      <c r="AI59">
        <v>4.45E-3</v>
      </c>
      <c r="AJ59">
        <v>4.3400000000000001E-3</v>
      </c>
      <c r="AK59">
        <v>5.77E-3</v>
      </c>
      <c r="AL59">
        <v>7.2300000000000003E-3</v>
      </c>
      <c r="AM59">
        <v>4.0000000000000001E-3</v>
      </c>
      <c r="AN59">
        <v>4.8399999999999997E-3</v>
      </c>
      <c r="AO59">
        <v>9.9000000000000008E-3</v>
      </c>
      <c r="AP59">
        <v>5.1799999999999997E-3</v>
      </c>
      <c r="AQ59">
        <v>5.2300000000000003E-3</v>
      </c>
      <c r="AR59">
        <v>5.0899999999999999E-3</v>
      </c>
      <c r="AS59">
        <v>5.2599999999999999E-3</v>
      </c>
      <c r="AT59">
        <v>4.1200000000000004E-3</v>
      </c>
      <c r="AU59">
        <v>4.7099999999999998E-3</v>
      </c>
      <c r="AV59">
        <v>4.2100000000000002E-3</v>
      </c>
      <c r="AW59">
        <v>4.7699999999999999E-3</v>
      </c>
      <c r="AX59">
        <v>4.79E-3</v>
      </c>
      <c r="AZ59">
        <v>5.5300000000000002E-3</v>
      </c>
      <c r="BA59">
        <v>4.0600000000000002E-3</v>
      </c>
      <c r="BB59">
        <v>5.8900000000000003E-3</v>
      </c>
      <c r="BC59">
        <v>6.3099999999999996E-3</v>
      </c>
      <c r="BD59">
        <v>6.5199999999999998E-3</v>
      </c>
      <c r="BE59">
        <v>7.6E-3</v>
      </c>
      <c r="BF59">
        <v>9.0699999999999999E-3</v>
      </c>
      <c r="BG59">
        <v>5.8900000000000003E-3</v>
      </c>
      <c r="BI59">
        <v>8.9499999999999996E-3</v>
      </c>
      <c r="BJ59">
        <v>6.0699999999999999E-3</v>
      </c>
      <c r="BK59">
        <v>6.5799999999999999E-3</v>
      </c>
      <c r="BL59">
        <v>6.6699999999999997E-3</v>
      </c>
      <c r="BM59">
        <v>6.3200000000000001E-3</v>
      </c>
      <c r="BN59">
        <v>6.3200000000000001E-3</v>
      </c>
      <c r="BO59">
        <v>7.3899999999999999E-3</v>
      </c>
      <c r="BP59">
        <v>6.5900000000000004E-3</v>
      </c>
      <c r="BQ59">
        <v>5.8100000000000001E-3</v>
      </c>
      <c r="BR59">
        <v>4.1099999999999999E-3</v>
      </c>
      <c r="BT59">
        <v>6.4999999999999997E-3</v>
      </c>
      <c r="BU59">
        <v>8.2199999999999999E-3</v>
      </c>
      <c r="BV59">
        <v>8.2299999999999995E-3</v>
      </c>
      <c r="BW59">
        <v>7.9699999999999997E-3</v>
      </c>
      <c r="BX59">
        <v>7.7299999999999999E-3</v>
      </c>
      <c r="BY59">
        <v>7.9000000000000008E-3</v>
      </c>
      <c r="BZ59">
        <v>6.8399999999999997E-3</v>
      </c>
      <c r="CA59">
        <v>7.0400000000000003E-3</v>
      </c>
      <c r="CB59">
        <v>5.96E-3</v>
      </c>
      <c r="CC59">
        <v>6.3299999999999997E-3</v>
      </c>
      <c r="CD59">
        <v>5.0800000000000003E-3</v>
      </c>
      <c r="CF59">
        <v>5.1000000000000004E-3</v>
      </c>
      <c r="CH59">
        <v>4.64E-3</v>
      </c>
      <c r="CI59">
        <v>4.4400000000000004E-3</v>
      </c>
      <c r="CJ59">
        <v>4.2300000000000003E-3</v>
      </c>
      <c r="CK59">
        <v>4.45E-3</v>
      </c>
      <c r="CL59">
        <v>5.2900000000000004E-3</v>
      </c>
      <c r="CM59">
        <v>5.3600000000000002E-3</v>
      </c>
      <c r="CN59">
        <v>5.5799999999999999E-3</v>
      </c>
      <c r="CO59">
        <v>5.4299999999999999E-3</v>
      </c>
      <c r="CQ59">
        <v>5.3800000000000002E-3</v>
      </c>
      <c r="CR59">
        <v>5.5100000000000001E-3</v>
      </c>
      <c r="CT59">
        <v>6.1900000000000002E-3</v>
      </c>
      <c r="CU59">
        <v>5.0299999999999997E-3</v>
      </c>
      <c r="CV59">
        <v>5.0099999999999997E-3</v>
      </c>
      <c r="CW59">
        <v>5.2100000000000002E-3</v>
      </c>
      <c r="CX59">
        <v>5.3E-3</v>
      </c>
      <c r="CY59">
        <v>4.4900000000000001E-3</v>
      </c>
      <c r="CZ59">
        <v>4.5999999999999999E-3</v>
      </c>
      <c r="DA59">
        <v>4.7800000000000004E-3</v>
      </c>
      <c r="DB59">
        <v>4.7000000000000002E-3</v>
      </c>
      <c r="DD59">
        <v>4.64E-3</v>
      </c>
      <c r="DE59">
        <v>4.6299999999999996E-3</v>
      </c>
      <c r="DF59">
        <v>5.8300000000000001E-3</v>
      </c>
      <c r="DG59">
        <v>4.0699999999999998E-3</v>
      </c>
      <c r="DI59">
        <v>5.2599999999999999E-3</v>
      </c>
      <c r="DJ59">
        <v>5.3899999999999998E-3</v>
      </c>
      <c r="DK59">
        <v>5.45E-3</v>
      </c>
      <c r="DL59">
        <v>5.5900000000000004E-3</v>
      </c>
      <c r="DM59">
        <v>7.5100000000000002E-3</v>
      </c>
      <c r="DN59">
        <v>5.9800000000000001E-3</v>
      </c>
      <c r="DO59">
        <v>7.5399999999999998E-3</v>
      </c>
      <c r="DP59">
        <v>7.8899999999999994E-3</v>
      </c>
      <c r="DQ59">
        <v>7.7400000000000004E-3</v>
      </c>
      <c r="DS59">
        <v>5.28E-3</v>
      </c>
      <c r="DT59">
        <v>6.5100000000000002E-3</v>
      </c>
      <c r="DU59">
        <v>7.7600000000000004E-3</v>
      </c>
      <c r="DV59">
        <v>8.1499999999999993E-3</v>
      </c>
      <c r="DY59">
        <v>8.6E-3</v>
      </c>
      <c r="DZ59">
        <v>8.2900000000000005E-3</v>
      </c>
      <c r="EA59">
        <v>4.7099999999999998E-3</v>
      </c>
      <c r="EB59">
        <v>4.6800000000000001E-3</v>
      </c>
      <c r="EC59">
        <v>4.3600000000000002E-3</v>
      </c>
      <c r="EF59">
        <v>9.9500000000000005E-3</v>
      </c>
      <c r="EI59">
        <v>5.7499999999999999E-3</v>
      </c>
      <c r="EJ59">
        <v>5.3400000000000001E-3</v>
      </c>
      <c r="EK59">
        <v>5.2100000000000002E-3</v>
      </c>
      <c r="EL59">
        <v>5.4299999999999999E-3</v>
      </c>
      <c r="EM59">
        <v>5.7400000000000003E-3</v>
      </c>
      <c r="EN59">
        <v>5.8599999999999998E-3</v>
      </c>
      <c r="EP59">
        <v>6.2399999999999999E-3</v>
      </c>
      <c r="EQ59">
        <v>6.2700000000000004E-3</v>
      </c>
      <c r="ER59">
        <v>4.5399999999999998E-3</v>
      </c>
      <c r="ES59">
        <v>4.5399999999999998E-3</v>
      </c>
      <c r="ET59">
        <v>4.3600000000000002E-3</v>
      </c>
      <c r="EU59">
        <v>9.0600000000000003E-3</v>
      </c>
      <c r="EV59">
        <v>8.3099999999999997E-3</v>
      </c>
      <c r="EW59">
        <v>7.8899999999999994E-3</v>
      </c>
      <c r="EX59">
        <v>7.92E-3</v>
      </c>
      <c r="EY59">
        <v>6.7099999999999998E-3</v>
      </c>
      <c r="EZ59">
        <v>6.7099999999999998E-3</v>
      </c>
      <c r="FA59">
        <v>5.1799999999999997E-3</v>
      </c>
      <c r="FB59">
        <v>5.6899999999999997E-3</v>
      </c>
      <c r="FC59">
        <v>4.79E-3</v>
      </c>
      <c r="FD59">
        <v>4.7800000000000004E-3</v>
      </c>
      <c r="FE59">
        <v>5.5900000000000004E-3</v>
      </c>
      <c r="FF59">
        <v>4.2900000000000004E-3</v>
      </c>
      <c r="FG59">
        <v>7.8899999999999994E-3</v>
      </c>
      <c r="FH59">
        <v>7.9799999999999992E-3</v>
      </c>
      <c r="FI59">
        <v>7.8100000000000001E-3</v>
      </c>
      <c r="FJ59">
        <v>7.9100000000000004E-3</v>
      </c>
      <c r="FK59">
        <v>6.9800000000000001E-3</v>
      </c>
      <c r="FL59">
        <v>4.6100000000000004E-3</v>
      </c>
      <c r="FN59">
        <v>5.1399999999999996E-3</v>
      </c>
      <c r="FO59">
        <v>4.7999999999999996E-3</v>
      </c>
      <c r="FP59">
        <v>4.4099999999999999E-3</v>
      </c>
      <c r="FQ59">
        <v>5.5300000000000002E-3</v>
      </c>
      <c r="FR59">
        <v>6.1000000000000004E-3</v>
      </c>
      <c r="FS59">
        <v>5.8500000000000002E-3</v>
      </c>
      <c r="FU59">
        <v>5.7600000000000004E-3</v>
      </c>
      <c r="FV59">
        <v>5.9300000000000004E-3</v>
      </c>
      <c r="FW59">
        <v>5.77E-3</v>
      </c>
      <c r="FX59">
        <v>5.9199999999999999E-3</v>
      </c>
      <c r="FY59">
        <v>6.2899999999999996E-3</v>
      </c>
      <c r="FZ59">
        <v>6.1799999999999997E-3</v>
      </c>
      <c r="GA59">
        <v>6.4999999999999997E-3</v>
      </c>
      <c r="GB59">
        <v>6.3800000000000003E-3</v>
      </c>
      <c r="GC59">
        <v>6.7299999999999999E-3</v>
      </c>
      <c r="GD59">
        <v>6.4200000000000004E-3</v>
      </c>
      <c r="GE59">
        <v>6.8700000000000002E-3</v>
      </c>
      <c r="GF59">
        <v>6.0600000000000003E-3</v>
      </c>
      <c r="GG59">
        <v>6.13E-3</v>
      </c>
      <c r="GH59">
        <v>6.2199999999999998E-3</v>
      </c>
      <c r="GI59">
        <v>6.96E-3</v>
      </c>
      <c r="GJ59">
        <v>7.1000000000000004E-3</v>
      </c>
      <c r="GK59">
        <v>7.2700000000000004E-3</v>
      </c>
      <c r="GL59">
        <v>7.4599999999999996E-3</v>
      </c>
      <c r="GM59">
        <v>6.6499999999999997E-3</v>
      </c>
      <c r="GO59">
        <v>6.1999999999999998E-3</v>
      </c>
      <c r="GP59">
        <v>5.1500000000000001E-3</v>
      </c>
      <c r="GQ59">
        <v>5.5300000000000002E-3</v>
      </c>
      <c r="GR59">
        <v>5.6499999999999996E-3</v>
      </c>
      <c r="GS59">
        <v>5.11E-3</v>
      </c>
      <c r="GT59">
        <v>5.6499999999999996E-3</v>
      </c>
      <c r="GU59">
        <v>6.8900000000000003E-3</v>
      </c>
      <c r="GV59">
        <v>7.7200000000000003E-3</v>
      </c>
      <c r="GW59">
        <v>7.2899999999999996E-3</v>
      </c>
      <c r="GX59">
        <v>6.9499999999999996E-3</v>
      </c>
      <c r="GY59">
        <v>6.2300000000000003E-3</v>
      </c>
      <c r="GZ59">
        <v>5.8599999999999998E-3</v>
      </c>
      <c r="HA59">
        <v>4.9199999999999999E-3</v>
      </c>
      <c r="HB59">
        <v>4.7099999999999998E-3</v>
      </c>
      <c r="HC59">
        <v>7.28E-3</v>
      </c>
      <c r="HD59">
        <v>3.7000000000000002E-3</v>
      </c>
      <c r="HE59">
        <v>6.5700000000000003E-3</v>
      </c>
      <c r="HF59">
        <v>7.5300000000000002E-3</v>
      </c>
      <c r="HG59">
        <v>7.8700000000000003E-3</v>
      </c>
      <c r="HH59">
        <v>7.9000000000000008E-3</v>
      </c>
      <c r="HI59">
        <v>8.0300000000000007E-3</v>
      </c>
      <c r="HJ59">
        <v>4.3499999999999997E-3</v>
      </c>
      <c r="HK59">
        <v>5.1500000000000001E-3</v>
      </c>
      <c r="HL59">
        <v>5.7299999999999999E-3</v>
      </c>
      <c r="HM59">
        <v>5.4999999999999997E-3</v>
      </c>
      <c r="HN59">
        <v>5.5599999999999998E-3</v>
      </c>
      <c r="HO59">
        <v>5.11E-3</v>
      </c>
      <c r="HP59">
        <v>4.7800000000000004E-3</v>
      </c>
      <c r="HQ59">
        <v>4.8799999999999998E-3</v>
      </c>
      <c r="HR59">
        <v>5.5700000000000003E-3</v>
      </c>
      <c r="HS59">
        <v>8.9899999999999997E-3</v>
      </c>
      <c r="HT59">
        <v>4.4799999999999996E-3</v>
      </c>
      <c r="HU59">
        <v>4.8999999999999998E-3</v>
      </c>
      <c r="HV59">
        <v>6.11E-3</v>
      </c>
      <c r="HW59">
        <v>5.0299999999999997E-3</v>
      </c>
      <c r="HX59">
        <v>5.11E-3</v>
      </c>
      <c r="HY59">
        <v>5.2700000000000004E-3</v>
      </c>
      <c r="HZ59">
        <v>3.9300000000000003E-3</v>
      </c>
      <c r="IA59">
        <v>6.1700000000000001E-3</v>
      </c>
      <c r="IB59">
        <v>7.8100000000000001E-3</v>
      </c>
      <c r="IC59">
        <v>6.8700000000000002E-3</v>
      </c>
      <c r="ID59">
        <v>4.5799999999999999E-3</v>
      </c>
      <c r="IE59">
        <v>4.28E-3</v>
      </c>
      <c r="IF59">
        <v>4.3299999999999996E-3</v>
      </c>
      <c r="IG59">
        <v>5.2399999999999999E-3</v>
      </c>
      <c r="IH59">
        <v>5.5399999999999998E-3</v>
      </c>
      <c r="II59">
        <v>4.1599999999999996E-3</v>
      </c>
      <c r="IK59">
        <v>5.7800000000000004E-3</v>
      </c>
      <c r="IL59">
        <v>6.3899999999999998E-3</v>
      </c>
      <c r="IM59">
        <v>7.28E-3</v>
      </c>
      <c r="IN59">
        <v>7.6800000000000002E-3</v>
      </c>
      <c r="IO59">
        <v>8.4200000000000004E-3</v>
      </c>
      <c r="IP59">
        <v>9.3900000000000008E-3</v>
      </c>
      <c r="IQ59">
        <v>1.027E-2</v>
      </c>
      <c r="IR59">
        <v>1.107E-2</v>
      </c>
      <c r="IS59">
        <v>4.9800000000000001E-3</v>
      </c>
      <c r="IT59">
        <v>3.6700000000000001E-3</v>
      </c>
      <c r="IU59">
        <v>3.96E-3</v>
      </c>
      <c r="IV59">
        <v>4.2199999999999998E-3</v>
      </c>
      <c r="IW59">
        <v>4.7400000000000003E-3</v>
      </c>
      <c r="IX59">
        <v>3.5100000000000001E-3</v>
      </c>
      <c r="IY59">
        <v>4.3400000000000001E-3</v>
      </c>
      <c r="IZ59">
        <v>3.9500000000000004E-3</v>
      </c>
      <c r="JA59">
        <v>4.4099999999999999E-3</v>
      </c>
      <c r="JB59">
        <v>4.4900000000000001E-3</v>
      </c>
      <c r="JC59">
        <v>4.8500000000000001E-3</v>
      </c>
      <c r="JE59">
        <v>4.3400000000000001E-3</v>
      </c>
      <c r="JF59">
        <v>7.1399999999999996E-3</v>
      </c>
      <c r="JG59">
        <v>9.6500000000000006E-3</v>
      </c>
      <c r="JH59">
        <v>9.0900000000000009E-3</v>
      </c>
      <c r="JI59">
        <v>5.47E-3</v>
      </c>
      <c r="JJ59">
        <v>5.1700000000000001E-3</v>
      </c>
      <c r="JK59">
        <v>8.0800000000000004E-3</v>
      </c>
      <c r="JL59">
        <v>7.3800000000000003E-3</v>
      </c>
      <c r="JM59">
        <v>5.2300000000000003E-3</v>
      </c>
      <c r="JN59">
        <v>5.9500000000000004E-3</v>
      </c>
      <c r="JP59">
        <v>4.3800000000000002E-3</v>
      </c>
      <c r="JQ59">
        <v>5.64E-3</v>
      </c>
      <c r="JR59">
        <v>5.4599999999999996E-3</v>
      </c>
      <c r="JS59">
        <v>5.0400000000000002E-3</v>
      </c>
      <c r="JT59">
        <v>5.9100000000000003E-3</v>
      </c>
      <c r="JU59">
        <v>7.5700000000000003E-3</v>
      </c>
      <c r="JV59">
        <v>7.0299999999999998E-3</v>
      </c>
      <c r="JW59">
        <v>5.3499999999999997E-3</v>
      </c>
      <c r="JY59">
        <v>6.2100000000000002E-3</v>
      </c>
      <c r="JZ59">
        <v>6.0699999999999999E-3</v>
      </c>
      <c r="KA59">
        <v>5.8300000000000001E-3</v>
      </c>
      <c r="KB59">
        <v>5.3299999999999997E-3</v>
      </c>
      <c r="KC59">
        <v>5.5199999999999997E-3</v>
      </c>
      <c r="KD59">
        <v>5.8599999999999998E-3</v>
      </c>
      <c r="KE59">
        <v>8.3099999999999997E-3</v>
      </c>
      <c r="KF59">
        <v>1.0370000000000001E-2</v>
      </c>
      <c r="KG59">
        <v>1.093E-2</v>
      </c>
      <c r="KH59">
        <v>1.1039999999999999E-2</v>
      </c>
      <c r="KI59">
        <v>6.4999999999999997E-3</v>
      </c>
      <c r="KJ59">
        <v>6.5700000000000003E-3</v>
      </c>
      <c r="KK59">
        <v>6.4999999999999997E-3</v>
      </c>
      <c r="KL59">
        <v>6.94E-3</v>
      </c>
      <c r="KM59">
        <v>7.0699999999999999E-3</v>
      </c>
      <c r="KN59">
        <v>6.7600000000000004E-3</v>
      </c>
      <c r="KO59">
        <v>6.7099999999999998E-3</v>
      </c>
      <c r="KP59">
        <v>6.4700000000000001E-3</v>
      </c>
      <c r="KQ59">
        <v>6.62E-3</v>
      </c>
      <c r="KR59">
        <v>6.6499999999999997E-3</v>
      </c>
      <c r="KS59">
        <v>6.2899999999999996E-3</v>
      </c>
      <c r="KT59">
        <v>6.5500000000000003E-3</v>
      </c>
      <c r="KU59">
        <v>6.7999999999999996E-3</v>
      </c>
      <c r="KV59">
        <v>5.8999999999999999E-3</v>
      </c>
      <c r="KW59">
        <v>5.1200000000000004E-3</v>
      </c>
      <c r="KX59">
        <v>1.048E-2</v>
      </c>
      <c r="KY59">
        <v>7.2899999999999996E-3</v>
      </c>
      <c r="KZ59">
        <v>8.0599999999999995E-3</v>
      </c>
      <c r="LA59">
        <v>5.2399999999999999E-3</v>
      </c>
      <c r="LB59">
        <v>5.2500000000000003E-3</v>
      </c>
      <c r="LC59">
        <v>5.2500000000000003E-3</v>
      </c>
      <c r="LD59">
        <v>5.2500000000000003E-3</v>
      </c>
      <c r="LE59">
        <v>8.4600000000000005E-3</v>
      </c>
      <c r="LF59">
        <v>7.5599999999999999E-3</v>
      </c>
      <c r="LG59">
        <v>5.8199999999999997E-3</v>
      </c>
      <c r="LI59">
        <v>8.3000000000000001E-3</v>
      </c>
      <c r="LJ59">
        <v>8.7200000000000003E-3</v>
      </c>
      <c r="LK59">
        <v>8.77E-3</v>
      </c>
      <c r="LL59">
        <v>5.5399999999999998E-3</v>
      </c>
      <c r="LM59">
        <v>4.0899999999999999E-3</v>
      </c>
      <c r="LN59">
        <v>4.9699999999999996E-3</v>
      </c>
      <c r="LO59">
        <v>5.1799999999999997E-3</v>
      </c>
      <c r="LP59">
        <v>4.62E-3</v>
      </c>
      <c r="LR59">
        <v>8.0999999999999996E-3</v>
      </c>
      <c r="LS59">
        <v>9.1199999999999996E-3</v>
      </c>
      <c r="LT59">
        <v>4.8300000000000001E-3</v>
      </c>
      <c r="LU59">
        <v>5.8100000000000001E-3</v>
      </c>
      <c r="LV59">
        <v>6.3200000000000001E-3</v>
      </c>
      <c r="LX59">
        <v>5.4900000000000001E-3</v>
      </c>
      <c r="LY59">
        <v>6.2599999999999999E-3</v>
      </c>
      <c r="LZ59">
        <v>6.3200000000000001E-3</v>
      </c>
      <c r="MA59">
        <v>6.5900000000000004E-3</v>
      </c>
      <c r="MB59">
        <v>4.5399999999999998E-3</v>
      </c>
      <c r="MC59">
        <v>7.8700000000000003E-3</v>
      </c>
      <c r="MD59">
        <v>8.94E-3</v>
      </c>
      <c r="ME59">
        <v>1.0999999999999999E-2</v>
      </c>
      <c r="MF59">
        <v>1.3180000000000001E-2</v>
      </c>
      <c r="MG59">
        <v>1.303E-2</v>
      </c>
      <c r="MH59">
        <v>4.6899999999999997E-3</v>
      </c>
      <c r="MI59">
        <v>4.9899999999999996E-3</v>
      </c>
      <c r="MJ59">
        <v>5.0000000000000001E-3</v>
      </c>
      <c r="MK59">
        <v>4.6699999999999997E-3</v>
      </c>
      <c r="ML59">
        <v>5.77E-3</v>
      </c>
      <c r="MM59">
        <v>4.7699999999999999E-3</v>
      </c>
      <c r="MN59">
        <v>4.8900000000000002E-3</v>
      </c>
      <c r="MO59">
        <v>5.1799999999999997E-3</v>
      </c>
      <c r="MP59">
        <v>6.3299999999999997E-3</v>
      </c>
      <c r="MQ59">
        <v>3.9100000000000003E-3</v>
      </c>
      <c r="MS59">
        <v>5.3499999999999997E-3</v>
      </c>
      <c r="MT59">
        <v>6.6899999999999998E-3</v>
      </c>
      <c r="MU59">
        <v>4.7400000000000003E-3</v>
      </c>
      <c r="MV59">
        <v>5.0699999999999999E-3</v>
      </c>
      <c r="MX59">
        <v>5.3499999999999997E-3</v>
      </c>
      <c r="MY59">
        <v>5.7600000000000004E-3</v>
      </c>
      <c r="MZ59">
        <v>6.4200000000000004E-3</v>
      </c>
      <c r="NA59">
        <v>5.7800000000000004E-3</v>
      </c>
      <c r="NB59">
        <v>5.4999999999999997E-3</v>
      </c>
      <c r="NC59">
        <v>3.46E-3</v>
      </c>
      <c r="ND59">
        <v>1.189E-2</v>
      </c>
      <c r="NE59">
        <v>5.96E-3</v>
      </c>
      <c r="NF59">
        <v>6.8199999999999997E-3</v>
      </c>
      <c r="NG59">
        <v>4.4000000000000003E-3</v>
      </c>
      <c r="NH59">
        <v>3.8400000000000001E-3</v>
      </c>
      <c r="NI59">
        <v>4.0899999999999999E-3</v>
      </c>
      <c r="NJ59">
        <v>4.4099999999999999E-3</v>
      </c>
      <c r="NK59">
        <v>4.0299999999999997E-3</v>
      </c>
      <c r="NM59">
        <v>4.4200000000000003E-3</v>
      </c>
      <c r="NN59">
        <v>4.5900000000000003E-3</v>
      </c>
      <c r="NP59">
        <v>4.4400000000000004E-3</v>
      </c>
      <c r="NQ59">
        <v>4.0899999999999999E-3</v>
      </c>
      <c r="NR59">
        <v>4.3200000000000001E-3</v>
      </c>
      <c r="NS59">
        <v>4.4799999999999996E-3</v>
      </c>
      <c r="NU59">
        <v>4.1200000000000004E-3</v>
      </c>
      <c r="NV59">
        <v>4.3E-3</v>
      </c>
      <c r="NW59">
        <v>4.4000000000000003E-3</v>
      </c>
      <c r="NX59">
        <v>4.3499999999999997E-3</v>
      </c>
      <c r="NZ59">
        <v>4.64E-3</v>
      </c>
      <c r="OA59">
        <v>4.81E-3</v>
      </c>
      <c r="OB59">
        <v>4.2599999999999999E-3</v>
      </c>
      <c r="OC59">
        <v>4.3499999999999997E-3</v>
      </c>
      <c r="OD59">
        <v>4.3600000000000002E-3</v>
      </c>
      <c r="OE59">
        <v>4.3600000000000002E-3</v>
      </c>
      <c r="OF59">
        <v>6.0000000000000001E-3</v>
      </c>
      <c r="OG59">
        <v>4.6100000000000004E-3</v>
      </c>
      <c r="OH59">
        <v>4.7999999999999996E-3</v>
      </c>
      <c r="OI59">
        <v>4.8900000000000002E-3</v>
      </c>
      <c r="OJ59">
        <v>5.0600000000000003E-3</v>
      </c>
      <c r="OK59">
        <v>5.1399999999999996E-3</v>
      </c>
      <c r="OL59">
        <v>5.2700000000000004E-3</v>
      </c>
      <c r="OM59">
        <v>5.64E-3</v>
      </c>
      <c r="ON59">
        <v>5.5500000000000002E-3</v>
      </c>
      <c r="OO59">
        <v>4.6800000000000001E-3</v>
      </c>
      <c r="OP59">
        <v>4.9699999999999996E-3</v>
      </c>
      <c r="OQ59">
        <v>5.1000000000000004E-3</v>
      </c>
      <c r="OR59">
        <v>5.4299999999999999E-3</v>
      </c>
      <c r="OS59">
        <v>5.9100000000000003E-3</v>
      </c>
      <c r="OT59">
        <v>5.7999999999999996E-3</v>
      </c>
      <c r="OU59">
        <v>6.0200000000000002E-3</v>
      </c>
      <c r="OV59">
        <v>5.1599999999999997E-3</v>
      </c>
      <c r="OW59">
        <v>4.1799999999999997E-3</v>
      </c>
      <c r="OX59">
        <v>5.2900000000000004E-3</v>
      </c>
      <c r="OZ59">
        <v>5.1700000000000001E-3</v>
      </c>
      <c r="PA59">
        <v>8.0599999999999995E-3</v>
      </c>
      <c r="PB59">
        <v>8.4200000000000004E-3</v>
      </c>
      <c r="PC59">
        <v>7.1799999999999998E-3</v>
      </c>
      <c r="PD59">
        <v>6.3600000000000002E-3</v>
      </c>
      <c r="PE59">
        <v>6.0299999999999998E-3</v>
      </c>
      <c r="PF59">
        <v>5.9500000000000004E-3</v>
      </c>
      <c r="PG59">
        <v>5.1500000000000001E-3</v>
      </c>
      <c r="PH59">
        <v>5.3299999999999997E-3</v>
      </c>
      <c r="PI59">
        <v>6.5799999999999999E-3</v>
      </c>
      <c r="PK59">
        <v>5.7299999999999999E-3</v>
      </c>
      <c r="PL59">
        <v>5.8999999999999999E-3</v>
      </c>
      <c r="PM59">
        <v>5.1399999999999996E-3</v>
      </c>
      <c r="PN59">
        <v>4.7800000000000004E-3</v>
      </c>
      <c r="PO59">
        <v>4.2199999999999998E-3</v>
      </c>
      <c r="PQ59">
        <v>4.9500000000000004E-3</v>
      </c>
      <c r="PR59">
        <v>4.3800000000000002E-3</v>
      </c>
      <c r="PS59">
        <v>4.5199999999999997E-3</v>
      </c>
      <c r="PT59">
        <v>4.8399999999999997E-3</v>
      </c>
      <c r="PU59">
        <v>4.5100000000000001E-3</v>
      </c>
      <c r="PV59">
        <v>3.0000000000000001E-3</v>
      </c>
      <c r="PW59">
        <v>3.1900000000000001E-3</v>
      </c>
      <c r="PX59">
        <v>3.3300000000000001E-3</v>
      </c>
      <c r="PY59">
        <v>3.48E-3</v>
      </c>
      <c r="PZ59">
        <v>3.6900000000000001E-3</v>
      </c>
      <c r="QA59">
        <v>3.9500000000000004E-3</v>
      </c>
      <c r="QB59">
        <v>4.3099999999999996E-3</v>
      </c>
      <c r="QC59">
        <v>5.2599999999999999E-3</v>
      </c>
      <c r="QD59">
        <v>5.4099999999999999E-3</v>
      </c>
      <c r="QE59">
        <v>4.4099999999999999E-3</v>
      </c>
      <c r="QF59">
        <v>4.8999999999999998E-3</v>
      </c>
      <c r="QG59">
        <v>6.94E-3</v>
      </c>
      <c r="QI59">
        <v>5.0299999999999997E-3</v>
      </c>
      <c r="QJ59">
        <v>4.81E-3</v>
      </c>
      <c r="QK59">
        <v>4.8700000000000002E-3</v>
      </c>
      <c r="QL59">
        <v>4.7400000000000003E-3</v>
      </c>
      <c r="QM59">
        <v>5.2500000000000003E-3</v>
      </c>
      <c r="QN59">
        <v>8.2400000000000008E-3</v>
      </c>
      <c r="QO59">
        <v>6.1700000000000001E-3</v>
      </c>
      <c r="QP59">
        <v>7.3899999999999999E-3</v>
      </c>
      <c r="QQ59">
        <v>7.4999999999999997E-3</v>
      </c>
      <c r="QR59">
        <v>7.5900000000000004E-3</v>
      </c>
      <c r="QS59">
        <v>7.5399999999999998E-3</v>
      </c>
      <c r="QU59">
        <v>5.5599999999999998E-3</v>
      </c>
      <c r="QV59">
        <v>5.5700000000000003E-3</v>
      </c>
      <c r="QX59">
        <v>5.1900000000000002E-3</v>
      </c>
      <c r="QY59">
        <v>5.0099999999999997E-3</v>
      </c>
      <c r="QZ59">
        <v>5.3299999999999997E-3</v>
      </c>
      <c r="RA59">
        <v>5.5199999999999997E-3</v>
      </c>
      <c r="RB59">
        <v>6.2100000000000002E-3</v>
      </c>
      <c r="RD59">
        <v>7.2899999999999996E-3</v>
      </c>
      <c r="RE59">
        <v>5.9800000000000001E-3</v>
      </c>
      <c r="RF59">
        <v>6.3699999999999998E-3</v>
      </c>
      <c r="RG59">
        <v>4.7200000000000002E-3</v>
      </c>
      <c r="RH59">
        <v>4.8900000000000002E-3</v>
      </c>
      <c r="RI59">
        <v>7.0000000000000001E-3</v>
      </c>
      <c r="RJ59">
        <v>5.7800000000000004E-3</v>
      </c>
      <c r="RK59">
        <v>5.8300000000000001E-3</v>
      </c>
      <c r="RL59">
        <v>5.4900000000000001E-3</v>
      </c>
      <c r="RM59">
        <v>4.2199999999999998E-3</v>
      </c>
      <c r="RN59">
        <v>4.3299999999999996E-3</v>
      </c>
      <c r="RO59">
        <v>4.3299999999999996E-3</v>
      </c>
      <c r="RP59">
        <v>3.9899999999999996E-3</v>
      </c>
      <c r="RQ59">
        <v>4.3400000000000001E-3</v>
      </c>
      <c r="RR59">
        <v>4.1399999999999996E-3</v>
      </c>
      <c r="RS59">
        <v>4.2300000000000003E-3</v>
      </c>
      <c r="RT59">
        <v>3.63E-3</v>
      </c>
      <c r="RU59">
        <v>4.5799999999999999E-3</v>
      </c>
      <c r="RV59">
        <v>4.7299999999999998E-3</v>
      </c>
      <c r="RW59">
        <v>5.2100000000000002E-3</v>
      </c>
      <c r="RX59">
        <v>4.8599999999999997E-3</v>
      </c>
      <c r="RY59">
        <v>3.6900000000000001E-3</v>
      </c>
      <c r="RZ59">
        <v>4.1399999999999996E-3</v>
      </c>
      <c r="SA59">
        <v>5.1000000000000004E-3</v>
      </c>
      <c r="SB59">
        <v>4.7600000000000003E-3</v>
      </c>
      <c r="SC59">
        <v>5.8300000000000001E-3</v>
      </c>
      <c r="SD59">
        <v>6.2899999999999996E-3</v>
      </c>
      <c r="SE59">
        <v>5.7600000000000004E-3</v>
      </c>
      <c r="SF59">
        <v>6.5799999999999999E-3</v>
      </c>
      <c r="SG59">
        <v>8.0499999999999999E-3</v>
      </c>
      <c r="SH59">
        <v>1.043E-2</v>
      </c>
      <c r="SI59">
        <v>5.6100000000000004E-3</v>
      </c>
      <c r="SJ59">
        <v>4.64E-3</v>
      </c>
      <c r="SK59">
        <v>4.1000000000000003E-3</v>
      </c>
      <c r="SL59">
        <v>4.4900000000000001E-3</v>
      </c>
      <c r="SM59">
        <v>3.64E-3</v>
      </c>
      <c r="SN59">
        <v>4.0800000000000003E-3</v>
      </c>
      <c r="SO59">
        <v>3.9500000000000004E-3</v>
      </c>
      <c r="SP59">
        <v>5.79E-3</v>
      </c>
      <c r="SQ59">
        <v>4.6100000000000004E-3</v>
      </c>
      <c r="SR59">
        <v>5.3899999999999998E-3</v>
      </c>
      <c r="SS59">
        <v>4.6600000000000001E-3</v>
      </c>
      <c r="ST59">
        <v>4.6299999999999996E-3</v>
      </c>
      <c r="SU59">
        <v>4.9100000000000003E-3</v>
      </c>
      <c r="SV59">
        <v>4.7600000000000003E-3</v>
      </c>
      <c r="SW59">
        <v>5.11E-3</v>
      </c>
      <c r="SX59">
        <v>4.9899999999999996E-3</v>
      </c>
      <c r="SY59">
        <v>4.5700000000000003E-3</v>
      </c>
      <c r="SZ59">
        <v>5.3800000000000002E-3</v>
      </c>
      <c r="TA59">
        <v>5.0800000000000003E-3</v>
      </c>
      <c r="TB59">
        <v>5.9800000000000001E-3</v>
      </c>
      <c r="TC59">
        <v>4.8900000000000002E-3</v>
      </c>
      <c r="TD59">
        <v>4.62E-3</v>
      </c>
      <c r="TE59">
        <v>6.5599999999999999E-3</v>
      </c>
      <c r="TF59">
        <v>5.2300000000000003E-3</v>
      </c>
      <c r="TG59">
        <v>5.96E-3</v>
      </c>
      <c r="TH59">
        <v>6.6100000000000004E-3</v>
      </c>
      <c r="TI59">
        <v>5.0400000000000002E-3</v>
      </c>
      <c r="TJ59">
        <v>6.6699999999999997E-3</v>
      </c>
      <c r="TK59">
        <v>4.1700000000000001E-3</v>
      </c>
      <c r="TL59">
        <v>3.98E-3</v>
      </c>
      <c r="TM59">
        <v>3.8500000000000001E-3</v>
      </c>
      <c r="TN59">
        <v>4.7400000000000003E-3</v>
      </c>
      <c r="TO59">
        <v>5.3699999999999998E-3</v>
      </c>
      <c r="TP59">
        <v>4.2399999999999998E-3</v>
      </c>
      <c r="TQ59">
        <v>5.2300000000000003E-3</v>
      </c>
      <c r="TR59">
        <v>5.7200000000000003E-3</v>
      </c>
      <c r="TS59">
        <v>5.4099999999999999E-3</v>
      </c>
      <c r="TU59">
        <v>5.13E-3</v>
      </c>
      <c r="TV59">
        <v>4.2199999999999998E-3</v>
      </c>
      <c r="TW59">
        <v>4.5300000000000002E-3</v>
      </c>
      <c r="TX59">
        <v>4.9899999999999996E-3</v>
      </c>
      <c r="TY59">
        <v>5.0200000000000002E-3</v>
      </c>
      <c r="TZ59">
        <v>5.1200000000000004E-3</v>
      </c>
      <c r="UA59">
        <v>5.1500000000000001E-3</v>
      </c>
      <c r="UB59">
        <v>4.9699999999999996E-3</v>
      </c>
      <c r="UC59">
        <v>4.64E-3</v>
      </c>
      <c r="UD59">
        <v>4.7200000000000002E-3</v>
      </c>
      <c r="UE59">
        <v>4.9300000000000004E-3</v>
      </c>
      <c r="UF59">
        <v>3.6600000000000001E-3</v>
      </c>
      <c r="UG59">
        <v>4.28E-3</v>
      </c>
      <c r="UH59">
        <v>5.2300000000000003E-3</v>
      </c>
      <c r="UI59">
        <v>4.2700000000000004E-3</v>
      </c>
      <c r="UJ59">
        <v>5.1999999999999998E-3</v>
      </c>
      <c r="UL59">
        <v>5.1599999999999997E-3</v>
      </c>
      <c r="UM59">
        <v>5.7400000000000003E-3</v>
      </c>
      <c r="UN59">
        <v>4.8500000000000001E-3</v>
      </c>
      <c r="UO59">
        <v>4.8500000000000001E-3</v>
      </c>
      <c r="UQ59">
        <v>4.6899999999999997E-3</v>
      </c>
      <c r="UR59">
        <v>4.6600000000000001E-3</v>
      </c>
      <c r="US59">
        <v>4.9899999999999996E-3</v>
      </c>
      <c r="UT59">
        <v>4.62E-3</v>
      </c>
      <c r="UU59">
        <v>4.7600000000000003E-3</v>
      </c>
      <c r="UV59">
        <v>5.0200000000000002E-3</v>
      </c>
      <c r="UW59">
        <v>5.5399999999999998E-3</v>
      </c>
      <c r="UX59">
        <v>4.0600000000000002E-3</v>
      </c>
      <c r="UY59">
        <v>4.4299999999999999E-3</v>
      </c>
      <c r="UZ59">
        <v>5.2100000000000002E-3</v>
      </c>
      <c r="VA59">
        <v>6.5500000000000003E-3</v>
      </c>
      <c r="VB59">
        <v>5.5999999999999999E-3</v>
      </c>
      <c r="VC59">
        <v>5.4900000000000001E-3</v>
      </c>
      <c r="VD59">
        <v>5.3400000000000001E-3</v>
      </c>
      <c r="VE59">
        <v>4.3899999999999998E-3</v>
      </c>
      <c r="VF59">
        <v>5.7999999999999996E-3</v>
      </c>
      <c r="VG59">
        <v>7.9500000000000005E-3</v>
      </c>
      <c r="VH59">
        <v>4.5100000000000001E-3</v>
      </c>
      <c r="VI59">
        <v>5.0899999999999999E-3</v>
      </c>
    </row>
    <row r="60" spans="1:581" x14ac:dyDescent="0.25">
      <c r="A60">
        <v>1850000</v>
      </c>
      <c r="B60">
        <v>4.4999999999999997E-3</v>
      </c>
      <c r="C60">
        <v>5.0200000000000002E-3</v>
      </c>
      <c r="D60">
        <v>5.1399999999999996E-3</v>
      </c>
      <c r="E60">
        <v>5.7499999999999999E-3</v>
      </c>
      <c r="F60">
        <v>6.1799999999999997E-3</v>
      </c>
      <c r="G60">
        <v>6.45E-3</v>
      </c>
      <c r="H60">
        <v>5.0299999999999997E-3</v>
      </c>
      <c r="I60">
        <v>4.9800000000000001E-3</v>
      </c>
      <c r="J60">
        <v>5.0400000000000002E-3</v>
      </c>
      <c r="K60">
        <v>5.0499999999999998E-3</v>
      </c>
      <c r="L60">
        <v>4.9399999999999999E-3</v>
      </c>
      <c r="M60">
        <v>4.8900000000000002E-3</v>
      </c>
      <c r="N60">
        <v>4.8900000000000002E-3</v>
      </c>
      <c r="O60">
        <v>4.6100000000000004E-3</v>
      </c>
      <c r="P60">
        <v>4.5199999999999997E-3</v>
      </c>
      <c r="Q60">
        <v>4.5599999999999998E-3</v>
      </c>
      <c r="R60">
        <v>4.4999999999999997E-3</v>
      </c>
      <c r="S60">
        <v>4.7600000000000003E-3</v>
      </c>
      <c r="T60">
        <v>4.7600000000000003E-3</v>
      </c>
      <c r="U60">
        <v>5.8999999999999999E-3</v>
      </c>
      <c r="V60">
        <v>4.7800000000000004E-3</v>
      </c>
      <c r="W60">
        <v>5.7099999999999998E-3</v>
      </c>
      <c r="X60">
        <v>4.6100000000000004E-3</v>
      </c>
      <c r="Y60">
        <v>5.6600000000000001E-3</v>
      </c>
      <c r="Z60">
        <v>4.3499999999999997E-3</v>
      </c>
      <c r="AA60">
        <v>4.5900000000000003E-3</v>
      </c>
      <c r="AB60">
        <v>6.7200000000000003E-3</v>
      </c>
      <c r="AC60">
        <v>6.5599999999999999E-3</v>
      </c>
      <c r="AD60">
        <v>4.9899999999999996E-3</v>
      </c>
      <c r="AE60">
        <v>5.5700000000000003E-3</v>
      </c>
      <c r="AF60">
        <v>5.8399999999999997E-3</v>
      </c>
      <c r="AG60">
        <v>4.3600000000000002E-3</v>
      </c>
      <c r="AH60">
        <v>4.3299999999999996E-3</v>
      </c>
      <c r="AI60">
        <v>4.3800000000000002E-3</v>
      </c>
      <c r="AJ60">
        <v>4.3099999999999996E-3</v>
      </c>
      <c r="AK60">
        <v>5.7499999999999999E-3</v>
      </c>
      <c r="AL60">
        <v>7.1799999999999998E-3</v>
      </c>
      <c r="AM60">
        <v>4.0000000000000001E-3</v>
      </c>
      <c r="AN60">
        <v>4.7800000000000004E-3</v>
      </c>
      <c r="AO60">
        <v>9.8600000000000007E-3</v>
      </c>
      <c r="AP60">
        <v>5.11E-3</v>
      </c>
      <c r="AQ60">
        <v>5.13E-3</v>
      </c>
      <c r="AR60">
        <v>5.0400000000000002E-3</v>
      </c>
      <c r="AT60">
        <v>4.0600000000000002E-3</v>
      </c>
      <c r="AU60">
        <v>4.6299999999999996E-3</v>
      </c>
      <c r="AV60">
        <v>4.15E-3</v>
      </c>
      <c r="AW60">
        <v>4.7099999999999998E-3</v>
      </c>
      <c r="AX60">
        <v>4.7299999999999998E-3</v>
      </c>
      <c r="AY60">
        <v>5.3600000000000002E-3</v>
      </c>
      <c r="AZ60">
        <v>5.5399999999999998E-3</v>
      </c>
      <c r="BA60">
        <v>3.9899999999999996E-3</v>
      </c>
      <c r="BB60">
        <v>5.8799999999999998E-3</v>
      </c>
      <c r="BC60">
        <v>6.2899999999999996E-3</v>
      </c>
      <c r="BD60">
        <v>6.4799999999999996E-3</v>
      </c>
      <c r="BE60">
        <v>7.5399999999999998E-3</v>
      </c>
      <c r="BF60">
        <v>9.0299999999999998E-3</v>
      </c>
      <c r="BG60">
        <v>5.8700000000000002E-3</v>
      </c>
      <c r="BH60">
        <v>4.8999999999999998E-3</v>
      </c>
      <c r="BI60">
        <v>8.8800000000000007E-3</v>
      </c>
      <c r="BJ60">
        <v>6.0299999999999998E-3</v>
      </c>
      <c r="BL60">
        <v>6.62E-3</v>
      </c>
      <c r="BM60">
        <v>6.2899999999999996E-3</v>
      </c>
      <c r="BN60">
        <v>6.3499999999999997E-3</v>
      </c>
      <c r="BO60">
        <v>7.3499999999999998E-3</v>
      </c>
      <c r="BP60">
        <v>6.5799999999999999E-3</v>
      </c>
      <c r="BQ60">
        <v>5.8300000000000001E-3</v>
      </c>
      <c r="BR60">
        <v>4.0400000000000002E-3</v>
      </c>
      <c r="BT60">
        <v>6.4200000000000004E-3</v>
      </c>
      <c r="BU60">
        <v>8.1799999999999998E-3</v>
      </c>
      <c r="BV60">
        <v>8.1899999999999994E-3</v>
      </c>
      <c r="BW60">
        <v>7.9100000000000004E-3</v>
      </c>
      <c r="BX60">
        <v>7.6899999999999998E-3</v>
      </c>
      <c r="BY60">
        <v>7.8600000000000007E-3</v>
      </c>
      <c r="BZ60">
        <v>6.8100000000000001E-3</v>
      </c>
      <c r="CA60">
        <v>6.9899999999999997E-3</v>
      </c>
      <c r="CC60">
        <v>6.2899999999999996E-3</v>
      </c>
      <c r="CD60">
        <v>5.0400000000000002E-3</v>
      </c>
      <c r="CE60">
        <v>5.3099999999999996E-3</v>
      </c>
      <c r="CF60">
        <v>5.1000000000000004E-3</v>
      </c>
      <c r="CG60">
        <v>4.8500000000000001E-3</v>
      </c>
      <c r="CH60">
        <v>4.6499999999999996E-3</v>
      </c>
      <c r="CI60">
        <v>4.45E-3</v>
      </c>
      <c r="CJ60">
        <v>4.2500000000000003E-3</v>
      </c>
      <c r="CK60">
        <v>4.47E-3</v>
      </c>
      <c r="CL60">
        <v>5.28E-3</v>
      </c>
      <c r="CM60">
        <v>5.3400000000000001E-3</v>
      </c>
      <c r="CN60">
        <v>5.5500000000000002E-3</v>
      </c>
      <c r="CO60">
        <v>5.4000000000000003E-3</v>
      </c>
      <c r="CP60">
        <v>5.6800000000000002E-3</v>
      </c>
      <c r="CQ60">
        <v>5.3800000000000002E-3</v>
      </c>
      <c r="CS60">
        <v>5.79E-3</v>
      </c>
      <c r="CT60">
        <v>6.1399999999999996E-3</v>
      </c>
      <c r="CU60">
        <v>5.0099999999999997E-3</v>
      </c>
      <c r="CV60">
        <v>4.9899999999999996E-3</v>
      </c>
      <c r="CW60">
        <v>5.1900000000000002E-3</v>
      </c>
      <c r="CX60">
        <v>5.2900000000000004E-3</v>
      </c>
      <c r="CY60">
        <v>4.4999999999999997E-3</v>
      </c>
      <c r="CZ60">
        <v>4.62E-3</v>
      </c>
      <c r="DA60">
        <v>4.7699999999999999E-3</v>
      </c>
      <c r="DC60">
        <v>4.6600000000000001E-3</v>
      </c>
      <c r="DD60">
        <v>4.64E-3</v>
      </c>
      <c r="DE60">
        <v>4.62E-3</v>
      </c>
      <c r="DF60">
        <v>5.7400000000000003E-3</v>
      </c>
      <c r="DG60">
        <v>4.0400000000000002E-3</v>
      </c>
      <c r="DH60">
        <v>5.2100000000000002E-3</v>
      </c>
      <c r="DI60">
        <v>5.2100000000000002E-3</v>
      </c>
      <c r="DJ60">
        <v>5.3400000000000001E-3</v>
      </c>
      <c r="DK60">
        <v>5.4200000000000003E-3</v>
      </c>
      <c r="DL60">
        <v>5.5500000000000002E-3</v>
      </c>
      <c r="DM60">
        <v>7.4700000000000001E-3</v>
      </c>
      <c r="DN60">
        <v>6.0699999999999999E-3</v>
      </c>
      <c r="DO60">
        <v>7.5300000000000002E-3</v>
      </c>
      <c r="DP60">
        <v>7.8600000000000007E-3</v>
      </c>
      <c r="DQ60">
        <v>7.7099999999999998E-3</v>
      </c>
      <c r="DR60">
        <v>5.7000000000000002E-3</v>
      </c>
      <c r="DS60">
        <v>5.2500000000000003E-3</v>
      </c>
      <c r="DT60">
        <v>6.5900000000000004E-3</v>
      </c>
      <c r="DU60">
        <v>7.7600000000000004E-3</v>
      </c>
      <c r="DV60">
        <v>8.1099999999999992E-3</v>
      </c>
      <c r="DX60">
        <v>7.6E-3</v>
      </c>
      <c r="DY60">
        <v>8.5599999999999999E-3</v>
      </c>
      <c r="DZ60">
        <v>8.26E-3</v>
      </c>
      <c r="EA60">
        <v>4.6699999999999997E-3</v>
      </c>
      <c r="EB60">
        <v>4.6600000000000001E-3</v>
      </c>
      <c r="EC60">
        <v>4.3400000000000001E-3</v>
      </c>
      <c r="EF60">
        <v>9.9000000000000008E-3</v>
      </c>
      <c r="EI60">
        <v>5.7200000000000003E-3</v>
      </c>
      <c r="EJ60">
        <v>5.3299999999999997E-3</v>
      </c>
      <c r="EK60">
        <v>5.1799999999999997E-3</v>
      </c>
      <c r="EL60">
        <v>5.4000000000000003E-3</v>
      </c>
      <c r="EM60">
        <v>5.7000000000000002E-3</v>
      </c>
      <c r="EN60">
        <v>5.8100000000000001E-3</v>
      </c>
      <c r="EO60">
        <v>5.8399999999999997E-3</v>
      </c>
      <c r="EP60">
        <v>6.2100000000000002E-3</v>
      </c>
      <c r="EQ60">
        <v>6.2300000000000003E-3</v>
      </c>
      <c r="ER60">
        <v>4.4900000000000001E-3</v>
      </c>
      <c r="ES60">
        <v>4.4999999999999997E-3</v>
      </c>
      <c r="ET60">
        <v>4.3099999999999996E-3</v>
      </c>
      <c r="EU60">
        <v>8.9999999999999993E-3</v>
      </c>
      <c r="EV60">
        <v>8.2699999999999996E-3</v>
      </c>
      <c r="EW60">
        <v>7.8300000000000002E-3</v>
      </c>
      <c r="EX60">
        <v>7.8700000000000003E-3</v>
      </c>
      <c r="EY60">
        <v>6.7000000000000002E-3</v>
      </c>
      <c r="EZ60">
        <v>6.7000000000000002E-3</v>
      </c>
      <c r="FA60">
        <v>5.1399999999999996E-3</v>
      </c>
      <c r="FB60">
        <v>5.64E-3</v>
      </c>
      <c r="FC60">
        <v>4.7600000000000003E-3</v>
      </c>
      <c r="FD60">
        <v>4.7499999999999999E-3</v>
      </c>
      <c r="FE60">
        <v>5.5399999999999998E-3</v>
      </c>
      <c r="FF60">
        <v>4.28E-3</v>
      </c>
      <c r="FG60">
        <v>7.8499999999999993E-3</v>
      </c>
      <c r="FH60">
        <v>7.9399999999999991E-3</v>
      </c>
      <c r="FI60">
        <v>7.79E-3</v>
      </c>
      <c r="FJ60">
        <v>7.8700000000000003E-3</v>
      </c>
      <c r="FK60">
        <v>6.94E-3</v>
      </c>
      <c r="FL60">
        <v>4.5999999999999999E-3</v>
      </c>
      <c r="FN60">
        <v>5.0800000000000003E-3</v>
      </c>
      <c r="FO60">
        <v>4.7499999999999999E-3</v>
      </c>
      <c r="FP60">
        <v>4.3600000000000002E-3</v>
      </c>
      <c r="FQ60">
        <v>5.4599999999999996E-3</v>
      </c>
      <c r="FS60">
        <v>5.7600000000000004E-3</v>
      </c>
      <c r="FT60">
        <v>5.77E-3</v>
      </c>
      <c r="FU60">
        <v>5.7099999999999998E-3</v>
      </c>
      <c r="FV60">
        <v>5.8799999999999998E-3</v>
      </c>
      <c r="FW60">
        <v>5.7200000000000003E-3</v>
      </c>
      <c r="FX60">
        <v>5.8599999999999998E-3</v>
      </c>
      <c r="FY60">
        <v>6.2199999999999998E-3</v>
      </c>
      <c r="FZ60">
        <v>6.13E-3</v>
      </c>
      <c r="GA60">
        <v>6.4400000000000004E-3</v>
      </c>
      <c r="GB60">
        <v>6.3200000000000001E-3</v>
      </c>
      <c r="GC60">
        <v>6.6899999999999998E-3</v>
      </c>
      <c r="GD60">
        <v>6.3899999999999998E-3</v>
      </c>
      <c r="GE60">
        <v>6.8300000000000001E-3</v>
      </c>
      <c r="GF60">
        <v>6.0200000000000002E-3</v>
      </c>
      <c r="GG60">
        <v>6.1000000000000004E-3</v>
      </c>
      <c r="GH60">
        <v>6.1799999999999997E-3</v>
      </c>
      <c r="GI60">
        <v>6.9199999999999999E-3</v>
      </c>
      <c r="GJ60">
        <v>7.0600000000000003E-3</v>
      </c>
      <c r="GL60">
        <v>7.4200000000000004E-3</v>
      </c>
      <c r="GM60">
        <v>6.62E-3</v>
      </c>
      <c r="GO60">
        <v>6.1500000000000001E-3</v>
      </c>
      <c r="GP60">
        <v>5.0899999999999999E-3</v>
      </c>
      <c r="GQ60">
        <v>5.4900000000000001E-3</v>
      </c>
      <c r="GR60">
        <v>5.5700000000000003E-3</v>
      </c>
      <c r="GS60">
        <v>5.0499999999999998E-3</v>
      </c>
      <c r="GT60">
        <v>5.5799999999999999E-3</v>
      </c>
      <c r="GU60">
        <v>6.9199999999999999E-3</v>
      </c>
      <c r="GV60">
        <v>7.6899999999999998E-3</v>
      </c>
      <c r="GW60">
        <v>7.2300000000000003E-3</v>
      </c>
      <c r="GX60">
        <v>6.9100000000000003E-3</v>
      </c>
      <c r="GY60">
        <v>6.1500000000000001E-3</v>
      </c>
      <c r="GZ60">
        <v>5.7999999999999996E-3</v>
      </c>
      <c r="HA60">
        <v>4.9100000000000003E-3</v>
      </c>
      <c r="HB60">
        <v>4.7000000000000002E-3</v>
      </c>
      <c r="HC60">
        <v>7.3000000000000001E-3</v>
      </c>
      <c r="HD60">
        <v>3.6800000000000001E-3</v>
      </c>
      <c r="HE60">
        <v>6.62E-3</v>
      </c>
      <c r="HF60">
        <v>7.4999999999999997E-3</v>
      </c>
      <c r="HG60">
        <v>7.8399999999999997E-3</v>
      </c>
      <c r="HH60">
        <v>7.8600000000000007E-3</v>
      </c>
      <c r="HI60">
        <v>7.9799999999999992E-3</v>
      </c>
      <c r="HJ60">
        <v>4.3600000000000002E-3</v>
      </c>
      <c r="HK60">
        <v>5.0800000000000003E-3</v>
      </c>
      <c r="HL60">
        <v>5.6899999999999997E-3</v>
      </c>
      <c r="HM60">
        <v>5.4400000000000004E-3</v>
      </c>
      <c r="HN60">
        <v>5.5399999999999998E-3</v>
      </c>
      <c r="HO60">
        <v>5.0499999999999998E-3</v>
      </c>
      <c r="HP60">
        <v>4.7600000000000003E-3</v>
      </c>
      <c r="HQ60">
        <v>4.8300000000000001E-3</v>
      </c>
      <c r="HR60">
        <v>5.5100000000000001E-3</v>
      </c>
      <c r="HS60">
        <v>8.8999999999999999E-3</v>
      </c>
      <c r="HT60">
        <v>4.4200000000000003E-3</v>
      </c>
      <c r="HU60">
        <v>4.8799999999999998E-3</v>
      </c>
      <c r="HV60">
        <v>6.0699999999999999E-3</v>
      </c>
      <c r="HW60">
        <v>5.0099999999999997E-3</v>
      </c>
      <c r="HX60">
        <v>5.0400000000000002E-3</v>
      </c>
      <c r="HY60">
        <v>5.2199999999999998E-3</v>
      </c>
      <c r="HZ60">
        <v>3.9399999999999999E-3</v>
      </c>
      <c r="IA60">
        <v>6.1199999999999996E-3</v>
      </c>
      <c r="IB60">
        <v>7.77E-3</v>
      </c>
      <c r="IC60">
        <v>6.8300000000000001E-3</v>
      </c>
      <c r="ID60">
        <v>4.5300000000000002E-3</v>
      </c>
      <c r="IE60">
        <v>4.2399999999999998E-3</v>
      </c>
      <c r="IF60">
        <v>4.2900000000000004E-3</v>
      </c>
      <c r="IG60">
        <v>5.1999999999999998E-3</v>
      </c>
      <c r="IH60">
        <v>5.4799999999999996E-3</v>
      </c>
      <c r="II60">
        <v>4.13E-3</v>
      </c>
      <c r="IJ60">
        <v>5.1500000000000001E-3</v>
      </c>
      <c r="IK60">
        <v>5.7499999999999999E-3</v>
      </c>
      <c r="IL60">
        <v>6.3400000000000001E-3</v>
      </c>
      <c r="IM60">
        <v>7.2700000000000004E-3</v>
      </c>
      <c r="IN60">
        <v>7.6299999999999996E-3</v>
      </c>
      <c r="IO60">
        <v>8.3700000000000007E-3</v>
      </c>
      <c r="IP60">
        <v>9.3200000000000002E-3</v>
      </c>
      <c r="IQ60">
        <v>1.0160000000000001E-2</v>
      </c>
      <c r="IR60">
        <v>1.095E-2</v>
      </c>
      <c r="IT60">
        <v>3.63E-3</v>
      </c>
      <c r="IU60">
        <v>3.9100000000000003E-3</v>
      </c>
      <c r="IV60">
        <v>4.2100000000000002E-3</v>
      </c>
      <c r="IW60">
        <v>4.7200000000000002E-3</v>
      </c>
      <c r="IX60">
        <v>3.5300000000000002E-3</v>
      </c>
      <c r="IY60">
        <v>4.3400000000000001E-3</v>
      </c>
      <c r="IZ60">
        <v>3.9399999999999999E-3</v>
      </c>
      <c r="JA60">
        <v>4.4099999999999999E-3</v>
      </c>
      <c r="JB60">
        <v>4.4799999999999996E-3</v>
      </c>
      <c r="JC60">
        <v>4.8399999999999997E-3</v>
      </c>
      <c r="JD60">
        <v>5.0800000000000003E-3</v>
      </c>
      <c r="JE60">
        <v>4.3400000000000001E-3</v>
      </c>
      <c r="JF60">
        <v>7.1500000000000001E-3</v>
      </c>
      <c r="JG60">
        <v>9.6100000000000005E-3</v>
      </c>
      <c r="JH60">
        <v>8.9800000000000001E-3</v>
      </c>
      <c r="JI60">
        <v>5.4000000000000003E-3</v>
      </c>
      <c r="JJ60">
        <v>5.1399999999999996E-3</v>
      </c>
      <c r="JK60">
        <v>8.0400000000000003E-3</v>
      </c>
      <c r="JL60">
        <v>7.3099999999999997E-3</v>
      </c>
      <c r="JM60">
        <v>5.1999999999999998E-3</v>
      </c>
      <c r="JN60">
        <v>5.8799999999999998E-3</v>
      </c>
      <c r="JP60">
        <v>4.3800000000000002E-3</v>
      </c>
      <c r="JQ60">
        <v>5.6600000000000001E-3</v>
      </c>
      <c r="JR60">
        <v>5.4299999999999999E-3</v>
      </c>
      <c r="JS60">
        <v>5.0099999999999997E-3</v>
      </c>
      <c r="JT60">
        <v>5.8999999999999999E-3</v>
      </c>
      <c r="JU60">
        <v>7.5599999999999999E-3</v>
      </c>
      <c r="JV60">
        <v>7.1999999999999998E-3</v>
      </c>
      <c r="JW60">
        <v>5.3099999999999996E-3</v>
      </c>
      <c r="JX60">
        <v>5.1799999999999997E-3</v>
      </c>
      <c r="JY60">
        <v>6.1900000000000002E-3</v>
      </c>
      <c r="JZ60">
        <v>6.0099999999999997E-3</v>
      </c>
      <c r="KA60">
        <v>5.77E-3</v>
      </c>
      <c r="KB60">
        <v>5.3099999999999996E-3</v>
      </c>
      <c r="KD60">
        <v>5.8300000000000001E-3</v>
      </c>
      <c r="KE60">
        <v>8.3599999999999994E-3</v>
      </c>
      <c r="KF60">
        <v>1.0319999999999999E-2</v>
      </c>
      <c r="KG60">
        <v>1.09E-2</v>
      </c>
      <c r="KH60">
        <v>1.0999999999999999E-2</v>
      </c>
      <c r="KI60">
        <v>6.43E-3</v>
      </c>
      <c r="KJ60">
        <v>6.5199999999999998E-3</v>
      </c>
      <c r="KK60">
        <v>6.4400000000000004E-3</v>
      </c>
      <c r="KL60">
        <v>6.9100000000000003E-3</v>
      </c>
      <c r="KM60">
        <v>7.0000000000000001E-3</v>
      </c>
      <c r="KN60">
        <v>6.7799999999999996E-3</v>
      </c>
      <c r="KO60">
        <v>6.7000000000000002E-3</v>
      </c>
      <c r="KP60">
        <v>6.43E-3</v>
      </c>
      <c r="KQ60">
        <v>6.5599999999999999E-3</v>
      </c>
      <c r="KR60">
        <v>6.6100000000000004E-3</v>
      </c>
      <c r="KS60">
        <v>6.2899999999999996E-3</v>
      </c>
      <c r="KT60">
        <v>6.5599999999999999E-3</v>
      </c>
      <c r="KV60">
        <v>5.9300000000000004E-3</v>
      </c>
      <c r="KW60">
        <v>5.1599999999999997E-3</v>
      </c>
      <c r="KX60">
        <v>1.04E-2</v>
      </c>
      <c r="KY60">
        <v>7.3000000000000001E-3</v>
      </c>
      <c r="KZ60">
        <v>8.09E-3</v>
      </c>
      <c r="LA60">
        <v>5.2100000000000002E-3</v>
      </c>
      <c r="LB60">
        <v>5.2100000000000002E-3</v>
      </c>
      <c r="LC60">
        <v>5.2100000000000002E-3</v>
      </c>
      <c r="LD60">
        <v>5.2100000000000002E-3</v>
      </c>
      <c r="LE60">
        <v>8.3899999999999999E-3</v>
      </c>
      <c r="LF60">
        <v>7.4900000000000001E-3</v>
      </c>
      <c r="LG60">
        <v>5.7499999999999999E-3</v>
      </c>
      <c r="LI60">
        <v>8.2500000000000004E-3</v>
      </c>
      <c r="LJ60">
        <v>8.6800000000000002E-3</v>
      </c>
      <c r="LK60">
        <v>8.7100000000000007E-3</v>
      </c>
      <c r="LL60">
        <v>5.4900000000000001E-3</v>
      </c>
      <c r="LM60">
        <v>4.0400000000000002E-3</v>
      </c>
      <c r="LN60">
        <v>4.8999999999999998E-3</v>
      </c>
      <c r="LO60">
        <v>5.0899999999999999E-3</v>
      </c>
      <c r="LP60">
        <v>4.5599999999999998E-3</v>
      </c>
      <c r="LR60">
        <v>8.0300000000000007E-3</v>
      </c>
      <c r="LS60">
        <v>9.0600000000000003E-3</v>
      </c>
      <c r="LT60">
        <v>4.79E-3</v>
      </c>
      <c r="LU60">
        <v>5.7099999999999998E-3</v>
      </c>
      <c r="LV60">
        <v>6.1799999999999997E-3</v>
      </c>
      <c r="LW60">
        <v>4.8500000000000001E-3</v>
      </c>
      <c r="LX60">
        <v>5.4999999999999997E-3</v>
      </c>
      <c r="LY60">
        <v>6.2100000000000002E-3</v>
      </c>
      <c r="LZ60">
        <v>6.28E-3</v>
      </c>
      <c r="MA60">
        <v>6.5500000000000003E-3</v>
      </c>
      <c r="MB60">
        <v>4.5599999999999998E-3</v>
      </c>
      <c r="MC60">
        <v>7.8200000000000006E-3</v>
      </c>
      <c r="MD60">
        <v>8.8800000000000007E-3</v>
      </c>
      <c r="ME60">
        <v>1.094E-2</v>
      </c>
      <c r="MF60">
        <v>1.3100000000000001E-2</v>
      </c>
      <c r="MG60">
        <v>1.325E-2</v>
      </c>
      <c r="MH60">
        <v>4.6600000000000001E-3</v>
      </c>
      <c r="MI60">
        <v>4.9100000000000003E-3</v>
      </c>
      <c r="MJ60">
        <v>4.9300000000000004E-3</v>
      </c>
      <c r="MK60">
        <v>4.6100000000000004E-3</v>
      </c>
      <c r="ML60">
        <v>5.7000000000000002E-3</v>
      </c>
      <c r="MM60">
        <v>4.6800000000000001E-3</v>
      </c>
      <c r="MN60">
        <v>4.8500000000000001E-3</v>
      </c>
      <c r="MO60">
        <v>5.1399999999999996E-3</v>
      </c>
      <c r="MQ60">
        <v>3.8800000000000002E-3</v>
      </c>
      <c r="MR60">
        <v>5.2199999999999998E-3</v>
      </c>
      <c r="MS60">
        <v>5.3E-3</v>
      </c>
      <c r="MT60">
        <v>6.6499999999999997E-3</v>
      </c>
      <c r="MU60">
        <v>4.7499999999999999E-3</v>
      </c>
      <c r="MV60">
        <v>5.0600000000000003E-3</v>
      </c>
      <c r="MW60">
        <v>5.2599999999999999E-3</v>
      </c>
      <c r="MX60">
        <v>5.3299999999999997E-3</v>
      </c>
      <c r="MY60">
        <v>5.7299999999999999E-3</v>
      </c>
      <c r="MZ60">
        <v>6.3899999999999998E-3</v>
      </c>
      <c r="NA60">
        <v>5.7400000000000003E-3</v>
      </c>
      <c r="NB60">
        <v>5.47E-3</v>
      </c>
      <c r="NC60">
        <v>3.4199999999999999E-3</v>
      </c>
      <c r="ND60">
        <v>1.183E-2</v>
      </c>
      <c r="NE60">
        <v>5.8999999999999999E-3</v>
      </c>
      <c r="NF60">
        <v>6.77E-3</v>
      </c>
      <c r="NG60">
        <v>4.3800000000000002E-3</v>
      </c>
      <c r="NH60">
        <v>3.82E-3</v>
      </c>
      <c r="NI60">
        <v>4.0600000000000002E-3</v>
      </c>
      <c r="NJ60">
        <v>4.3800000000000002E-3</v>
      </c>
      <c r="NK60">
        <v>4.0200000000000001E-3</v>
      </c>
      <c r="NL60">
        <v>4.2100000000000002E-3</v>
      </c>
      <c r="NM60">
        <v>4.4000000000000003E-3</v>
      </c>
      <c r="NN60">
        <v>4.5599999999999998E-3</v>
      </c>
      <c r="NO60">
        <v>4.7400000000000003E-3</v>
      </c>
      <c r="NP60">
        <v>4.45E-3</v>
      </c>
      <c r="NQ60">
        <v>4.0699999999999998E-3</v>
      </c>
      <c r="NR60">
        <v>4.3E-3</v>
      </c>
      <c r="NS60">
        <v>4.45E-3</v>
      </c>
      <c r="NT60">
        <v>4.7800000000000004E-3</v>
      </c>
      <c r="NU60">
        <v>4.1200000000000004E-3</v>
      </c>
      <c r="NW60">
        <v>4.4000000000000003E-3</v>
      </c>
      <c r="NX60">
        <v>4.3200000000000001E-3</v>
      </c>
      <c r="NY60">
        <v>4.4999999999999997E-3</v>
      </c>
      <c r="NZ60">
        <v>4.5999999999999999E-3</v>
      </c>
      <c r="OA60">
        <v>4.7800000000000004E-3</v>
      </c>
      <c r="OB60">
        <v>4.2599999999999999E-3</v>
      </c>
      <c r="OD60">
        <v>4.3299999999999996E-3</v>
      </c>
      <c r="OE60">
        <v>4.3299999999999996E-3</v>
      </c>
      <c r="OF60">
        <v>6.1000000000000004E-3</v>
      </c>
      <c r="OG60">
        <v>4.5799999999999999E-3</v>
      </c>
      <c r="OH60">
        <v>4.7800000000000004E-3</v>
      </c>
      <c r="OI60">
        <v>4.8599999999999997E-3</v>
      </c>
      <c r="OJ60">
        <v>5.0299999999999997E-3</v>
      </c>
      <c r="OK60">
        <v>5.11E-3</v>
      </c>
      <c r="OL60">
        <v>5.2399999999999999E-3</v>
      </c>
      <c r="OM60">
        <v>5.64E-3</v>
      </c>
      <c r="OO60">
        <v>4.6600000000000001E-3</v>
      </c>
      <c r="OP60">
        <v>4.9399999999999999E-3</v>
      </c>
      <c r="OQ60">
        <v>5.0699999999999999E-3</v>
      </c>
      <c r="OR60">
        <v>5.4099999999999999E-3</v>
      </c>
      <c r="OS60">
        <v>5.8700000000000002E-3</v>
      </c>
      <c r="OT60">
        <v>5.7800000000000004E-3</v>
      </c>
      <c r="OU60">
        <v>5.9899999999999997E-3</v>
      </c>
      <c r="OV60">
        <v>5.1399999999999996E-3</v>
      </c>
      <c r="OW60">
        <v>4.2500000000000003E-3</v>
      </c>
      <c r="OX60">
        <v>5.3200000000000001E-3</v>
      </c>
      <c r="OY60">
        <v>5.5300000000000002E-3</v>
      </c>
      <c r="OZ60">
        <v>5.1999999999999998E-3</v>
      </c>
      <c r="PA60">
        <v>8.0000000000000002E-3</v>
      </c>
      <c r="PB60">
        <v>8.3499999999999998E-3</v>
      </c>
      <c r="PC60">
        <v>7.1300000000000001E-3</v>
      </c>
      <c r="PD60">
        <v>6.3299999999999997E-3</v>
      </c>
      <c r="PE60">
        <v>6.0000000000000001E-3</v>
      </c>
      <c r="PF60">
        <v>5.94E-3</v>
      </c>
      <c r="PG60">
        <v>5.1399999999999996E-3</v>
      </c>
      <c r="PI60">
        <v>6.5500000000000003E-3</v>
      </c>
      <c r="PJ60">
        <v>6.1399999999999996E-3</v>
      </c>
      <c r="PK60">
        <v>5.7099999999999998E-3</v>
      </c>
      <c r="PL60">
        <v>5.9100000000000003E-3</v>
      </c>
      <c r="PM60">
        <v>5.13E-3</v>
      </c>
      <c r="PN60">
        <v>4.7800000000000004E-3</v>
      </c>
      <c r="PO60">
        <v>4.1900000000000001E-3</v>
      </c>
      <c r="PP60">
        <v>4.3200000000000001E-3</v>
      </c>
      <c r="PQ60">
        <v>4.9699999999999996E-3</v>
      </c>
      <c r="PR60">
        <v>4.4000000000000003E-3</v>
      </c>
      <c r="PS60">
        <v>4.4900000000000001E-3</v>
      </c>
      <c r="PT60">
        <v>4.8500000000000001E-3</v>
      </c>
      <c r="PU60">
        <v>4.5500000000000002E-3</v>
      </c>
      <c r="PV60">
        <v>2.96E-3</v>
      </c>
      <c r="PW60">
        <v>3.15E-3</v>
      </c>
      <c r="PX60">
        <v>3.2799999999999999E-3</v>
      </c>
      <c r="PY60">
        <v>3.4199999999999999E-3</v>
      </c>
      <c r="PZ60">
        <v>3.63E-3</v>
      </c>
      <c r="QA60">
        <v>3.9500000000000004E-3</v>
      </c>
      <c r="QB60">
        <v>4.3200000000000001E-3</v>
      </c>
      <c r="QC60">
        <v>5.2399999999999999E-3</v>
      </c>
      <c r="QD60">
        <v>5.4299999999999999E-3</v>
      </c>
      <c r="QE60">
        <v>4.4099999999999999E-3</v>
      </c>
      <c r="QF60">
        <v>4.8999999999999998E-3</v>
      </c>
      <c r="QG60">
        <v>6.9100000000000003E-3</v>
      </c>
      <c r="QH60">
        <v>4.79E-3</v>
      </c>
      <c r="QI60">
        <v>5.0200000000000002E-3</v>
      </c>
      <c r="QJ60">
        <v>4.7999999999999996E-3</v>
      </c>
      <c r="QK60">
        <v>4.8599999999999997E-3</v>
      </c>
      <c r="QL60">
        <v>4.7400000000000003E-3</v>
      </c>
      <c r="QN60">
        <v>8.2299999999999995E-3</v>
      </c>
      <c r="QO60">
        <v>6.1999999999999998E-3</v>
      </c>
      <c r="QP60">
        <v>7.3800000000000003E-3</v>
      </c>
      <c r="QQ60">
        <v>7.4700000000000001E-3</v>
      </c>
      <c r="QR60">
        <v>7.5599999999999999E-3</v>
      </c>
      <c r="QS60">
        <v>7.4999999999999997E-3</v>
      </c>
      <c r="QT60">
        <v>5.5399999999999998E-3</v>
      </c>
      <c r="QU60">
        <v>5.5500000000000002E-3</v>
      </c>
      <c r="QV60">
        <v>5.5399999999999998E-3</v>
      </c>
      <c r="QW60">
        <v>5.7499999999999999E-3</v>
      </c>
      <c r="QX60">
        <v>5.1700000000000001E-3</v>
      </c>
      <c r="QY60">
        <v>4.9899999999999996E-3</v>
      </c>
      <c r="QZ60">
        <v>5.3200000000000001E-3</v>
      </c>
      <c r="RA60">
        <v>5.4599999999999996E-3</v>
      </c>
      <c r="RB60">
        <v>6.1500000000000001E-3</v>
      </c>
      <c r="RC60">
        <v>5.4200000000000003E-3</v>
      </c>
      <c r="RD60">
        <v>7.11E-3</v>
      </c>
      <c r="RE60">
        <v>5.8599999999999998E-3</v>
      </c>
      <c r="RF60">
        <v>6.3200000000000001E-3</v>
      </c>
      <c r="RG60">
        <v>4.6899999999999997E-3</v>
      </c>
      <c r="RH60">
        <v>4.8799999999999998E-3</v>
      </c>
      <c r="RI60">
        <v>6.9699999999999996E-3</v>
      </c>
      <c r="RJ60">
        <v>5.7099999999999998E-3</v>
      </c>
      <c r="RK60">
        <v>5.7600000000000004E-3</v>
      </c>
      <c r="RL60">
        <v>5.4400000000000004E-3</v>
      </c>
      <c r="RM60">
        <v>4.1999999999999997E-3</v>
      </c>
      <c r="RN60">
        <v>4.3099999999999996E-3</v>
      </c>
      <c r="RO60">
        <v>4.3099999999999996E-3</v>
      </c>
      <c r="RP60">
        <v>3.98E-3</v>
      </c>
      <c r="RQ60">
        <v>4.3299999999999996E-3</v>
      </c>
      <c r="RR60">
        <v>4.13E-3</v>
      </c>
      <c r="RS60">
        <v>4.2199999999999998E-3</v>
      </c>
      <c r="RU60">
        <v>4.5900000000000003E-3</v>
      </c>
      <c r="RV60">
        <v>4.7099999999999998E-3</v>
      </c>
      <c r="RW60">
        <v>5.1999999999999998E-3</v>
      </c>
      <c r="RX60">
        <v>4.8399999999999997E-3</v>
      </c>
      <c r="RY60">
        <v>3.7599999999999999E-3</v>
      </c>
      <c r="RZ60">
        <v>4.1000000000000003E-3</v>
      </c>
      <c r="SA60">
        <v>5.0099999999999997E-3</v>
      </c>
      <c r="SB60">
        <v>4.7099999999999998E-3</v>
      </c>
      <c r="SD60">
        <v>6.2700000000000004E-3</v>
      </c>
      <c r="SE60">
        <v>5.7299999999999999E-3</v>
      </c>
      <c r="SG60">
        <v>8.0099999999999998E-3</v>
      </c>
      <c r="SH60">
        <v>1.0359999999999999E-2</v>
      </c>
      <c r="SI60">
        <v>5.5900000000000004E-3</v>
      </c>
      <c r="SJ60">
        <v>4.62E-3</v>
      </c>
      <c r="SK60">
        <v>4.0899999999999999E-3</v>
      </c>
      <c r="SL60">
        <v>4.4799999999999996E-3</v>
      </c>
      <c r="SM60">
        <v>3.63E-3</v>
      </c>
      <c r="SN60">
        <v>4.0899999999999999E-3</v>
      </c>
      <c r="SO60">
        <v>3.96E-3</v>
      </c>
      <c r="SP60">
        <v>5.7800000000000004E-3</v>
      </c>
      <c r="SQ60">
        <v>4.5999999999999999E-3</v>
      </c>
      <c r="SR60">
        <v>5.3899999999999998E-3</v>
      </c>
      <c r="SS60">
        <v>4.6800000000000001E-3</v>
      </c>
      <c r="ST60">
        <v>4.64E-3</v>
      </c>
      <c r="SU60">
        <v>4.9199999999999999E-3</v>
      </c>
      <c r="SV60">
        <v>4.7699999999999999E-3</v>
      </c>
      <c r="SW60">
        <v>5.11E-3</v>
      </c>
      <c r="SX60">
        <v>4.96E-3</v>
      </c>
      <c r="SY60">
        <v>4.5700000000000003E-3</v>
      </c>
      <c r="SZ60">
        <v>5.3699999999999998E-3</v>
      </c>
      <c r="TA60">
        <v>5.0699999999999999E-3</v>
      </c>
      <c r="TB60">
        <v>5.9699999999999996E-3</v>
      </c>
      <c r="TD60">
        <v>4.5999999999999999E-3</v>
      </c>
      <c r="TE60">
        <v>6.5300000000000002E-3</v>
      </c>
      <c r="TF60">
        <v>5.1999999999999998E-3</v>
      </c>
      <c r="TG60">
        <v>5.9500000000000004E-3</v>
      </c>
      <c r="TH60">
        <v>6.5700000000000003E-3</v>
      </c>
      <c r="TI60">
        <v>5.0499999999999998E-3</v>
      </c>
      <c r="TJ60">
        <v>6.6499999999999997E-3</v>
      </c>
      <c r="TK60">
        <v>4.1700000000000001E-3</v>
      </c>
      <c r="TL60">
        <v>3.98E-3</v>
      </c>
      <c r="TM60">
        <v>3.8600000000000001E-3</v>
      </c>
      <c r="TN60">
        <v>4.7099999999999998E-3</v>
      </c>
      <c r="TO60">
        <v>5.3699999999999998E-3</v>
      </c>
      <c r="TP60">
        <v>4.2599999999999999E-3</v>
      </c>
      <c r="TQ60">
        <v>5.2300000000000003E-3</v>
      </c>
      <c r="TR60">
        <v>5.7099999999999998E-3</v>
      </c>
      <c r="TS60">
        <v>5.3800000000000002E-3</v>
      </c>
      <c r="TT60">
        <v>5.4200000000000003E-3</v>
      </c>
      <c r="TU60">
        <v>5.1000000000000004E-3</v>
      </c>
      <c r="TV60">
        <v>4.1900000000000001E-3</v>
      </c>
      <c r="TX60">
        <v>4.9899999999999996E-3</v>
      </c>
      <c r="TY60">
        <v>5.0200000000000002E-3</v>
      </c>
      <c r="TZ60">
        <v>5.1200000000000004E-3</v>
      </c>
      <c r="UA60">
        <v>5.1500000000000001E-3</v>
      </c>
      <c r="UB60">
        <v>4.9699999999999996E-3</v>
      </c>
      <c r="UC60">
        <v>4.6299999999999996E-3</v>
      </c>
      <c r="UE60">
        <v>4.9399999999999999E-3</v>
      </c>
      <c r="UF60">
        <v>3.65E-3</v>
      </c>
      <c r="UG60">
        <v>4.28E-3</v>
      </c>
      <c r="UH60">
        <v>5.2100000000000002E-3</v>
      </c>
      <c r="UI60">
        <v>4.2500000000000003E-3</v>
      </c>
      <c r="UJ60">
        <v>5.1999999999999998E-3</v>
      </c>
      <c r="UK60">
        <v>5.0699999999999999E-3</v>
      </c>
      <c r="UL60">
        <v>5.1500000000000001E-3</v>
      </c>
      <c r="UM60">
        <v>5.7200000000000003E-3</v>
      </c>
      <c r="UN60">
        <v>4.8700000000000002E-3</v>
      </c>
      <c r="UO60">
        <v>4.8500000000000001E-3</v>
      </c>
      <c r="UP60">
        <v>6.1999999999999998E-3</v>
      </c>
      <c r="UQ60">
        <v>4.7000000000000002E-3</v>
      </c>
      <c r="UR60">
        <v>4.6699999999999997E-3</v>
      </c>
      <c r="US60">
        <v>4.9899999999999996E-3</v>
      </c>
      <c r="UT60">
        <v>4.6299999999999996E-3</v>
      </c>
      <c r="UU60">
        <v>4.7600000000000003E-3</v>
      </c>
      <c r="UV60">
        <v>5.0200000000000002E-3</v>
      </c>
      <c r="UW60">
        <v>5.5199999999999997E-3</v>
      </c>
      <c r="UX60">
        <v>4.0400000000000002E-3</v>
      </c>
      <c r="UY60">
        <v>4.4200000000000003E-3</v>
      </c>
      <c r="UZ60">
        <v>5.1900000000000002E-3</v>
      </c>
      <c r="VA60">
        <v>6.5199999999999998E-3</v>
      </c>
      <c r="VB60">
        <v>5.5900000000000004E-3</v>
      </c>
      <c r="VC60">
        <v>5.45E-3</v>
      </c>
      <c r="VD60">
        <v>5.2399999999999999E-3</v>
      </c>
      <c r="VE60">
        <v>4.3400000000000001E-3</v>
      </c>
      <c r="VF60">
        <v>5.6899999999999997E-3</v>
      </c>
      <c r="VG60">
        <v>7.9100000000000004E-3</v>
      </c>
      <c r="VH60">
        <v>4.4999999999999997E-3</v>
      </c>
      <c r="VI60">
        <v>5.0699999999999999E-3</v>
      </c>
    </row>
    <row r="61" spans="1:581" x14ac:dyDescent="0.25">
      <c r="A61">
        <v>1900000</v>
      </c>
      <c r="B61">
        <v>4.5500000000000002E-3</v>
      </c>
      <c r="D61">
        <v>5.1500000000000001E-3</v>
      </c>
      <c r="E61">
        <v>5.7499999999999999E-3</v>
      </c>
      <c r="F61">
        <v>6.1900000000000002E-3</v>
      </c>
      <c r="G61">
        <v>6.43E-3</v>
      </c>
      <c r="H61">
        <v>5.0299999999999997E-3</v>
      </c>
      <c r="I61">
        <v>4.9899999999999996E-3</v>
      </c>
      <c r="J61">
        <v>5.0499999999999998E-3</v>
      </c>
      <c r="K61">
        <v>5.0400000000000002E-3</v>
      </c>
      <c r="L61">
        <v>4.9399999999999999E-3</v>
      </c>
      <c r="M61">
        <v>4.8900000000000002E-3</v>
      </c>
      <c r="N61">
        <v>4.8900000000000002E-3</v>
      </c>
      <c r="O61">
        <v>4.5799999999999999E-3</v>
      </c>
      <c r="P61">
        <v>4.4900000000000001E-3</v>
      </c>
      <c r="Q61">
        <v>4.5300000000000002E-3</v>
      </c>
      <c r="S61">
        <v>4.7699999999999999E-3</v>
      </c>
      <c r="T61">
        <v>4.79E-3</v>
      </c>
      <c r="U61">
        <v>5.8900000000000003E-3</v>
      </c>
      <c r="V61">
        <v>4.79E-3</v>
      </c>
      <c r="W61">
        <v>5.7000000000000002E-3</v>
      </c>
      <c r="X61">
        <v>4.64E-3</v>
      </c>
      <c r="Y61">
        <v>5.64E-3</v>
      </c>
      <c r="Z61">
        <v>4.3899999999999998E-3</v>
      </c>
      <c r="AA61">
        <v>4.5399999999999998E-3</v>
      </c>
      <c r="AB61">
        <v>6.7200000000000003E-3</v>
      </c>
      <c r="AC61">
        <v>6.5300000000000002E-3</v>
      </c>
      <c r="AD61">
        <v>4.9699999999999996E-3</v>
      </c>
      <c r="AE61">
        <v>5.5399999999999998E-3</v>
      </c>
      <c r="AF61">
        <v>5.7999999999999996E-3</v>
      </c>
      <c r="AG61">
        <v>4.3200000000000001E-3</v>
      </c>
      <c r="AH61">
        <v>4.28E-3</v>
      </c>
      <c r="AI61">
        <v>4.3200000000000001E-3</v>
      </c>
      <c r="AJ61">
        <v>4.28E-3</v>
      </c>
      <c r="AK61">
        <v>5.7200000000000003E-3</v>
      </c>
      <c r="AL61">
        <v>7.1399999999999996E-3</v>
      </c>
      <c r="AM61">
        <v>4.0000000000000001E-3</v>
      </c>
      <c r="AN61">
        <v>4.7200000000000002E-3</v>
      </c>
      <c r="AO61">
        <v>9.8200000000000006E-3</v>
      </c>
      <c r="AP61">
        <v>5.0499999999999998E-3</v>
      </c>
      <c r="AQ61">
        <v>5.0299999999999997E-3</v>
      </c>
      <c r="AR61">
        <v>4.9699999999999996E-3</v>
      </c>
      <c r="AS61">
        <v>5.13E-3</v>
      </c>
      <c r="AT61">
        <v>4.0000000000000001E-3</v>
      </c>
      <c r="AU61">
        <v>4.5599999999999998E-3</v>
      </c>
      <c r="AV61">
        <v>4.1000000000000003E-3</v>
      </c>
      <c r="AW61">
        <v>4.6600000000000001E-3</v>
      </c>
      <c r="AX61">
        <v>4.6699999999999997E-3</v>
      </c>
      <c r="AY61">
        <v>5.3699999999999998E-3</v>
      </c>
      <c r="AZ61">
        <v>5.5500000000000002E-3</v>
      </c>
      <c r="BA61">
        <v>3.9300000000000003E-3</v>
      </c>
      <c r="BB61">
        <v>5.8300000000000001E-3</v>
      </c>
      <c r="BC61">
        <v>6.2599999999999999E-3</v>
      </c>
      <c r="BD61">
        <v>6.45E-3</v>
      </c>
      <c r="BE61">
        <v>7.4900000000000001E-3</v>
      </c>
      <c r="BF61">
        <v>8.9899999999999997E-3</v>
      </c>
      <c r="BG61">
        <v>5.8399999999999997E-3</v>
      </c>
      <c r="BH61">
        <v>4.8300000000000001E-3</v>
      </c>
      <c r="BI61">
        <v>8.8000000000000005E-3</v>
      </c>
      <c r="BJ61">
        <v>5.9899999999999997E-3</v>
      </c>
      <c r="BK61">
        <v>6.5100000000000002E-3</v>
      </c>
      <c r="BL61">
        <v>6.5700000000000003E-3</v>
      </c>
      <c r="BM61">
        <v>6.2599999999999999E-3</v>
      </c>
      <c r="BN61">
        <v>6.3899999999999998E-3</v>
      </c>
      <c r="BO61">
        <v>7.3099999999999997E-3</v>
      </c>
      <c r="BP61">
        <v>6.5599999999999999E-3</v>
      </c>
      <c r="BQ61">
        <v>5.8199999999999997E-3</v>
      </c>
      <c r="BR61">
        <v>3.9699999999999996E-3</v>
      </c>
      <c r="BT61">
        <v>6.3400000000000001E-3</v>
      </c>
      <c r="BU61">
        <v>8.1399999999999997E-3</v>
      </c>
      <c r="BV61">
        <v>8.1399999999999997E-3</v>
      </c>
      <c r="BW61">
        <v>7.8600000000000007E-3</v>
      </c>
      <c r="BX61">
        <v>7.6600000000000001E-3</v>
      </c>
      <c r="BY61">
        <v>7.8100000000000001E-3</v>
      </c>
      <c r="BZ61">
        <v>6.77E-3</v>
      </c>
      <c r="CA61">
        <v>6.9499999999999996E-3</v>
      </c>
      <c r="CB61">
        <v>5.9100000000000003E-3</v>
      </c>
      <c r="CC61">
        <v>6.2500000000000003E-3</v>
      </c>
      <c r="CD61">
        <v>5.0099999999999997E-3</v>
      </c>
      <c r="CE61">
        <v>5.2900000000000004E-3</v>
      </c>
      <c r="CF61">
        <v>5.1000000000000004E-3</v>
      </c>
      <c r="CG61">
        <v>4.8399999999999997E-3</v>
      </c>
      <c r="CH61">
        <v>4.6499999999999996E-3</v>
      </c>
      <c r="CI61">
        <v>4.47E-3</v>
      </c>
      <c r="CJ61">
        <v>4.2700000000000004E-3</v>
      </c>
      <c r="CK61">
        <v>4.4900000000000001E-3</v>
      </c>
      <c r="CL61">
        <v>5.2700000000000004E-3</v>
      </c>
      <c r="CM61">
        <v>5.3099999999999996E-3</v>
      </c>
      <c r="CN61">
        <v>5.5100000000000001E-3</v>
      </c>
      <c r="CO61">
        <v>5.3699999999999998E-3</v>
      </c>
      <c r="CP61">
        <v>5.64E-3</v>
      </c>
      <c r="CQ61">
        <v>5.3699999999999998E-3</v>
      </c>
      <c r="CR61">
        <v>5.4599999999999996E-3</v>
      </c>
      <c r="CS61">
        <v>5.7499999999999999E-3</v>
      </c>
      <c r="CT61">
        <v>6.1000000000000004E-3</v>
      </c>
      <c r="CU61">
        <v>4.9899999999999996E-3</v>
      </c>
      <c r="CV61">
        <v>4.9800000000000001E-3</v>
      </c>
      <c r="CW61">
        <v>5.1700000000000001E-3</v>
      </c>
      <c r="CX61">
        <v>5.2900000000000004E-3</v>
      </c>
      <c r="CY61">
        <v>4.5100000000000001E-3</v>
      </c>
      <c r="CZ61">
        <v>4.64E-3</v>
      </c>
      <c r="DA61">
        <v>4.7600000000000003E-3</v>
      </c>
      <c r="DB61">
        <v>4.6800000000000001E-3</v>
      </c>
      <c r="DC61">
        <v>4.6499999999999996E-3</v>
      </c>
      <c r="DD61">
        <v>4.6299999999999996E-3</v>
      </c>
      <c r="DE61">
        <v>4.62E-3</v>
      </c>
      <c r="DF61">
        <v>5.6600000000000001E-3</v>
      </c>
      <c r="DG61">
        <v>4.0000000000000001E-3</v>
      </c>
      <c r="DH61">
        <v>5.1500000000000001E-3</v>
      </c>
      <c r="DI61">
        <v>5.1599999999999997E-3</v>
      </c>
      <c r="DJ61">
        <v>5.2900000000000004E-3</v>
      </c>
      <c r="DK61">
        <v>5.3899999999999998E-3</v>
      </c>
      <c r="DL61">
        <v>5.5100000000000001E-3</v>
      </c>
      <c r="DM61">
        <v>7.45E-3</v>
      </c>
      <c r="DN61">
        <v>6.1399999999999996E-3</v>
      </c>
      <c r="DO61">
        <v>7.5100000000000002E-3</v>
      </c>
      <c r="DP61">
        <v>7.8200000000000006E-3</v>
      </c>
      <c r="DQ61">
        <v>7.6800000000000002E-3</v>
      </c>
      <c r="DR61">
        <v>5.7999999999999996E-3</v>
      </c>
      <c r="DS61">
        <v>5.2300000000000003E-3</v>
      </c>
      <c r="DU61">
        <v>7.7400000000000004E-3</v>
      </c>
      <c r="DV61">
        <v>8.0599999999999995E-3</v>
      </c>
      <c r="DX61">
        <v>7.6899999999999998E-3</v>
      </c>
      <c r="DY61">
        <v>8.5199999999999998E-3</v>
      </c>
      <c r="DZ61">
        <v>8.2199999999999999E-3</v>
      </c>
      <c r="EA61">
        <v>4.64E-3</v>
      </c>
      <c r="EB61">
        <v>4.62E-3</v>
      </c>
      <c r="EC61">
        <v>4.3200000000000001E-3</v>
      </c>
      <c r="EF61">
        <v>9.8700000000000003E-3</v>
      </c>
      <c r="EI61">
        <v>5.6899999999999997E-3</v>
      </c>
      <c r="EJ61">
        <v>5.3099999999999996E-3</v>
      </c>
      <c r="EK61">
        <v>5.1599999999999997E-3</v>
      </c>
      <c r="EM61">
        <v>5.6600000000000001E-3</v>
      </c>
      <c r="EN61">
        <v>5.77E-3</v>
      </c>
      <c r="EO61">
        <v>5.79E-3</v>
      </c>
      <c r="EQ61">
        <v>6.1999999999999998E-3</v>
      </c>
      <c r="ER61">
        <v>4.4400000000000004E-3</v>
      </c>
      <c r="ES61">
        <v>4.45E-3</v>
      </c>
      <c r="ET61">
        <v>4.2599999999999999E-3</v>
      </c>
      <c r="EU61">
        <v>8.9200000000000008E-3</v>
      </c>
      <c r="EV61">
        <v>8.2299999999999995E-3</v>
      </c>
      <c r="EW61">
        <v>7.77E-3</v>
      </c>
      <c r="EX61">
        <v>7.8100000000000001E-3</v>
      </c>
      <c r="EY61">
        <v>6.7000000000000002E-3</v>
      </c>
      <c r="EZ61">
        <v>6.6899999999999998E-3</v>
      </c>
      <c r="FA61">
        <v>5.1000000000000004E-3</v>
      </c>
      <c r="FB61">
        <v>5.5999999999999999E-3</v>
      </c>
      <c r="FC61">
        <v>4.7299999999999998E-3</v>
      </c>
      <c r="FD61">
        <v>4.7099999999999998E-3</v>
      </c>
      <c r="FE61">
        <v>5.4900000000000001E-3</v>
      </c>
      <c r="FG61">
        <v>7.8100000000000001E-3</v>
      </c>
      <c r="FH61">
        <v>7.9100000000000004E-3</v>
      </c>
      <c r="FI61">
        <v>7.7600000000000004E-3</v>
      </c>
      <c r="FJ61">
        <v>7.8399999999999997E-3</v>
      </c>
      <c r="FK61">
        <v>6.9100000000000003E-3</v>
      </c>
      <c r="FL61">
        <v>4.5900000000000003E-3</v>
      </c>
      <c r="FN61">
        <v>5.0299999999999997E-3</v>
      </c>
      <c r="FO61">
        <v>4.7000000000000002E-3</v>
      </c>
      <c r="FP61">
        <v>4.3200000000000001E-3</v>
      </c>
      <c r="FQ61">
        <v>5.3899999999999998E-3</v>
      </c>
      <c r="FR61">
        <v>8.8500000000000002E-3</v>
      </c>
      <c r="FS61">
        <v>5.6899999999999997E-3</v>
      </c>
      <c r="FT61">
        <v>5.7000000000000002E-3</v>
      </c>
      <c r="FV61">
        <v>5.8399999999999997E-3</v>
      </c>
      <c r="FW61">
        <v>5.6600000000000001E-3</v>
      </c>
      <c r="FX61">
        <v>5.8100000000000001E-3</v>
      </c>
      <c r="FY61">
        <v>6.1599999999999997E-3</v>
      </c>
      <c r="FZ61">
        <v>6.0800000000000003E-3</v>
      </c>
      <c r="GA61">
        <v>6.3899999999999998E-3</v>
      </c>
      <c r="GB61">
        <v>6.28E-3</v>
      </c>
      <c r="GC61">
        <v>6.6499999999999997E-3</v>
      </c>
      <c r="GD61">
        <v>6.3400000000000001E-3</v>
      </c>
      <c r="GE61">
        <v>6.7999999999999996E-3</v>
      </c>
      <c r="GF61">
        <v>5.9899999999999997E-3</v>
      </c>
      <c r="GG61">
        <v>6.0699999999999999E-3</v>
      </c>
      <c r="GH61">
        <v>6.1399999999999996E-3</v>
      </c>
      <c r="GI61">
        <v>6.8900000000000003E-3</v>
      </c>
      <c r="GJ61">
        <v>7.0200000000000002E-3</v>
      </c>
      <c r="GL61">
        <v>7.3699999999999998E-3</v>
      </c>
      <c r="GM61">
        <v>6.5799999999999999E-3</v>
      </c>
      <c r="GO61">
        <v>6.1199999999999996E-3</v>
      </c>
      <c r="GP61">
        <v>5.0299999999999997E-3</v>
      </c>
      <c r="GQ61">
        <v>5.45E-3</v>
      </c>
      <c r="GR61">
        <v>5.4900000000000001E-3</v>
      </c>
      <c r="GS61">
        <v>5.0000000000000001E-3</v>
      </c>
      <c r="GT61">
        <v>5.5199999999999997E-3</v>
      </c>
      <c r="GU61">
        <v>6.9300000000000004E-3</v>
      </c>
      <c r="GV61">
        <v>7.6499999999999997E-3</v>
      </c>
      <c r="GW61">
        <v>7.1700000000000002E-3</v>
      </c>
      <c r="GX61">
        <v>6.8799999999999998E-3</v>
      </c>
      <c r="GY61">
        <v>6.0699999999999999E-3</v>
      </c>
      <c r="GZ61">
        <v>5.7400000000000003E-3</v>
      </c>
      <c r="HA61">
        <v>4.8999999999999998E-3</v>
      </c>
      <c r="HB61">
        <v>4.6899999999999997E-3</v>
      </c>
      <c r="HC61">
        <v>7.3099999999999997E-3</v>
      </c>
      <c r="HD61">
        <v>3.6700000000000001E-3</v>
      </c>
      <c r="HE61">
        <v>6.6699999999999997E-3</v>
      </c>
      <c r="HF61">
        <v>7.4900000000000001E-3</v>
      </c>
      <c r="HG61">
        <v>7.8100000000000001E-3</v>
      </c>
      <c r="HH61">
        <v>7.8100000000000001E-3</v>
      </c>
      <c r="HI61">
        <v>7.9399999999999991E-3</v>
      </c>
      <c r="HJ61">
        <v>4.3600000000000002E-3</v>
      </c>
      <c r="HK61">
        <v>5.0099999999999997E-3</v>
      </c>
      <c r="HL61">
        <v>5.64E-3</v>
      </c>
      <c r="HM61">
        <v>5.3899999999999998E-3</v>
      </c>
      <c r="HN61">
        <v>5.5300000000000002E-3</v>
      </c>
      <c r="HO61">
        <v>5.0000000000000001E-3</v>
      </c>
      <c r="HP61">
        <v>4.7400000000000003E-3</v>
      </c>
      <c r="HQ61">
        <v>4.7999999999999996E-3</v>
      </c>
      <c r="HR61">
        <v>5.4200000000000003E-3</v>
      </c>
      <c r="HS61">
        <v>8.8199999999999997E-3</v>
      </c>
      <c r="HT61">
        <v>4.3800000000000002E-3</v>
      </c>
      <c r="HU61">
        <v>4.8599999999999997E-3</v>
      </c>
      <c r="HV61">
        <v>6.0099999999999997E-3</v>
      </c>
      <c r="HW61">
        <v>5.0000000000000001E-3</v>
      </c>
      <c r="HX61">
        <v>4.9800000000000001E-3</v>
      </c>
      <c r="HY61">
        <v>5.1799999999999997E-3</v>
      </c>
      <c r="HZ61">
        <v>3.9399999999999999E-3</v>
      </c>
      <c r="IA61">
        <v>6.0800000000000003E-3</v>
      </c>
      <c r="IB61">
        <v>7.7299999999999999E-3</v>
      </c>
      <c r="IC61">
        <v>6.7999999999999996E-3</v>
      </c>
      <c r="ID61">
        <v>4.4900000000000001E-3</v>
      </c>
      <c r="IE61">
        <v>4.2100000000000002E-3</v>
      </c>
      <c r="IF61">
        <v>4.2500000000000003E-3</v>
      </c>
      <c r="IG61">
        <v>5.1700000000000001E-3</v>
      </c>
      <c r="IH61">
        <v>5.4299999999999999E-3</v>
      </c>
      <c r="II61">
        <v>4.1000000000000003E-3</v>
      </c>
      <c r="IJ61">
        <v>5.11E-3</v>
      </c>
      <c r="IK61">
        <v>5.7200000000000003E-3</v>
      </c>
      <c r="IL61">
        <v>6.3E-3</v>
      </c>
      <c r="IM61">
        <v>7.26E-3</v>
      </c>
      <c r="IN61">
        <v>7.5799999999999999E-3</v>
      </c>
      <c r="IO61">
        <v>8.3199999999999993E-3</v>
      </c>
      <c r="IP61">
        <v>9.2499999999999995E-3</v>
      </c>
      <c r="IQ61">
        <v>1.0059999999999999E-2</v>
      </c>
      <c r="IR61">
        <v>1.0840000000000001E-2</v>
      </c>
      <c r="IS61">
        <v>4.9800000000000001E-3</v>
      </c>
      <c r="IT61">
        <v>3.5899999999999999E-3</v>
      </c>
      <c r="IU61">
        <v>3.8600000000000001E-3</v>
      </c>
      <c r="IV61">
        <v>4.1999999999999997E-3</v>
      </c>
      <c r="IW61">
        <v>4.7000000000000002E-3</v>
      </c>
      <c r="IX61">
        <v>3.5400000000000002E-3</v>
      </c>
      <c r="IY61">
        <v>4.3400000000000001E-3</v>
      </c>
      <c r="IZ61">
        <v>3.9199999999999999E-3</v>
      </c>
      <c r="JA61">
        <v>4.4000000000000003E-3</v>
      </c>
      <c r="JB61">
        <v>4.4799999999999996E-3</v>
      </c>
      <c r="JC61">
        <v>4.8300000000000001E-3</v>
      </c>
      <c r="JD61">
        <v>5.0600000000000003E-3</v>
      </c>
      <c r="JE61">
        <v>4.3499999999999997E-3</v>
      </c>
      <c r="JF61">
        <v>7.1500000000000001E-3</v>
      </c>
      <c r="JG61">
        <v>9.5700000000000004E-3</v>
      </c>
      <c r="JH61">
        <v>8.8800000000000007E-3</v>
      </c>
      <c r="JI61">
        <v>5.3499999999999997E-3</v>
      </c>
      <c r="JJ61">
        <v>5.11E-3</v>
      </c>
      <c r="JK61">
        <v>8.0099999999999998E-3</v>
      </c>
      <c r="JL61">
        <v>7.2500000000000004E-3</v>
      </c>
      <c r="JM61">
        <v>5.1799999999999997E-3</v>
      </c>
      <c r="JN61">
        <v>5.8199999999999997E-3</v>
      </c>
      <c r="JP61">
        <v>4.4000000000000003E-3</v>
      </c>
      <c r="JQ61">
        <v>5.6699999999999997E-3</v>
      </c>
      <c r="JR61">
        <v>5.4099999999999999E-3</v>
      </c>
      <c r="JS61">
        <v>4.9899999999999996E-3</v>
      </c>
      <c r="JT61">
        <v>5.8900000000000003E-3</v>
      </c>
      <c r="JU61">
        <v>7.5399999999999998E-3</v>
      </c>
      <c r="JV61">
        <v>7.3600000000000002E-3</v>
      </c>
      <c r="JW61">
        <v>5.28E-3</v>
      </c>
      <c r="JX61">
        <v>5.1599999999999997E-3</v>
      </c>
      <c r="JY61">
        <v>6.1700000000000001E-3</v>
      </c>
      <c r="JZ61">
        <v>5.9500000000000004E-3</v>
      </c>
      <c r="KA61">
        <v>5.7099999999999998E-3</v>
      </c>
      <c r="KC61">
        <v>5.4799999999999996E-3</v>
      </c>
      <c r="KD61">
        <v>5.7999999999999996E-3</v>
      </c>
      <c r="KE61">
        <v>8.3999999999999995E-3</v>
      </c>
      <c r="KF61">
        <v>1.027E-2</v>
      </c>
      <c r="KG61">
        <v>1.0869999999999999E-2</v>
      </c>
      <c r="KH61">
        <v>1.0959999999999999E-2</v>
      </c>
      <c r="KI61">
        <v>6.3699999999999998E-3</v>
      </c>
      <c r="KJ61">
        <v>6.4599999999999996E-3</v>
      </c>
      <c r="KK61">
        <v>6.3800000000000003E-3</v>
      </c>
      <c r="KL61">
        <v>6.8700000000000002E-3</v>
      </c>
      <c r="KM61">
        <v>6.9300000000000004E-3</v>
      </c>
      <c r="KN61">
        <v>6.7999999999999996E-3</v>
      </c>
      <c r="KO61">
        <v>6.6800000000000002E-3</v>
      </c>
      <c r="KP61">
        <v>6.4000000000000003E-3</v>
      </c>
      <c r="KQ61">
        <v>6.4999999999999997E-3</v>
      </c>
      <c r="KR61">
        <v>6.5799999999999999E-3</v>
      </c>
      <c r="KS61">
        <v>6.3200000000000001E-3</v>
      </c>
      <c r="KT61">
        <v>6.5700000000000003E-3</v>
      </c>
      <c r="KU61">
        <v>6.8100000000000001E-3</v>
      </c>
      <c r="KV61">
        <v>5.9500000000000004E-3</v>
      </c>
      <c r="KW61">
        <v>5.1999999999999998E-3</v>
      </c>
      <c r="KX61">
        <v>1.0330000000000001E-2</v>
      </c>
      <c r="KY61">
        <v>7.3099999999999997E-3</v>
      </c>
      <c r="KZ61">
        <v>8.1099999999999992E-3</v>
      </c>
      <c r="LA61">
        <v>5.1799999999999997E-3</v>
      </c>
      <c r="LB61">
        <v>5.1700000000000001E-3</v>
      </c>
      <c r="LC61">
        <v>5.1799999999999997E-3</v>
      </c>
      <c r="LD61">
        <v>5.1799999999999997E-3</v>
      </c>
      <c r="LE61">
        <v>8.3199999999999993E-3</v>
      </c>
      <c r="LF61">
        <v>7.4099999999999999E-3</v>
      </c>
      <c r="LG61">
        <v>5.6899999999999997E-3</v>
      </c>
      <c r="LI61">
        <v>8.2000000000000007E-3</v>
      </c>
      <c r="LJ61">
        <v>8.6400000000000001E-3</v>
      </c>
      <c r="LK61">
        <v>8.6599999999999993E-3</v>
      </c>
      <c r="LL61">
        <v>5.4400000000000004E-3</v>
      </c>
      <c r="LM61">
        <v>4.0000000000000001E-3</v>
      </c>
      <c r="LN61">
        <v>4.8500000000000001E-3</v>
      </c>
      <c r="LO61">
        <v>5.0099999999999997E-3</v>
      </c>
      <c r="LP61">
        <v>4.4999999999999997E-3</v>
      </c>
      <c r="LR61">
        <v>7.9799999999999992E-3</v>
      </c>
      <c r="LS61">
        <v>8.9999999999999993E-3</v>
      </c>
      <c r="LT61">
        <v>4.7400000000000003E-3</v>
      </c>
      <c r="LU61">
        <v>5.62E-3</v>
      </c>
      <c r="LV61">
        <v>6.0499999999999998E-3</v>
      </c>
      <c r="LW61">
        <v>4.8599999999999997E-3</v>
      </c>
      <c r="LX61">
        <v>5.4999999999999997E-3</v>
      </c>
      <c r="LY61">
        <v>6.1599999999999997E-3</v>
      </c>
      <c r="MA61">
        <v>6.5100000000000002E-3</v>
      </c>
      <c r="MB61">
        <v>4.5799999999999999E-3</v>
      </c>
      <c r="MC61">
        <v>7.79E-3</v>
      </c>
      <c r="MD61">
        <v>8.8100000000000001E-3</v>
      </c>
      <c r="ME61">
        <v>1.089E-2</v>
      </c>
      <c r="MF61">
        <v>1.3010000000000001E-2</v>
      </c>
      <c r="MG61">
        <v>1.324E-2</v>
      </c>
      <c r="MH61">
        <v>4.6499999999999996E-3</v>
      </c>
      <c r="MI61">
        <v>4.8300000000000001E-3</v>
      </c>
      <c r="MJ61">
        <v>4.8599999999999997E-3</v>
      </c>
      <c r="MK61">
        <v>4.5599999999999998E-3</v>
      </c>
      <c r="ML61">
        <v>5.5999999999999999E-3</v>
      </c>
      <c r="MM61">
        <v>4.5999999999999999E-3</v>
      </c>
      <c r="MN61">
        <v>4.8199999999999996E-3</v>
      </c>
      <c r="MO61">
        <v>5.11E-3</v>
      </c>
      <c r="MP61">
        <v>6.3099999999999996E-3</v>
      </c>
      <c r="MQ61">
        <v>3.8500000000000001E-3</v>
      </c>
      <c r="MR61">
        <v>5.1900000000000002E-3</v>
      </c>
      <c r="MS61">
        <v>5.2599999999999999E-3</v>
      </c>
      <c r="MT61">
        <v>6.62E-3</v>
      </c>
      <c r="MU61">
        <v>4.7699999999999999E-3</v>
      </c>
      <c r="MV61">
        <v>5.0499999999999998E-3</v>
      </c>
      <c r="MW61">
        <v>5.2300000000000003E-3</v>
      </c>
      <c r="MX61">
        <v>5.3E-3</v>
      </c>
      <c r="MY61">
        <v>5.7000000000000002E-3</v>
      </c>
      <c r="MZ61">
        <v>6.3600000000000002E-3</v>
      </c>
      <c r="NA61">
        <v>5.7099999999999998E-3</v>
      </c>
      <c r="NB61">
        <v>5.4400000000000004E-3</v>
      </c>
      <c r="NC61">
        <v>3.3800000000000002E-3</v>
      </c>
      <c r="ND61">
        <v>1.1780000000000001E-2</v>
      </c>
      <c r="NE61">
        <v>5.8500000000000002E-3</v>
      </c>
      <c r="NF61">
        <v>6.7299999999999999E-3</v>
      </c>
      <c r="NG61">
        <v>4.3600000000000002E-3</v>
      </c>
      <c r="NH61">
        <v>3.81E-3</v>
      </c>
      <c r="NI61">
        <v>4.0400000000000002E-3</v>
      </c>
      <c r="NJ61">
        <v>4.3600000000000002E-3</v>
      </c>
      <c r="NK61">
        <v>4.0000000000000001E-3</v>
      </c>
      <c r="NL61">
        <v>4.1900000000000001E-3</v>
      </c>
      <c r="NM61">
        <v>4.3800000000000002E-3</v>
      </c>
      <c r="NN61">
        <v>4.5399999999999998E-3</v>
      </c>
      <c r="NO61">
        <v>4.7099999999999998E-3</v>
      </c>
      <c r="NP61">
        <v>4.47E-3</v>
      </c>
      <c r="NQ61">
        <v>4.0499999999999998E-3</v>
      </c>
      <c r="NR61">
        <v>4.28E-3</v>
      </c>
      <c r="NS61">
        <v>4.4299999999999999E-3</v>
      </c>
      <c r="NT61">
        <v>4.7499999999999999E-3</v>
      </c>
      <c r="NU61">
        <v>4.1099999999999999E-3</v>
      </c>
      <c r="NV61">
        <v>4.2700000000000004E-3</v>
      </c>
      <c r="NW61">
        <v>4.3899999999999998E-3</v>
      </c>
      <c r="NX61">
        <v>4.2900000000000004E-3</v>
      </c>
      <c r="NY61">
        <v>4.47E-3</v>
      </c>
      <c r="NZ61">
        <v>4.5799999999999999E-3</v>
      </c>
      <c r="OA61">
        <v>4.7499999999999999E-3</v>
      </c>
      <c r="OB61">
        <v>4.2700000000000004E-3</v>
      </c>
      <c r="OC61">
        <v>4.3099999999999996E-3</v>
      </c>
      <c r="OD61">
        <v>4.3099999999999996E-3</v>
      </c>
      <c r="OE61">
        <v>4.3099999999999996E-3</v>
      </c>
      <c r="OF61">
        <v>6.2399999999999999E-3</v>
      </c>
      <c r="OG61">
        <v>4.5700000000000003E-3</v>
      </c>
      <c r="OH61">
        <v>4.7499999999999999E-3</v>
      </c>
      <c r="OI61">
        <v>4.8300000000000001E-3</v>
      </c>
      <c r="OJ61">
        <v>5.0099999999999997E-3</v>
      </c>
      <c r="OK61">
        <v>5.0800000000000003E-3</v>
      </c>
      <c r="OL61">
        <v>5.2199999999999998E-3</v>
      </c>
      <c r="OM61">
        <v>5.6299999999999996E-3</v>
      </c>
      <c r="ON61">
        <v>5.62E-3</v>
      </c>
      <c r="OO61">
        <v>4.64E-3</v>
      </c>
      <c r="OP61">
        <v>4.9100000000000003E-3</v>
      </c>
      <c r="OQ61">
        <v>5.0499999999999998E-3</v>
      </c>
      <c r="OR61">
        <v>5.4000000000000003E-3</v>
      </c>
      <c r="OS61">
        <v>5.8399999999999997E-3</v>
      </c>
      <c r="OT61">
        <v>5.7499999999999999E-3</v>
      </c>
      <c r="OU61">
        <v>5.96E-3</v>
      </c>
      <c r="OV61">
        <v>5.13E-3</v>
      </c>
      <c r="OW61">
        <v>4.3099999999999996E-3</v>
      </c>
      <c r="OX61">
        <v>5.3400000000000001E-3</v>
      </c>
      <c r="OY61">
        <v>5.5500000000000002E-3</v>
      </c>
      <c r="OZ61">
        <v>5.2199999999999998E-3</v>
      </c>
      <c r="PA61">
        <v>7.9299999999999995E-3</v>
      </c>
      <c r="PB61">
        <v>8.2900000000000005E-3</v>
      </c>
      <c r="PC61">
        <v>7.0899999999999999E-3</v>
      </c>
      <c r="PD61">
        <v>6.3E-3</v>
      </c>
      <c r="PE61">
        <v>5.9699999999999996E-3</v>
      </c>
      <c r="PF61">
        <v>5.9300000000000004E-3</v>
      </c>
      <c r="PG61">
        <v>5.1500000000000001E-3</v>
      </c>
      <c r="PH61">
        <v>5.3299999999999997E-3</v>
      </c>
      <c r="PI61">
        <v>6.5199999999999998E-3</v>
      </c>
      <c r="PJ61">
        <v>6.11E-3</v>
      </c>
      <c r="PK61">
        <v>5.6899999999999997E-3</v>
      </c>
      <c r="PL61">
        <v>5.9100000000000003E-3</v>
      </c>
      <c r="PM61">
        <v>5.1200000000000004E-3</v>
      </c>
      <c r="PP61">
        <v>4.28E-3</v>
      </c>
      <c r="PQ61">
        <v>4.9699999999999996E-3</v>
      </c>
      <c r="PR61">
        <v>4.4200000000000003E-3</v>
      </c>
      <c r="PS61">
        <v>4.4600000000000004E-3</v>
      </c>
      <c r="PT61">
        <v>4.8799999999999998E-3</v>
      </c>
      <c r="PU61">
        <v>4.5900000000000003E-3</v>
      </c>
      <c r="PV61">
        <v>2.9299999999999999E-3</v>
      </c>
      <c r="PW61">
        <v>3.1199999999999999E-3</v>
      </c>
      <c r="PX61">
        <v>3.2399999999999998E-3</v>
      </c>
      <c r="PY61">
        <v>3.3600000000000001E-3</v>
      </c>
      <c r="PZ61">
        <v>3.5699999999999998E-3</v>
      </c>
      <c r="QA61">
        <v>3.96E-3</v>
      </c>
      <c r="QB61">
        <v>4.3200000000000001E-3</v>
      </c>
      <c r="QD61">
        <v>5.4299999999999999E-3</v>
      </c>
      <c r="QE61">
        <v>4.4099999999999999E-3</v>
      </c>
      <c r="QF61">
        <v>4.8999999999999998E-3</v>
      </c>
      <c r="QG61">
        <v>6.8900000000000003E-3</v>
      </c>
      <c r="QI61">
        <v>5.0099999999999997E-3</v>
      </c>
      <c r="QJ61">
        <v>4.79E-3</v>
      </c>
      <c r="QK61">
        <v>4.8599999999999997E-3</v>
      </c>
      <c r="QM61">
        <v>5.2399999999999999E-3</v>
      </c>
      <c r="QN61">
        <v>8.2299999999999995E-3</v>
      </c>
      <c r="QO61">
        <v>6.2300000000000003E-3</v>
      </c>
      <c r="QP61">
        <v>7.3699999999999998E-3</v>
      </c>
      <c r="QR61">
        <v>7.5300000000000002E-3</v>
      </c>
      <c r="QS61">
        <v>7.4700000000000001E-3</v>
      </c>
      <c r="QT61">
        <v>5.5199999999999997E-3</v>
      </c>
      <c r="QU61">
        <v>5.5199999999999997E-3</v>
      </c>
      <c r="QV61">
        <v>5.5100000000000001E-3</v>
      </c>
      <c r="QW61">
        <v>5.7299999999999999E-3</v>
      </c>
      <c r="QX61">
        <v>5.1599999999999997E-3</v>
      </c>
      <c r="QY61">
        <v>4.9800000000000001E-3</v>
      </c>
      <c r="QZ61">
        <v>5.3099999999999996E-3</v>
      </c>
      <c r="RA61">
        <v>5.4099999999999999E-3</v>
      </c>
      <c r="RB61">
        <v>6.1000000000000004E-3</v>
      </c>
      <c r="RC61">
        <v>5.3800000000000002E-3</v>
      </c>
      <c r="RD61">
        <v>6.94E-3</v>
      </c>
      <c r="RE61">
        <v>5.7499999999999999E-3</v>
      </c>
      <c r="RF61">
        <v>6.2700000000000004E-3</v>
      </c>
      <c r="RG61">
        <v>4.6600000000000001E-3</v>
      </c>
      <c r="RH61">
        <v>4.8599999999999997E-3</v>
      </c>
      <c r="RI61">
        <v>6.96E-3</v>
      </c>
      <c r="RJ61">
        <v>5.6499999999999996E-3</v>
      </c>
      <c r="RK61">
        <v>5.7000000000000002E-3</v>
      </c>
      <c r="RL61">
        <v>5.4000000000000003E-3</v>
      </c>
      <c r="RM61">
        <v>4.1900000000000001E-3</v>
      </c>
      <c r="RN61">
        <v>4.2900000000000004E-3</v>
      </c>
      <c r="RO61">
        <v>4.2900000000000004E-3</v>
      </c>
      <c r="RP61">
        <v>3.98E-3</v>
      </c>
      <c r="RQ61">
        <v>4.3299999999999996E-3</v>
      </c>
      <c r="RS61">
        <v>4.2199999999999998E-3</v>
      </c>
      <c r="RT61">
        <v>3.5999999999999999E-3</v>
      </c>
      <c r="RU61">
        <v>4.6100000000000004E-3</v>
      </c>
      <c r="RV61">
        <v>4.6899999999999997E-3</v>
      </c>
      <c r="RW61">
        <v>5.1700000000000001E-3</v>
      </c>
      <c r="RX61">
        <v>4.8300000000000001E-3</v>
      </c>
      <c r="RY61">
        <v>3.8400000000000001E-3</v>
      </c>
      <c r="RZ61">
        <v>4.0499999999999998E-3</v>
      </c>
      <c r="SA61">
        <v>4.9199999999999999E-3</v>
      </c>
      <c r="SB61">
        <v>4.6499999999999996E-3</v>
      </c>
      <c r="SC61">
        <v>5.77E-3</v>
      </c>
      <c r="SD61">
        <v>6.2500000000000003E-3</v>
      </c>
      <c r="SE61">
        <v>5.7000000000000002E-3</v>
      </c>
      <c r="SF61">
        <v>6.4999999999999997E-3</v>
      </c>
      <c r="SG61">
        <v>7.9699999999999997E-3</v>
      </c>
      <c r="SH61">
        <v>1.031E-2</v>
      </c>
      <c r="SI61">
        <v>5.5700000000000003E-3</v>
      </c>
      <c r="SJ61">
        <v>4.6100000000000004E-3</v>
      </c>
      <c r="SL61">
        <v>4.47E-3</v>
      </c>
      <c r="SM61">
        <v>3.62E-3</v>
      </c>
      <c r="SN61">
        <v>4.0899999999999999E-3</v>
      </c>
      <c r="SO61">
        <v>3.9699999999999996E-3</v>
      </c>
      <c r="SP61">
        <v>5.77E-3</v>
      </c>
      <c r="SQ61">
        <v>4.5900000000000003E-3</v>
      </c>
      <c r="SR61">
        <v>5.3800000000000002E-3</v>
      </c>
      <c r="ST61">
        <v>4.64E-3</v>
      </c>
      <c r="SV61">
        <v>4.7699999999999999E-3</v>
      </c>
      <c r="SW61">
        <v>5.11E-3</v>
      </c>
      <c r="SX61">
        <v>4.9500000000000004E-3</v>
      </c>
      <c r="SY61">
        <v>4.5700000000000003E-3</v>
      </c>
      <c r="SZ61">
        <v>5.3499999999999997E-3</v>
      </c>
      <c r="TA61">
        <v>5.0600000000000003E-3</v>
      </c>
      <c r="TB61">
        <v>5.96E-3</v>
      </c>
      <c r="TC61">
        <v>4.8900000000000002E-3</v>
      </c>
      <c r="TD61">
        <v>4.5799999999999999E-3</v>
      </c>
      <c r="TE61">
        <v>6.4999999999999997E-3</v>
      </c>
      <c r="TF61">
        <v>5.1700000000000001E-3</v>
      </c>
      <c r="TG61">
        <v>5.94E-3</v>
      </c>
      <c r="TH61">
        <v>6.5399999999999998E-3</v>
      </c>
      <c r="TI61">
        <v>5.0600000000000003E-3</v>
      </c>
      <c r="TJ61">
        <v>6.62E-3</v>
      </c>
      <c r="TK61">
        <v>4.1599999999999996E-3</v>
      </c>
      <c r="TL61">
        <v>3.98E-3</v>
      </c>
      <c r="TM61">
        <v>3.8700000000000002E-3</v>
      </c>
      <c r="TN61">
        <v>4.7000000000000002E-3</v>
      </c>
      <c r="TO61">
        <v>5.3699999999999998E-3</v>
      </c>
      <c r="TP61">
        <v>4.2700000000000004E-3</v>
      </c>
      <c r="TQ61">
        <v>5.2199999999999998E-3</v>
      </c>
      <c r="TR61">
        <v>5.6800000000000002E-3</v>
      </c>
      <c r="TS61">
        <v>5.3499999999999997E-3</v>
      </c>
      <c r="TT61">
        <v>5.3800000000000002E-3</v>
      </c>
      <c r="TU61">
        <v>5.0699999999999999E-3</v>
      </c>
      <c r="TV61">
        <v>4.1700000000000001E-3</v>
      </c>
      <c r="TW61">
        <v>4.5300000000000002E-3</v>
      </c>
      <c r="TX61">
        <v>5.0000000000000001E-3</v>
      </c>
      <c r="TY61">
        <v>5.0299999999999997E-3</v>
      </c>
      <c r="TZ61">
        <v>5.13E-3</v>
      </c>
      <c r="UA61">
        <v>5.1599999999999997E-3</v>
      </c>
      <c r="UB61">
        <v>4.9699999999999996E-3</v>
      </c>
      <c r="UC61">
        <v>4.6299999999999996E-3</v>
      </c>
      <c r="UD61">
        <v>4.7200000000000002E-3</v>
      </c>
      <c r="UE61">
        <v>4.9500000000000004E-3</v>
      </c>
      <c r="UF61">
        <v>3.64E-3</v>
      </c>
      <c r="UG61">
        <v>4.28E-3</v>
      </c>
      <c r="UH61">
        <v>5.2100000000000002E-3</v>
      </c>
      <c r="UI61">
        <v>4.2300000000000003E-3</v>
      </c>
      <c r="UJ61">
        <v>5.1900000000000002E-3</v>
      </c>
      <c r="UK61">
        <v>5.0699999999999999E-3</v>
      </c>
      <c r="UL61">
        <v>5.1399999999999996E-3</v>
      </c>
      <c r="UM61">
        <v>5.7099999999999998E-3</v>
      </c>
      <c r="UN61">
        <v>4.8700000000000002E-3</v>
      </c>
      <c r="UO61">
        <v>4.8399999999999997E-3</v>
      </c>
      <c r="UP61">
        <v>6.1700000000000001E-3</v>
      </c>
      <c r="UQ61">
        <v>4.7099999999999998E-3</v>
      </c>
      <c r="UR61">
        <v>4.6800000000000001E-3</v>
      </c>
      <c r="US61">
        <v>5.0000000000000001E-3</v>
      </c>
      <c r="UT61">
        <v>4.6299999999999996E-3</v>
      </c>
      <c r="UU61">
        <v>4.7600000000000003E-3</v>
      </c>
      <c r="UV61">
        <v>5.0200000000000002E-3</v>
      </c>
      <c r="UX61">
        <v>4.0400000000000002E-3</v>
      </c>
      <c r="UY61">
        <v>4.4099999999999999E-3</v>
      </c>
      <c r="UZ61">
        <v>5.1799999999999997E-3</v>
      </c>
      <c r="VA61">
        <v>6.4799999999999996E-3</v>
      </c>
      <c r="VB61">
        <v>5.5799999999999999E-3</v>
      </c>
      <c r="VC61">
        <v>5.4299999999999999E-3</v>
      </c>
      <c r="VD61">
        <v>5.1700000000000001E-3</v>
      </c>
      <c r="VE61">
        <v>4.2900000000000004E-3</v>
      </c>
      <c r="VF61">
        <v>5.5999999999999999E-3</v>
      </c>
      <c r="VG61">
        <v>7.8799999999999999E-3</v>
      </c>
      <c r="VH61">
        <v>4.45E-3</v>
      </c>
      <c r="VI61">
        <v>5.0600000000000003E-3</v>
      </c>
    </row>
    <row r="62" spans="1:581" x14ac:dyDescent="0.25">
      <c r="A62">
        <v>1950000</v>
      </c>
      <c r="B62">
        <v>4.5900000000000003E-3</v>
      </c>
      <c r="D62">
        <v>5.1599999999999997E-3</v>
      </c>
      <c r="E62">
        <v>5.7499999999999999E-3</v>
      </c>
      <c r="F62">
        <v>6.1900000000000002E-3</v>
      </c>
      <c r="G62">
        <v>6.43E-3</v>
      </c>
      <c r="H62">
        <v>5.0299999999999997E-3</v>
      </c>
      <c r="I62">
        <v>5.0000000000000001E-3</v>
      </c>
      <c r="J62">
        <v>5.0600000000000003E-3</v>
      </c>
      <c r="K62">
        <v>5.0400000000000002E-3</v>
      </c>
      <c r="L62">
        <v>4.9399999999999999E-3</v>
      </c>
      <c r="M62">
        <v>4.8999999999999998E-3</v>
      </c>
      <c r="N62">
        <v>4.9100000000000003E-3</v>
      </c>
      <c r="O62">
        <v>4.5500000000000002E-3</v>
      </c>
      <c r="P62">
        <v>4.47E-3</v>
      </c>
      <c r="Q62">
        <v>4.4999999999999997E-3</v>
      </c>
      <c r="R62">
        <v>4.45E-3</v>
      </c>
      <c r="S62">
        <v>4.7800000000000004E-3</v>
      </c>
      <c r="T62">
        <v>4.8199999999999996E-3</v>
      </c>
      <c r="U62">
        <v>5.8900000000000003E-3</v>
      </c>
      <c r="V62">
        <v>4.7999999999999996E-3</v>
      </c>
      <c r="W62">
        <v>5.6899999999999997E-3</v>
      </c>
      <c r="X62">
        <v>4.6699999999999997E-3</v>
      </c>
      <c r="Y62">
        <v>5.62E-3</v>
      </c>
      <c r="Z62">
        <v>4.4299999999999999E-3</v>
      </c>
      <c r="AA62">
        <v>4.4799999999999996E-3</v>
      </c>
      <c r="AB62">
        <v>6.7099999999999998E-3</v>
      </c>
      <c r="AC62">
        <v>6.5100000000000002E-3</v>
      </c>
      <c r="AD62">
        <v>4.9500000000000004E-3</v>
      </c>
      <c r="AE62">
        <v>5.5100000000000001E-3</v>
      </c>
      <c r="AF62">
        <v>5.77E-3</v>
      </c>
      <c r="AG62">
        <v>4.28E-3</v>
      </c>
      <c r="AH62">
        <v>4.2399999999999998E-3</v>
      </c>
      <c r="AI62">
        <v>4.2599999999999999E-3</v>
      </c>
      <c r="AJ62">
        <v>4.2599999999999999E-3</v>
      </c>
      <c r="AK62">
        <v>5.7099999999999998E-3</v>
      </c>
      <c r="AL62">
        <v>7.1000000000000004E-3</v>
      </c>
      <c r="AM62">
        <v>4.0099999999999997E-3</v>
      </c>
      <c r="AN62">
        <v>4.6699999999999997E-3</v>
      </c>
      <c r="AO62">
        <v>9.7999999999999997E-3</v>
      </c>
      <c r="AP62">
        <v>4.9899999999999996E-3</v>
      </c>
      <c r="AQ62">
        <v>4.9399999999999999E-3</v>
      </c>
      <c r="AR62">
        <v>4.9199999999999999E-3</v>
      </c>
      <c r="AS62">
        <v>5.0499999999999998E-3</v>
      </c>
      <c r="AT62">
        <v>3.9399999999999999E-3</v>
      </c>
      <c r="AU62">
        <v>4.4900000000000001E-3</v>
      </c>
      <c r="AV62">
        <v>4.0499999999999998E-3</v>
      </c>
      <c r="AW62">
        <v>4.6100000000000004E-3</v>
      </c>
      <c r="AX62">
        <v>4.62E-3</v>
      </c>
      <c r="AY62">
        <v>5.3800000000000002E-3</v>
      </c>
      <c r="AZ62">
        <v>5.5599999999999998E-3</v>
      </c>
      <c r="BA62">
        <v>3.8800000000000002E-3</v>
      </c>
      <c r="BB62">
        <v>5.7999999999999996E-3</v>
      </c>
      <c r="BC62">
        <v>6.2100000000000002E-3</v>
      </c>
      <c r="BD62">
        <v>6.43E-3</v>
      </c>
      <c r="BE62">
        <v>7.4400000000000004E-3</v>
      </c>
      <c r="BF62">
        <v>8.9499999999999996E-3</v>
      </c>
      <c r="BG62">
        <v>5.8199999999999997E-3</v>
      </c>
      <c r="BH62">
        <v>4.7800000000000004E-3</v>
      </c>
      <c r="BI62">
        <v>8.7399999999999995E-3</v>
      </c>
      <c r="BJ62">
        <v>5.9500000000000004E-3</v>
      </c>
      <c r="BK62">
        <v>6.4599999999999996E-3</v>
      </c>
      <c r="BL62">
        <v>6.5199999999999998E-3</v>
      </c>
      <c r="BM62">
        <v>6.2100000000000002E-3</v>
      </c>
      <c r="BN62">
        <v>6.4099999999999999E-3</v>
      </c>
      <c r="BO62">
        <v>7.28E-3</v>
      </c>
      <c r="BP62">
        <v>6.5300000000000002E-3</v>
      </c>
      <c r="BQ62">
        <v>5.8199999999999997E-3</v>
      </c>
      <c r="BR62">
        <v>3.9100000000000003E-3</v>
      </c>
      <c r="BT62">
        <v>6.2700000000000004E-3</v>
      </c>
      <c r="BU62">
        <v>8.1099999999999992E-3</v>
      </c>
      <c r="BV62">
        <v>8.1099999999999992E-3</v>
      </c>
      <c r="BW62">
        <v>7.8200000000000006E-3</v>
      </c>
      <c r="BX62">
        <v>7.62E-3</v>
      </c>
      <c r="BY62">
        <v>7.77E-3</v>
      </c>
      <c r="BZ62">
        <v>6.7400000000000003E-3</v>
      </c>
      <c r="CA62">
        <v>6.9100000000000003E-3</v>
      </c>
      <c r="CB62">
        <v>5.8799999999999998E-3</v>
      </c>
      <c r="CC62">
        <v>6.2199999999999998E-3</v>
      </c>
      <c r="CD62">
        <v>4.9899999999999996E-3</v>
      </c>
      <c r="CE62">
        <v>5.28E-3</v>
      </c>
      <c r="CF62">
        <v>5.0899999999999999E-3</v>
      </c>
      <c r="CG62">
        <v>4.8399999999999997E-3</v>
      </c>
      <c r="CH62">
        <v>4.6499999999999996E-3</v>
      </c>
      <c r="CI62">
        <v>4.4900000000000001E-3</v>
      </c>
      <c r="CJ62">
        <v>4.2900000000000004E-3</v>
      </c>
      <c r="CK62">
        <v>4.5100000000000001E-3</v>
      </c>
      <c r="CL62">
        <v>5.2500000000000003E-3</v>
      </c>
      <c r="CM62">
        <v>5.2900000000000004E-3</v>
      </c>
      <c r="CN62">
        <v>5.4799999999999996E-3</v>
      </c>
      <c r="CO62">
        <v>5.3400000000000001E-3</v>
      </c>
      <c r="CP62">
        <v>5.6100000000000004E-3</v>
      </c>
      <c r="CQ62">
        <v>5.3699999999999998E-3</v>
      </c>
      <c r="CR62">
        <v>5.4299999999999999E-3</v>
      </c>
      <c r="CS62">
        <v>5.7099999999999998E-3</v>
      </c>
      <c r="CT62">
        <v>6.0600000000000003E-3</v>
      </c>
      <c r="CU62">
        <v>4.96E-3</v>
      </c>
      <c r="CV62">
        <v>4.9800000000000001E-3</v>
      </c>
      <c r="CW62">
        <v>5.1599999999999997E-3</v>
      </c>
      <c r="CX62">
        <v>5.28E-3</v>
      </c>
      <c r="CY62">
        <v>4.5100000000000001E-3</v>
      </c>
      <c r="CZ62">
        <v>4.6600000000000001E-3</v>
      </c>
      <c r="DA62">
        <v>4.7600000000000003E-3</v>
      </c>
      <c r="DB62">
        <v>4.6800000000000001E-3</v>
      </c>
      <c r="DC62">
        <v>4.64E-3</v>
      </c>
      <c r="DD62">
        <v>4.6299999999999996E-3</v>
      </c>
      <c r="DE62">
        <v>4.62E-3</v>
      </c>
      <c r="DF62">
        <v>5.5799999999999999E-3</v>
      </c>
      <c r="DG62">
        <v>3.9500000000000004E-3</v>
      </c>
      <c r="DH62">
        <v>5.1000000000000004E-3</v>
      </c>
      <c r="DI62">
        <v>5.1200000000000004E-3</v>
      </c>
      <c r="DJ62">
        <v>5.2500000000000003E-3</v>
      </c>
      <c r="DK62">
        <v>5.3499999999999997E-3</v>
      </c>
      <c r="DL62">
        <v>5.47E-3</v>
      </c>
      <c r="DM62">
        <v>7.4200000000000004E-3</v>
      </c>
      <c r="DN62">
        <v>6.2100000000000002E-3</v>
      </c>
      <c r="DO62">
        <v>7.4900000000000001E-3</v>
      </c>
      <c r="DP62">
        <v>7.79E-3</v>
      </c>
      <c r="DQ62">
        <v>7.6499999999999997E-3</v>
      </c>
      <c r="DS62">
        <v>5.2199999999999998E-3</v>
      </c>
      <c r="DU62">
        <v>7.7299999999999999E-3</v>
      </c>
      <c r="DV62">
        <v>8.0300000000000007E-3</v>
      </c>
      <c r="DX62">
        <v>7.7299999999999999E-3</v>
      </c>
      <c r="DY62">
        <v>8.4799999999999997E-3</v>
      </c>
      <c r="DZ62">
        <v>8.1899999999999994E-3</v>
      </c>
      <c r="EA62">
        <v>4.6100000000000004E-3</v>
      </c>
      <c r="EB62">
        <v>4.5999999999999999E-3</v>
      </c>
      <c r="EC62">
        <v>4.3E-3</v>
      </c>
      <c r="EF62">
        <v>9.9399999999999992E-3</v>
      </c>
      <c r="EI62">
        <v>5.6699999999999997E-3</v>
      </c>
      <c r="EJ62">
        <v>5.3E-3</v>
      </c>
      <c r="EK62">
        <v>5.1500000000000001E-3</v>
      </c>
      <c r="EL62">
        <v>5.3499999999999997E-3</v>
      </c>
      <c r="EN62">
        <v>5.7400000000000003E-3</v>
      </c>
      <c r="EO62">
        <v>5.7499999999999999E-3</v>
      </c>
      <c r="EP62">
        <v>6.1399999999999996E-3</v>
      </c>
      <c r="EQ62">
        <v>6.1799999999999997E-3</v>
      </c>
      <c r="ER62">
        <v>4.3800000000000002E-3</v>
      </c>
      <c r="ES62">
        <v>4.4099999999999999E-3</v>
      </c>
      <c r="ET62">
        <v>4.2199999999999998E-3</v>
      </c>
      <c r="EU62">
        <v>8.8500000000000002E-3</v>
      </c>
      <c r="EV62">
        <v>8.1899999999999994E-3</v>
      </c>
      <c r="EW62">
        <v>7.7200000000000003E-3</v>
      </c>
      <c r="EX62">
        <v>7.77E-3</v>
      </c>
      <c r="EY62">
        <v>6.7200000000000003E-3</v>
      </c>
      <c r="EZ62">
        <v>6.6800000000000002E-3</v>
      </c>
      <c r="FA62">
        <v>5.0600000000000003E-3</v>
      </c>
      <c r="FC62">
        <v>4.7099999999999998E-3</v>
      </c>
      <c r="FD62">
        <v>4.6699999999999997E-3</v>
      </c>
      <c r="FE62">
        <v>5.4599999999999996E-3</v>
      </c>
      <c r="FF62">
        <v>4.2700000000000004E-3</v>
      </c>
      <c r="FG62">
        <v>7.77E-3</v>
      </c>
      <c r="FH62">
        <v>7.8700000000000003E-3</v>
      </c>
      <c r="FJ62">
        <v>7.7999999999999996E-3</v>
      </c>
      <c r="FK62">
        <v>6.8799999999999998E-3</v>
      </c>
      <c r="FL62">
        <v>4.5700000000000003E-3</v>
      </c>
      <c r="FN62">
        <v>5.0000000000000001E-3</v>
      </c>
      <c r="FO62">
        <v>4.6600000000000001E-3</v>
      </c>
      <c r="FP62">
        <v>4.28E-3</v>
      </c>
      <c r="FQ62">
        <v>5.3200000000000001E-3</v>
      </c>
      <c r="FR62">
        <v>8.77E-3</v>
      </c>
      <c r="FS62">
        <v>5.6299999999999996E-3</v>
      </c>
      <c r="FT62">
        <v>5.6299999999999996E-3</v>
      </c>
      <c r="FU62">
        <v>5.5999999999999999E-3</v>
      </c>
      <c r="FV62">
        <v>5.7999999999999996E-3</v>
      </c>
      <c r="FW62">
        <v>5.6100000000000004E-3</v>
      </c>
      <c r="FX62">
        <v>5.7600000000000004E-3</v>
      </c>
      <c r="FY62">
        <v>6.1000000000000004E-3</v>
      </c>
      <c r="FZ62">
        <v>6.0499999999999998E-3</v>
      </c>
      <c r="GA62">
        <v>6.3400000000000001E-3</v>
      </c>
      <c r="GB62">
        <v>6.2300000000000003E-3</v>
      </c>
      <c r="GC62">
        <v>6.6100000000000004E-3</v>
      </c>
      <c r="GD62">
        <v>6.3E-3</v>
      </c>
      <c r="GE62">
        <v>6.7600000000000004E-3</v>
      </c>
      <c r="GG62">
        <v>6.0400000000000002E-3</v>
      </c>
      <c r="GH62">
        <v>6.1000000000000004E-3</v>
      </c>
      <c r="GI62">
        <v>6.8700000000000002E-3</v>
      </c>
      <c r="GJ62">
        <v>6.9899999999999997E-3</v>
      </c>
      <c r="GK62">
        <v>7.1599999999999997E-3</v>
      </c>
      <c r="GL62">
        <v>7.3200000000000001E-3</v>
      </c>
      <c r="GM62">
        <v>6.5500000000000003E-3</v>
      </c>
      <c r="GO62">
        <v>6.0899999999999999E-3</v>
      </c>
      <c r="GP62">
        <v>4.9800000000000001E-3</v>
      </c>
      <c r="GQ62">
        <v>5.3899999999999998E-3</v>
      </c>
      <c r="GR62">
        <v>5.4200000000000003E-3</v>
      </c>
      <c r="GS62">
        <v>4.96E-3</v>
      </c>
      <c r="GT62">
        <v>5.47E-3</v>
      </c>
      <c r="GU62">
        <v>6.94E-3</v>
      </c>
      <c r="GV62">
        <v>7.6099999999999996E-3</v>
      </c>
      <c r="GW62">
        <v>7.1199999999999996E-3</v>
      </c>
      <c r="GX62">
        <v>6.8399999999999997E-3</v>
      </c>
      <c r="GY62">
        <v>5.9899999999999997E-3</v>
      </c>
      <c r="GZ62">
        <v>5.6800000000000002E-3</v>
      </c>
      <c r="HA62">
        <v>4.8799999999999998E-3</v>
      </c>
      <c r="HB62">
        <v>4.6899999999999997E-3</v>
      </c>
      <c r="HC62">
        <v>7.3200000000000001E-3</v>
      </c>
      <c r="HD62">
        <v>3.6700000000000001E-3</v>
      </c>
      <c r="HE62">
        <v>6.7299999999999999E-3</v>
      </c>
      <c r="HF62">
        <v>7.4700000000000001E-3</v>
      </c>
      <c r="HG62">
        <v>7.7799999999999996E-3</v>
      </c>
      <c r="HH62">
        <v>7.77E-3</v>
      </c>
      <c r="HI62">
        <v>7.9000000000000008E-3</v>
      </c>
      <c r="HJ62">
        <v>4.3499999999999997E-3</v>
      </c>
      <c r="HK62">
        <v>4.9500000000000004E-3</v>
      </c>
      <c r="HL62">
        <v>5.5799999999999999E-3</v>
      </c>
      <c r="HM62">
        <v>5.3299999999999997E-3</v>
      </c>
      <c r="HN62">
        <v>5.5300000000000002E-3</v>
      </c>
      <c r="HO62">
        <v>4.96E-3</v>
      </c>
      <c r="HP62">
        <v>4.7299999999999998E-3</v>
      </c>
      <c r="HQ62">
        <v>4.7600000000000003E-3</v>
      </c>
      <c r="HR62">
        <v>5.3200000000000001E-3</v>
      </c>
      <c r="HS62">
        <v>8.7399999999999995E-3</v>
      </c>
      <c r="HT62">
        <v>4.3499999999999997E-3</v>
      </c>
      <c r="HU62">
        <v>4.8399999999999997E-3</v>
      </c>
      <c r="HV62">
        <v>5.96E-3</v>
      </c>
      <c r="HX62">
        <v>4.8999999999999998E-3</v>
      </c>
      <c r="HY62">
        <v>5.1500000000000001E-3</v>
      </c>
      <c r="HZ62">
        <v>3.9500000000000004E-3</v>
      </c>
      <c r="IA62">
        <v>6.0299999999999998E-3</v>
      </c>
      <c r="IB62">
        <v>7.6899999999999998E-3</v>
      </c>
      <c r="IC62">
        <v>6.77E-3</v>
      </c>
      <c r="ID62">
        <v>4.45E-3</v>
      </c>
      <c r="IE62">
        <v>4.1799999999999997E-3</v>
      </c>
      <c r="IF62">
        <v>4.2199999999999998E-3</v>
      </c>
      <c r="IG62">
        <v>5.1399999999999996E-3</v>
      </c>
      <c r="IH62">
        <v>5.3800000000000002E-3</v>
      </c>
      <c r="II62">
        <v>4.0699999999999998E-3</v>
      </c>
      <c r="IJ62">
        <v>5.0699999999999999E-3</v>
      </c>
      <c r="IK62">
        <v>5.6899999999999997E-3</v>
      </c>
      <c r="IL62">
        <v>6.2599999999999999E-3</v>
      </c>
      <c r="IM62">
        <v>7.26E-3</v>
      </c>
      <c r="IN62">
        <v>7.5399999999999998E-3</v>
      </c>
      <c r="IO62">
        <v>8.2799999999999992E-3</v>
      </c>
      <c r="IP62">
        <v>9.1900000000000003E-3</v>
      </c>
      <c r="IQ62">
        <v>9.9600000000000001E-3</v>
      </c>
      <c r="IR62">
        <v>1.073E-2</v>
      </c>
      <c r="IS62">
        <v>4.9899999999999996E-3</v>
      </c>
      <c r="IT62">
        <v>3.5400000000000002E-3</v>
      </c>
      <c r="IU62">
        <v>3.82E-3</v>
      </c>
      <c r="IV62">
        <v>4.1900000000000001E-3</v>
      </c>
      <c r="IW62">
        <v>4.6899999999999997E-3</v>
      </c>
      <c r="IX62">
        <v>3.5599999999999998E-3</v>
      </c>
      <c r="IY62">
        <v>4.3299999999999996E-3</v>
      </c>
      <c r="IZ62">
        <v>3.9199999999999999E-3</v>
      </c>
      <c r="JA62">
        <v>4.3899999999999998E-3</v>
      </c>
      <c r="JB62">
        <v>4.4799999999999996E-3</v>
      </c>
      <c r="JC62">
        <v>4.8199999999999996E-3</v>
      </c>
      <c r="JD62">
        <v>5.0400000000000002E-3</v>
      </c>
      <c r="JE62">
        <v>4.3499999999999997E-3</v>
      </c>
      <c r="JF62">
        <v>7.1399999999999996E-3</v>
      </c>
      <c r="JG62">
        <v>9.5499999999999995E-3</v>
      </c>
      <c r="JH62">
        <v>8.7799999999999996E-3</v>
      </c>
      <c r="JI62">
        <v>5.3E-3</v>
      </c>
      <c r="JJ62">
        <v>5.0899999999999999E-3</v>
      </c>
      <c r="JK62">
        <v>8.0000000000000002E-3</v>
      </c>
      <c r="JL62">
        <v>7.1900000000000002E-3</v>
      </c>
      <c r="JM62">
        <v>5.1599999999999997E-3</v>
      </c>
      <c r="JN62">
        <v>5.77E-3</v>
      </c>
      <c r="JP62">
        <v>4.4600000000000004E-3</v>
      </c>
      <c r="JQ62">
        <v>5.6800000000000002E-3</v>
      </c>
      <c r="JS62">
        <v>4.9800000000000001E-3</v>
      </c>
      <c r="JT62">
        <v>5.8599999999999998E-3</v>
      </c>
      <c r="JU62">
        <v>7.5300000000000002E-3</v>
      </c>
      <c r="JV62">
        <v>7.4799999999999997E-3</v>
      </c>
      <c r="JW62">
        <v>5.2500000000000003E-3</v>
      </c>
      <c r="JX62">
        <v>5.1500000000000001E-3</v>
      </c>
      <c r="JY62">
        <v>6.1599999999999997E-3</v>
      </c>
      <c r="JZ62">
        <v>5.8999999999999999E-3</v>
      </c>
      <c r="KA62">
        <v>5.6600000000000001E-3</v>
      </c>
      <c r="KB62">
        <v>5.3E-3</v>
      </c>
      <c r="KC62">
        <v>5.45E-3</v>
      </c>
      <c r="KD62">
        <v>5.7800000000000004E-3</v>
      </c>
      <c r="KE62">
        <v>8.3999999999999995E-3</v>
      </c>
      <c r="KF62">
        <v>1.023E-2</v>
      </c>
      <c r="KH62">
        <v>1.0919999999999999E-2</v>
      </c>
      <c r="KI62">
        <v>6.3099999999999996E-3</v>
      </c>
      <c r="KJ62">
        <v>6.4099999999999999E-3</v>
      </c>
      <c r="KK62">
        <v>6.3200000000000001E-3</v>
      </c>
      <c r="KL62">
        <v>6.8100000000000001E-3</v>
      </c>
      <c r="KM62">
        <v>6.8700000000000002E-3</v>
      </c>
      <c r="KN62">
        <v>6.8100000000000001E-3</v>
      </c>
      <c r="KO62">
        <v>6.6699999999999997E-3</v>
      </c>
      <c r="KP62">
        <v>6.3699999999999998E-3</v>
      </c>
      <c r="KQ62">
        <v>6.4400000000000004E-3</v>
      </c>
      <c r="KR62">
        <v>6.5300000000000002E-3</v>
      </c>
      <c r="KT62">
        <v>6.5700000000000003E-3</v>
      </c>
      <c r="KU62">
        <v>6.8100000000000001E-3</v>
      </c>
      <c r="KV62">
        <v>5.96E-3</v>
      </c>
      <c r="KW62">
        <v>5.2300000000000003E-3</v>
      </c>
      <c r="KX62">
        <v>1.026E-2</v>
      </c>
      <c r="KY62">
        <v>7.3099999999999997E-3</v>
      </c>
      <c r="KZ62">
        <v>8.1499999999999993E-3</v>
      </c>
      <c r="LA62">
        <v>5.1599999999999997E-3</v>
      </c>
      <c r="LB62">
        <v>5.1399999999999996E-3</v>
      </c>
      <c r="LC62">
        <v>5.1599999999999997E-3</v>
      </c>
      <c r="LD62">
        <v>5.1599999999999997E-3</v>
      </c>
      <c r="LE62">
        <v>8.2500000000000004E-3</v>
      </c>
      <c r="LF62">
        <v>7.3400000000000002E-3</v>
      </c>
      <c r="LG62">
        <v>5.6499999999999996E-3</v>
      </c>
      <c r="LI62">
        <v>8.1600000000000006E-3</v>
      </c>
      <c r="LJ62">
        <v>8.6099999999999996E-3</v>
      </c>
      <c r="LK62">
        <v>8.6099999999999996E-3</v>
      </c>
      <c r="LL62">
        <v>5.3899999999999998E-3</v>
      </c>
      <c r="LM62">
        <v>3.96E-3</v>
      </c>
      <c r="LN62">
        <v>4.7800000000000004E-3</v>
      </c>
      <c r="LO62">
        <v>4.9399999999999999E-3</v>
      </c>
      <c r="LP62">
        <v>4.4400000000000004E-3</v>
      </c>
      <c r="LR62">
        <v>7.92E-3</v>
      </c>
      <c r="LS62">
        <v>8.9499999999999996E-3</v>
      </c>
      <c r="LT62">
        <v>4.7000000000000002E-3</v>
      </c>
      <c r="LU62">
        <v>5.5300000000000002E-3</v>
      </c>
      <c r="LV62">
        <v>5.9199999999999999E-3</v>
      </c>
      <c r="LW62">
        <v>4.8700000000000002E-3</v>
      </c>
      <c r="LX62">
        <v>5.4999999999999997E-3</v>
      </c>
      <c r="LY62">
        <v>6.11E-3</v>
      </c>
      <c r="LZ62">
        <v>6.2100000000000002E-3</v>
      </c>
      <c r="MA62">
        <v>6.4900000000000001E-3</v>
      </c>
      <c r="MB62">
        <v>4.5999999999999999E-3</v>
      </c>
      <c r="MC62">
        <v>7.7600000000000004E-3</v>
      </c>
      <c r="MD62">
        <v>8.7500000000000008E-3</v>
      </c>
      <c r="ME62">
        <v>1.0840000000000001E-2</v>
      </c>
      <c r="MF62">
        <v>1.2930000000000001E-2</v>
      </c>
      <c r="MG62">
        <v>1.338E-2</v>
      </c>
      <c r="MH62">
        <v>4.62E-3</v>
      </c>
      <c r="MI62">
        <v>4.7600000000000003E-3</v>
      </c>
      <c r="MJ62">
        <v>4.81E-3</v>
      </c>
      <c r="MK62">
        <v>4.5199999999999997E-3</v>
      </c>
      <c r="ML62">
        <v>5.5199999999999997E-3</v>
      </c>
      <c r="MM62">
        <v>4.5199999999999997E-3</v>
      </c>
      <c r="MN62">
        <v>4.7999999999999996E-3</v>
      </c>
      <c r="MO62">
        <v>5.0800000000000003E-3</v>
      </c>
      <c r="MP62">
        <v>6.2899999999999996E-3</v>
      </c>
      <c r="MQ62">
        <v>3.81E-3</v>
      </c>
      <c r="MS62">
        <v>5.2100000000000002E-3</v>
      </c>
      <c r="MT62">
        <v>6.6E-3</v>
      </c>
      <c r="MU62">
        <v>4.7800000000000004E-3</v>
      </c>
      <c r="MV62">
        <v>5.0499999999999998E-3</v>
      </c>
      <c r="MW62">
        <v>5.2199999999999998E-3</v>
      </c>
      <c r="MX62">
        <v>5.2700000000000004E-3</v>
      </c>
      <c r="MY62">
        <v>5.6699999999999997E-3</v>
      </c>
      <c r="MZ62">
        <v>6.3400000000000001E-3</v>
      </c>
      <c r="NA62">
        <v>5.6699999999999997E-3</v>
      </c>
      <c r="NB62">
        <v>5.4099999999999999E-3</v>
      </c>
      <c r="NC62">
        <v>3.3400000000000001E-3</v>
      </c>
      <c r="ND62">
        <v>1.1730000000000001E-2</v>
      </c>
      <c r="NE62">
        <v>5.7999999999999996E-3</v>
      </c>
      <c r="NF62">
        <v>6.7000000000000002E-3</v>
      </c>
      <c r="NG62">
        <v>4.3299999999999996E-3</v>
      </c>
      <c r="NI62">
        <v>4.0200000000000001E-3</v>
      </c>
      <c r="NJ62">
        <v>4.3299999999999996E-3</v>
      </c>
      <c r="NK62">
        <v>3.98E-3</v>
      </c>
      <c r="NL62">
        <v>4.1700000000000001E-3</v>
      </c>
      <c r="NM62">
        <v>4.3600000000000002E-3</v>
      </c>
      <c r="NN62">
        <v>4.5199999999999997E-3</v>
      </c>
      <c r="NO62">
        <v>4.6800000000000001E-3</v>
      </c>
      <c r="NP62">
        <v>4.4900000000000001E-3</v>
      </c>
      <c r="NQ62">
        <v>4.0299999999999997E-3</v>
      </c>
      <c r="NR62">
        <v>4.2599999999999999E-3</v>
      </c>
      <c r="NS62">
        <v>4.4000000000000003E-3</v>
      </c>
      <c r="NT62">
        <v>4.7200000000000002E-3</v>
      </c>
      <c r="NU62">
        <v>4.1000000000000003E-3</v>
      </c>
      <c r="NV62">
        <v>4.2500000000000003E-3</v>
      </c>
      <c r="NW62">
        <v>4.3899999999999998E-3</v>
      </c>
      <c r="NX62">
        <v>4.2700000000000004E-3</v>
      </c>
      <c r="NY62">
        <v>4.4600000000000004E-3</v>
      </c>
      <c r="NZ62">
        <v>4.5500000000000002E-3</v>
      </c>
      <c r="OA62">
        <v>4.7200000000000002E-3</v>
      </c>
      <c r="OB62">
        <v>4.28E-3</v>
      </c>
      <c r="OC62">
        <v>4.2900000000000004E-3</v>
      </c>
      <c r="OD62">
        <v>4.28E-3</v>
      </c>
      <c r="OE62">
        <v>4.28E-3</v>
      </c>
      <c r="OF62">
        <v>6.3899999999999998E-3</v>
      </c>
      <c r="OG62">
        <v>4.5599999999999998E-3</v>
      </c>
      <c r="OH62">
        <v>4.7200000000000002E-3</v>
      </c>
      <c r="OI62">
        <v>4.81E-3</v>
      </c>
      <c r="OJ62">
        <v>4.9899999999999996E-3</v>
      </c>
      <c r="OL62">
        <v>5.1900000000000002E-3</v>
      </c>
      <c r="OM62">
        <v>5.6299999999999996E-3</v>
      </c>
      <c r="ON62">
        <v>5.6499999999999996E-3</v>
      </c>
      <c r="OO62">
        <v>4.62E-3</v>
      </c>
      <c r="OP62">
        <v>4.8900000000000002E-3</v>
      </c>
      <c r="OQ62">
        <v>5.0299999999999997E-3</v>
      </c>
      <c r="OR62">
        <v>5.3699999999999998E-3</v>
      </c>
      <c r="OS62">
        <v>5.8100000000000001E-3</v>
      </c>
      <c r="OT62">
        <v>5.7200000000000003E-3</v>
      </c>
      <c r="OU62">
        <v>5.94E-3</v>
      </c>
      <c r="OV62">
        <v>5.11E-3</v>
      </c>
      <c r="OW62">
        <v>4.3699999999999998E-3</v>
      </c>
      <c r="OX62">
        <v>5.3499999999999997E-3</v>
      </c>
      <c r="OY62">
        <v>5.5700000000000003E-3</v>
      </c>
      <c r="OZ62">
        <v>5.2300000000000003E-3</v>
      </c>
      <c r="PA62">
        <v>7.8799999999999999E-3</v>
      </c>
      <c r="PB62">
        <v>8.2299999999999995E-3</v>
      </c>
      <c r="PC62">
        <v>7.0499999999999998E-3</v>
      </c>
      <c r="PD62">
        <v>6.28E-3</v>
      </c>
      <c r="PE62">
        <v>5.96E-3</v>
      </c>
      <c r="PF62">
        <v>5.9300000000000004E-3</v>
      </c>
      <c r="PG62">
        <v>5.1500000000000001E-3</v>
      </c>
      <c r="PH62">
        <v>5.3200000000000001E-3</v>
      </c>
      <c r="PI62">
        <v>6.4999999999999997E-3</v>
      </c>
      <c r="PJ62">
        <v>6.0800000000000003E-3</v>
      </c>
      <c r="PK62">
        <v>5.6800000000000002E-3</v>
      </c>
      <c r="PL62">
        <v>5.9199999999999999E-3</v>
      </c>
      <c r="PM62">
        <v>5.1200000000000004E-3</v>
      </c>
      <c r="PN62">
        <v>4.7699999999999999E-3</v>
      </c>
      <c r="PO62">
        <v>4.1399999999999996E-3</v>
      </c>
      <c r="PP62">
        <v>4.2500000000000003E-3</v>
      </c>
      <c r="PQ62">
        <v>4.9800000000000001E-3</v>
      </c>
      <c r="PR62">
        <v>4.45E-3</v>
      </c>
      <c r="PS62">
        <v>4.4299999999999999E-3</v>
      </c>
      <c r="PT62">
        <v>4.9199999999999999E-3</v>
      </c>
      <c r="PU62">
        <v>4.6299999999999996E-3</v>
      </c>
      <c r="PV62">
        <v>2.8999999999999998E-3</v>
      </c>
      <c r="PW62">
        <v>3.0799999999999998E-3</v>
      </c>
      <c r="PX62">
        <v>3.2000000000000002E-3</v>
      </c>
      <c r="PY62">
        <v>3.32E-3</v>
      </c>
      <c r="PZ62">
        <v>3.5100000000000001E-3</v>
      </c>
      <c r="QA62">
        <v>3.9699999999999996E-3</v>
      </c>
      <c r="QB62">
        <v>4.3299999999999996E-3</v>
      </c>
      <c r="QC62">
        <v>5.1999999999999998E-3</v>
      </c>
      <c r="QD62">
        <v>5.4400000000000004E-3</v>
      </c>
      <c r="QE62">
        <v>4.4099999999999999E-3</v>
      </c>
      <c r="QF62">
        <v>4.8900000000000002E-3</v>
      </c>
      <c r="QG62">
        <v>6.8599999999999998E-3</v>
      </c>
      <c r="QH62">
        <v>4.7800000000000004E-3</v>
      </c>
      <c r="QI62">
        <v>5.0099999999999997E-3</v>
      </c>
      <c r="QJ62">
        <v>4.7800000000000004E-3</v>
      </c>
      <c r="QK62">
        <v>4.8599999999999997E-3</v>
      </c>
      <c r="QL62">
        <v>4.7299999999999998E-3</v>
      </c>
      <c r="QM62">
        <v>5.2300000000000003E-3</v>
      </c>
      <c r="QN62">
        <v>8.2199999999999999E-3</v>
      </c>
      <c r="QO62">
        <v>6.2599999999999999E-3</v>
      </c>
      <c r="QP62">
        <v>7.3600000000000002E-3</v>
      </c>
      <c r="QQ62">
        <v>7.43E-3</v>
      </c>
      <c r="QS62">
        <v>7.45E-3</v>
      </c>
      <c r="QT62">
        <v>5.5100000000000001E-3</v>
      </c>
      <c r="QU62">
        <v>5.4999999999999997E-3</v>
      </c>
      <c r="QV62">
        <v>5.4900000000000001E-3</v>
      </c>
      <c r="QW62">
        <v>5.7299999999999999E-3</v>
      </c>
      <c r="QX62">
        <v>5.1500000000000001E-3</v>
      </c>
      <c r="QY62">
        <v>4.96E-3</v>
      </c>
      <c r="QZ62">
        <v>5.2900000000000004E-3</v>
      </c>
      <c r="RA62">
        <v>5.3600000000000002E-3</v>
      </c>
      <c r="RB62">
        <v>6.0899999999999999E-3</v>
      </c>
      <c r="RC62">
        <v>5.3499999999999997E-3</v>
      </c>
      <c r="RD62">
        <v>6.7799999999999996E-3</v>
      </c>
      <c r="RE62">
        <v>5.6499999999999996E-3</v>
      </c>
      <c r="RF62">
        <v>6.2199999999999998E-3</v>
      </c>
      <c r="RG62">
        <v>4.6299999999999996E-3</v>
      </c>
      <c r="RH62">
        <v>4.8399999999999997E-3</v>
      </c>
      <c r="RI62">
        <v>6.96E-3</v>
      </c>
      <c r="RJ62">
        <v>5.5900000000000004E-3</v>
      </c>
      <c r="RK62">
        <v>5.64E-3</v>
      </c>
      <c r="RL62">
        <v>5.3600000000000002E-3</v>
      </c>
      <c r="RM62">
        <v>4.1700000000000001E-3</v>
      </c>
      <c r="RN62">
        <v>4.2700000000000004E-3</v>
      </c>
      <c r="RO62">
        <v>4.2700000000000004E-3</v>
      </c>
      <c r="RP62">
        <v>3.9699999999999996E-3</v>
      </c>
      <c r="RQ62">
        <v>4.3299999999999996E-3</v>
      </c>
      <c r="RR62">
        <v>4.1099999999999999E-3</v>
      </c>
      <c r="RS62">
        <v>4.2100000000000002E-3</v>
      </c>
      <c r="RT62">
        <v>3.5999999999999999E-3</v>
      </c>
      <c r="RU62">
        <v>4.62E-3</v>
      </c>
      <c r="RV62">
        <v>4.6800000000000001E-3</v>
      </c>
      <c r="RW62">
        <v>5.1500000000000001E-3</v>
      </c>
      <c r="RX62">
        <v>4.8199999999999996E-3</v>
      </c>
      <c r="RY62">
        <v>3.9399999999999999E-3</v>
      </c>
      <c r="RZ62">
        <v>4.0000000000000001E-3</v>
      </c>
      <c r="SA62">
        <v>4.8399999999999997E-3</v>
      </c>
      <c r="SB62">
        <v>4.5700000000000003E-3</v>
      </c>
      <c r="SC62">
        <v>5.7400000000000003E-3</v>
      </c>
      <c r="SD62">
        <v>6.2300000000000003E-3</v>
      </c>
      <c r="SE62">
        <v>5.6800000000000002E-3</v>
      </c>
      <c r="SF62">
        <v>6.45E-3</v>
      </c>
      <c r="SG62">
        <v>7.9399999999999991E-3</v>
      </c>
      <c r="SH62">
        <v>1.025E-2</v>
      </c>
      <c r="SI62">
        <v>5.5399999999999998E-3</v>
      </c>
      <c r="SJ62">
        <v>4.5999999999999999E-3</v>
      </c>
      <c r="SK62">
        <v>4.0499999999999998E-3</v>
      </c>
      <c r="SL62">
        <v>4.45E-3</v>
      </c>
      <c r="SM62">
        <v>3.6099999999999999E-3</v>
      </c>
      <c r="SN62">
        <v>4.0899999999999999E-3</v>
      </c>
      <c r="SO62">
        <v>3.98E-3</v>
      </c>
      <c r="SP62">
        <v>5.7600000000000004E-3</v>
      </c>
      <c r="SQ62">
        <v>4.5700000000000003E-3</v>
      </c>
      <c r="SR62">
        <v>5.3600000000000002E-3</v>
      </c>
      <c r="SS62">
        <v>4.7000000000000002E-3</v>
      </c>
      <c r="ST62">
        <v>4.64E-3</v>
      </c>
      <c r="SU62">
        <v>4.9399999999999999E-3</v>
      </c>
      <c r="SV62">
        <v>4.7699999999999999E-3</v>
      </c>
      <c r="SW62">
        <v>5.11E-3</v>
      </c>
      <c r="SX62">
        <v>4.9300000000000004E-3</v>
      </c>
      <c r="SY62">
        <v>4.5700000000000003E-3</v>
      </c>
      <c r="SZ62">
        <v>5.3400000000000001E-3</v>
      </c>
      <c r="TA62">
        <v>5.0400000000000002E-3</v>
      </c>
      <c r="TB62">
        <v>5.96E-3</v>
      </c>
      <c r="TC62">
        <v>4.8799999999999998E-3</v>
      </c>
      <c r="TD62">
        <v>4.5599999999999998E-3</v>
      </c>
      <c r="TE62">
        <v>6.4799999999999996E-3</v>
      </c>
      <c r="TF62">
        <v>5.1399999999999996E-3</v>
      </c>
      <c r="TG62">
        <v>5.9199999999999999E-3</v>
      </c>
      <c r="TH62">
        <v>6.5100000000000002E-3</v>
      </c>
      <c r="TI62">
        <v>5.0699999999999999E-3</v>
      </c>
      <c r="TJ62">
        <v>6.6E-3</v>
      </c>
      <c r="TK62">
        <v>4.15E-3</v>
      </c>
      <c r="TL62">
        <v>3.98E-3</v>
      </c>
      <c r="TM62">
        <v>3.8800000000000002E-3</v>
      </c>
      <c r="TO62">
        <v>5.3699999999999998E-3</v>
      </c>
      <c r="TP62">
        <v>4.3E-3</v>
      </c>
      <c r="TQ62">
        <v>5.2199999999999998E-3</v>
      </c>
      <c r="TR62">
        <v>5.6499999999999996E-3</v>
      </c>
      <c r="TT62">
        <v>5.3499999999999997E-3</v>
      </c>
      <c r="TU62">
        <v>5.0499999999999998E-3</v>
      </c>
      <c r="TV62">
        <v>4.15E-3</v>
      </c>
      <c r="TW62">
        <v>4.5199999999999997E-3</v>
      </c>
      <c r="TX62">
        <v>4.9899999999999996E-3</v>
      </c>
      <c r="TY62">
        <v>5.0400000000000002E-3</v>
      </c>
      <c r="TZ62">
        <v>5.1200000000000004E-3</v>
      </c>
      <c r="UA62">
        <v>5.1599999999999997E-3</v>
      </c>
      <c r="UB62">
        <v>4.9800000000000001E-3</v>
      </c>
      <c r="UC62">
        <v>4.6299999999999996E-3</v>
      </c>
      <c r="UD62">
        <v>4.7099999999999998E-3</v>
      </c>
      <c r="UE62">
        <v>4.9399999999999999E-3</v>
      </c>
      <c r="UF62">
        <v>3.63E-3</v>
      </c>
      <c r="UG62">
        <v>4.28E-3</v>
      </c>
      <c r="UH62">
        <v>5.1999999999999998E-3</v>
      </c>
      <c r="UI62">
        <v>4.2199999999999998E-3</v>
      </c>
      <c r="UJ62">
        <v>5.1799999999999997E-3</v>
      </c>
      <c r="UK62">
        <v>5.0800000000000003E-3</v>
      </c>
      <c r="UL62">
        <v>5.13E-3</v>
      </c>
      <c r="UM62">
        <v>5.7000000000000002E-3</v>
      </c>
      <c r="UN62">
        <v>4.8700000000000002E-3</v>
      </c>
      <c r="UO62">
        <v>4.8300000000000001E-3</v>
      </c>
      <c r="UP62">
        <v>6.1500000000000001E-3</v>
      </c>
      <c r="UQ62">
        <v>4.7099999999999998E-3</v>
      </c>
      <c r="US62">
        <v>5.0000000000000001E-3</v>
      </c>
      <c r="UT62">
        <v>4.6299999999999996E-3</v>
      </c>
      <c r="UU62">
        <v>4.7600000000000003E-3</v>
      </c>
      <c r="UV62">
        <v>5.0299999999999997E-3</v>
      </c>
      <c r="UW62">
        <v>5.4599999999999996E-3</v>
      </c>
      <c r="UX62">
        <v>4.0200000000000001E-3</v>
      </c>
      <c r="UY62">
        <v>4.3899999999999998E-3</v>
      </c>
      <c r="UZ62">
        <v>5.1700000000000001E-3</v>
      </c>
      <c r="VA62">
        <v>6.45E-3</v>
      </c>
      <c r="VC62">
        <v>5.4000000000000003E-3</v>
      </c>
      <c r="VD62">
        <v>5.13E-3</v>
      </c>
      <c r="VE62">
        <v>4.2399999999999998E-3</v>
      </c>
      <c r="VF62">
        <v>5.5100000000000001E-3</v>
      </c>
      <c r="VG62">
        <v>7.8499999999999993E-3</v>
      </c>
      <c r="VH62">
        <v>4.4099999999999999E-3</v>
      </c>
      <c r="VI62">
        <v>5.0200000000000002E-3</v>
      </c>
    </row>
    <row r="63" spans="1:581" x14ac:dyDescent="0.25">
      <c r="A63">
        <v>2000000</v>
      </c>
      <c r="B63">
        <v>4.62E-3</v>
      </c>
      <c r="C63">
        <v>5.0400000000000002E-3</v>
      </c>
      <c r="D63">
        <v>5.1799999999999997E-3</v>
      </c>
      <c r="E63">
        <v>5.7499999999999999E-3</v>
      </c>
      <c r="F63">
        <v>6.1999999999999998E-3</v>
      </c>
      <c r="G63">
        <v>6.4099999999999999E-3</v>
      </c>
      <c r="H63">
        <v>5.0299999999999997E-3</v>
      </c>
      <c r="I63">
        <v>5.0000000000000001E-3</v>
      </c>
      <c r="J63">
        <v>5.0800000000000003E-3</v>
      </c>
      <c r="K63">
        <v>5.0400000000000002E-3</v>
      </c>
      <c r="L63">
        <v>4.9399999999999999E-3</v>
      </c>
      <c r="M63">
        <v>4.8999999999999998E-3</v>
      </c>
      <c r="N63">
        <v>4.9100000000000003E-3</v>
      </c>
      <c r="O63">
        <v>4.5199999999999997E-3</v>
      </c>
      <c r="P63">
        <v>4.45E-3</v>
      </c>
      <c r="Q63">
        <v>4.47E-3</v>
      </c>
      <c r="R63">
        <v>4.4200000000000003E-3</v>
      </c>
      <c r="T63">
        <v>4.8399999999999997E-3</v>
      </c>
      <c r="U63">
        <v>5.8700000000000002E-3</v>
      </c>
      <c r="V63">
        <v>4.8199999999999996E-3</v>
      </c>
      <c r="W63">
        <v>5.6699999999999997E-3</v>
      </c>
      <c r="X63">
        <v>4.6899999999999997E-3</v>
      </c>
      <c r="Y63">
        <v>5.5999999999999999E-3</v>
      </c>
      <c r="Z63">
        <v>4.4600000000000004E-3</v>
      </c>
      <c r="AA63">
        <v>4.4299999999999999E-3</v>
      </c>
      <c r="AB63">
        <v>6.7000000000000002E-3</v>
      </c>
      <c r="AC63">
        <v>6.4900000000000001E-3</v>
      </c>
      <c r="AD63">
        <v>4.9300000000000004E-3</v>
      </c>
      <c r="AE63">
        <v>5.4799999999999996E-3</v>
      </c>
      <c r="AF63">
        <v>5.7400000000000003E-3</v>
      </c>
      <c r="AG63">
        <v>4.2500000000000003E-3</v>
      </c>
      <c r="AH63">
        <v>4.1999999999999997E-3</v>
      </c>
      <c r="AI63">
        <v>4.1999999999999997E-3</v>
      </c>
      <c r="AJ63">
        <v>4.2399999999999998E-3</v>
      </c>
      <c r="AK63">
        <v>5.6899999999999997E-3</v>
      </c>
      <c r="AL63">
        <v>7.0600000000000003E-3</v>
      </c>
      <c r="AM63">
        <v>4.0200000000000001E-3</v>
      </c>
      <c r="AN63">
        <v>4.6100000000000004E-3</v>
      </c>
      <c r="AO63">
        <v>9.7400000000000004E-3</v>
      </c>
      <c r="AP63">
        <v>4.9399999999999999E-3</v>
      </c>
      <c r="AQ63">
        <v>4.8599999999999997E-3</v>
      </c>
      <c r="AR63">
        <v>4.8599999999999997E-3</v>
      </c>
      <c r="AS63">
        <v>4.9899999999999996E-3</v>
      </c>
      <c r="AT63">
        <v>3.8899999999999998E-3</v>
      </c>
      <c r="AU63">
        <v>4.4299999999999999E-3</v>
      </c>
      <c r="AV63">
        <v>3.9899999999999996E-3</v>
      </c>
      <c r="AW63">
        <v>4.5599999999999998E-3</v>
      </c>
      <c r="AX63">
        <v>4.5700000000000003E-3</v>
      </c>
      <c r="AY63">
        <v>5.3899999999999998E-3</v>
      </c>
      <c r="AZ63">
        <v>5.5599999999999998E-3</v>
      </c>
      <c r="BA63">
        <v>3.8500000000000001E-3</v>
      </c>
      <c r="BB63">
        <v>5.77E-3</v>
      </c>
      <c r="BC63">
        <v>6.1799999999999997E-3</v>
      </c>
      <c r="BD63">
        <v>6.3800000000000003E-3</v>
      </c>
      <c r="BE63">
        <v>7.3899999999999999E-3</v>
      </c>
      <c r="BF63">
        <v>8.8999999999999999E-3</v>
      </c>
      <c r="BG63">
        <v>5.7999999999999996E-3</v>
      </c>
      <c r="BH63">
        <v>4.7099999999999998E-3</v>
      </c>
      <c r="BI63">
        <v>8.6700000000000006E-3</v>
      </c>
      <c r="BJ63">
        <v>5.9300000000000004E-3</v>
      </c>
      <c r="BK63">
        <v>6.4099999999999999E-3</v>
      </c>
      <c r="BL63">
        <v>6.4700000000000001E-3</v>
      </c>
      <c r="BM63">
        <v>6.1700000000000001E-3</v>
      </c>
      <c r="BN63">
        <v>6.4400000000000004E-3</v>
      </c>
      <c r="BO63">
        <v>7.2300000000000003E-3</v>
      </c>
      <c r="BP63">
        <v>6.4900000000000001E-3</v>
      </c>
      <c r="BQ63">
        <v>5.8199999999999997E-3</v>
      </c>
      <c r="BR63">
        <v>3.8500000000000001E-3</v>
      </c>
      <c r="BT63">
        <v>6.2100000000000002E-3</v>
      </c>
      <c r="BU63">
        <v>8.0599999999999995E-3</v>
      </c>
      <c r="BV63">
        <v>8.0700000000000008E-3</v>
      </c>
      <c r="BW63">
        <v>7.77E-3</v>
      </c>
      <c r="BX63">
        <v>7.6E-3</v>
      </c>
      <c r="BY63">
        <v>7.7200000000000003E-3</v>
      </c>
      <c r="BZ63">
        <v>6.7099999999999998E-3</v>
      </c>
      <c r="CA63">
        <v>6.8799999999999998E-3</v>
      </c>
      <c r="CB63">
        <v>5.8599999999999998E-3</v>
      </c>
      <c r="CC63">
        <v>6.1999999999999998E-3</v>
      </c>
      <c r="CD63">
        <v>4.96E-3</v>
      </c>
      <c r="CE63">
        <v>5.2599999999999999E-3</v>
      </c>
      <c r="CF63">
        <v>5.0800000000000003E-3</v>
      </c>
      <c r="CG63">
        <v>4.8399999999999997E-3</v>
      </c>
      <c r="CH63">
        <v>4.6499999999999996E-3</v>
      </c>
      <c r="CI63">
        <v>4.4999999999999997E-3</v>
      </c>
      <c r="CJ63">
        <v>4.3099999999999996E-3</v>
      </c>
      <c r="CK63">
        <v>4.5399999999999998E-3</v>
      </c>
      <c r="CL63">
        <v>5.2399999999999999E-3</v>
      </c>
      <c r="CM63">
        <v>5.28E-3</v>
      </c>
      <c r="CN63">
        <v>5.4599999999999996E-3</v>
      </c>
      <c r="CO63">
        <v>5.3099999999999996E-3</v>
      </c>
      <c r="CP63">
        <v>5.5799999999999999E-3</v>
      </c>
      <c r="CQ63">
        <v>5.3600000000000002E-3</v>
      </c>
      <c r="CR63">
        <v>5.4099999999999999E-3</v>
      </c>
      <c r="CS63">
        <v>5.6800000000000002E-3</v>
      </c>
      <c r="CT63">
        <v>6.0299999999999998E-3</v>
      </c>
      <c r="CU63">
        <v>4.9500000000000004E-3</v>
      </c>
      <c r="CV63">
        <v>4.9699999999999996E-3</v>
      </c>
      <c r="CW63">
        <v>5.1399999999999996E-3</v>
      </c>
      <c r="CX63">
        <v>5.2599999999999999E-3</v>
      </c>
      <c r="CY63">
        <v>4.5199999999999997E-3</v>
      </c>
      <c r="CZ63">
        <v>4.6800000000000001E-3</v>
      </c>
      <c r="DA63">
        <v>4.7499999999999999E-3</v>
      </c>
      <c r="DB63">
        <v>4.6800000000000001E-3</v>
      </c>
      <c r="DC63">
        <v>4.64E-3</v>
      </c>
      <c r="DD63">
        <v>4.6299999999999996E-3</v>
      </c>
      <c r="DE63">
        <v>4.62E-3</v>
      </c>
      <c r="DF63">
        <v>5.5100000000000001E-3</v>
      </c>
      <c r="DG63">
        <v>3.9199999999999999E-3</v>
      </c>
      <c r="DH63">
        <v>5.0499999999999998E-3</v>
      </c>
      <c r="DI63">
        <v>5.0800000000000003E-3</v>
      </c>
      <c r="DJ63">
        <v>5.2100000000000002E-3</v>
      </c>
      <c r="DK63">
        <v>5.3099999999999996E-3</v>
      </c>
      <c r="DL63">
        <v>5.45E-3</v>
      </c>
      <c r="DM63">
        <v>7.3899999999999999E-3</v>
      </c>
      <c r="DN63">
        <v>6.2899999999999996E-3</v>
      </c>
      <c r="DO63">
        <v>7.4599999999999996E-3</v>
      </c>
      <c r="DP63">
        <v>7.7499999999999999E-3</v>
      </c>
      <c r="DR63">
        <v>5.9899999999999997E-3</v>
      </c>
      <c r="DS63">
        <v>5.2599999999999999E-3</v>
      </c>
      <c r="DU63">
        <v>7.7099999999999998E-3</v>
      </c>
      <c r="DV63">
        <v>7.9900000000000006E-3</v>
      </c>
      <c r="DX63">
        <v>7.7499999999999999E-3</v>
      </c>
      <c r="DY63">
        <v>8.43E-3</v>
      </c>
      <c r="DZ63">
        <v>8.1600000000000006E-3</v>
      </c>
      <c r="EA63">
        <v>4.5900000000000003E-3</v>
      </c>
      <c r="EB63">
        <v>4.5700000000000003E-3</v>
      </c>
      <c r="EC63">
        <v>4.28E-3</v>
      </c>
      <c r="EF63">
        <v>9.8499999999999994E-3</v>
      </c>
      <c r="EI63">
        <v>5.6499999999999996E-3</v>
      </c>
      <c r="EJ63">
        <v>5.2900000000000004E-3</v>
      </c>
      <c r="EK63">
        <v>5.13E-3</v>
      </c>
      <c r="EL63">
        <v>5.3099999999999996E-3</v>
      </c>
      <c r="EM63">
        <v>5.5999999999999999E-3</v>
      </c>
      <c r="EN63">
        <v>5.7099999999999998E-3</v>
      </c>
      <c r="EO63">
        <v>5.7099999999999998E-3</v>
      </c>
      <c r="EP63">
        <v>6.1000000000000004E-3</v>
      </c>
      <c r="EQ63">
        <v>6.1500000000000001E-3</v>
      </c>
      <c r="ER63">
        <v>4.3400000000000001E-3</v>
      </c>
      <c r="ES63">
        <v>4.3699999999999998E-3</v>
      </c>
      <c r="ET63">
        <v>4.1700000000000001E-3</v>
      </c>
      <c r="EU63">
        <v>8.7799999999999996E-3</v>
      </c>
      <c r="EV63">
        <v>8.1399999999999997E-3</v>
      </c>
      <c r="EW63">
        <v>7.6699999999999997E-3</v>
      </c>
      <c r="EX63">
        <v>7.7200000000000003E-3</v>
      </c>
      <c r="EY63">
        <v>6.7099999999999998E-3</v>
      </c>
      <c r="EZ63">
        <v>6.6699999999999997E-3</v>
      </c>
      <c r="FA63">
        <v>5.0099999999999997E-3</v>
      </c>
      <c r="FB63">
        <v>5.5199999999999997E-3</v>
      </c>
      <c r="FC63">
        <v>4.6699999999999997E-3</v>
      </c>
      <c r="FD63">
        <v>4.6299999999999996E-3</v>
      </c>
      <c r="FE63">
        <v>5.4200000000000003E-3</v>
      </c>
      <c r="FF63">
        <v>4.2599999999999999E-3</v>
      </c>
      <c r="FG63">
        <v>7.7299999999999999E-3</v>
      </c>
      <c r="FH63">
        <v>7.8399999999999997E-3</v>
      </c>
      <c r="FI63">
        <v>7.6899999999999998E-3</v>
      </c>
      <c r="FJ63">
        <v>7.77E-3</v>
      </c>
      <c r="FK63">
        <v>6.8599999999999998E-3</v>
      </c>
      <c r="FL63">
        <v>4.5599999999999998E-3</v>
      </c>
      <c r="FN63">
        <v>4.9699999999999996E-3</v>
      </c>
      <c r="FO63">
        <v>4.62E-3</v>
      </c>
      <c r="FP63">
        <v>4.2500000000000003E-3</v>
      </c>
      <c r="FQ63">
        <v>5.2599999999999999E-3</v>
      </c>
      <c r="FR63">
        <v>8.6899999999999998E-3</v>
      </c>
      <c r="FS63">
        <v>5.5799999999999999E-3</v>
      </c>
      <c r="FT63">
        <v>5.5599999999999998E-3</v>
      </c>
      <c r="FU63">
        <v>5.5399999999999998E-3</v>
      </c>
      <c r="FV63">
        <v>5.7600000000000004E-3</v>
      </c>
      <c r="FW63">
        <v>5.5500000000000002E-3</v>
      </c>
      <c r="FX63">
        <v>5.7200000000000003E-3</v>
      </c>
      <c r="FY63">
        <v>6.0400000000000002E-3</v>
      </c>
      <c r="FZ63">
        <v>6.0200000000000002E-3</v>
      </c>
      <c r="GA63">
        <v>6.3E-3</v>
      </c>
      <c r="GB63">
        <v>6.1900000000000002E-3</v>
      </c>
      <c r="GC63">
        <v>6.5900000000000004E-3</v>
      </c>
      <c r="GD63">
        <v>6.2599999999999999E-3</v>
      </c>
      <c r="GE63">
        <v>6.7200000000000003E-3</v>
      </c>
      <c r="GF63">
        <v>5.9199999999999999E-3</v>
      </c>
      <c r="GG63">
        <v>6.0099999999999997E-3</v>
      </c>
      <c r="GH63">
        <v>6.0800000000000003E-3</v>
      </c>
      <c r="GI63">
        <v>6.8399999999999997E-3</v>
      </c>
      <c r="GJ63">
        <v>6.96E-3</v>
      </c>
      <c r="GK63">
        <v>7.1199999999999996E-3</v>
      </c>
      <c r="GL63">
        <v>7.28E-3</v>
      </c>
      <c r="GM63">
        <v>6.5300000000000002E-3</v>
      </c>
      <c r="GO63">
        <v>6.0600000000000003E-3</v>
      </c>
      <c r="GP63">
        <v>4.9399999999999999E-3</v>
      </c>
      <c r="GQ63">
        <v>5.3299999999999997E-3</v>
      </c>
      <c r="GR63">
        <v>5.3499999999999997E-3</v>
      </c>
      <c r="GS63">
        <v>4.9199999999999999E-3</v>
      </c>
      <c r="GT63">
        <v>5.4200000000000003E-3</v>
      </c>
      <c r="GU63">
        <v>6.9499999999999996E-3</v>
      </c>
      <c r="GV63">
        <v>7.5700000000000003E-3</v>
      </c>
      <c r="GW63">
        <v>7.0699999999999999E-3</v>
      </c>
      <c r="GX63">
        <v>6.8100000000000001E-3</v>
      </c>
      <c r="GY63">
        <v>5.9100000000000003E-3</v>
      </c>
      <c r="GZ63">
        <v>5.6299999999999996E-3</v>
      </c>
      <c r="HA63">
        <v>4.8700000000000002E-3</v>
      </c>
      <c r="HB63">
        <v>4.6699999999999997E-3</v>
      </c>
      <c r="HC63">
        <v>7.3200000000000001E-3</v>
      </c>
      <c r="HD63">
        <v>3.6800000000000001E-3</v>
      </c>
      <c r="HE63">
        <v>6.79E-3</v>
      </c>
      <c r="HF63">
        <v>7.4599999999999996E-3</v>
      </c>
      <c r="HG63">
        <v>7.7499999999999999E-3</v>
      </c>
      <c r="HH63">
        <v>7.7299999999999999E-3</v>
      </c>
      <c r="HI63">
        <v>7.8600000000000007E-3</v>
      </c>
      <c r="HJ63">
        <v>4.3499999999999997E-3</v>
      </c>
      <c r="HK63">
        <v>4.8900000000000002E-3</v>
      </c>
      <c r="HL63">
        <v>5.5199999999999997E-3</v>
      </c>
      <c r="HM63">
        <v>5.2900000000000004E-3</v>
      </c>
      <c r="HN63">
        <v>5.5399999999999998E-3</v>
      </c>
      <c r="HO63">
        <v>4.9100000000000003E-3</v>
      </c>
      <c r="HP63">
        <v>4.7200000000000002E-3</v>
      </c>
      <c r="HQ63">
        <v>4.7099999999999998E-3</v>
      </c>
      <c r="HR63">
        <v>5.2300000000000003E-3</v>
      </c>
      <c r="HS63">
        <v>8.6700000000000006E-3</v>
      </c>
      <c r="HT63">
        <v>4.3200000000000001E-3</v>
      </c>
      <c r="HU63">
        <v>4.8199999999999996E-3</v>
      </c>
      <c r="HV63">
        <v>5.9100000000000003E-3</v>
      </c>
      <c r="HW63">
        <v>4.96E-3</v>
      </c>
      <c r="HX63">
        <v>4.81E-3</v>
      </c>
      <c r="HY63">
        <v>5.1200000000000004E-3</v>
      </c>
      <c r="HZ63">
        <v>3.96E-3</v>
      </c>
      <c r="IA63">
        <v>5.9800000000000001E-3</v>
      </c>
      <c r="IB63">
        <v>7.6600000000000001E-3</v>
      </c>
      <c r="IC63">
        <v>6.7400000000000003E-3</v>
      </c>
      <c r="ID63">
        <v>4.4200000000000003E-3</v>
      </c>
      <c r="IE63">
        <v>4.1599999999999996E-3</v>
      </c>
      <c r="IF63">
        <v>4.1900000000000001E-3</v>
      </c>
      <c r="IG63">
        <v>5.11E-3</v>
      </c>
      <c r="IH63">
        <v>5.3299999999999997E-3</v>
      </c>
      <c r="II63">
        <v>4.0499999999999998E-3</v>
      </c>
      <c r="IJ63">
        <v>5.0400000000000002E-3</v>
      </c>
      <c r="IK63">
        <v>5.6499999999999996E-3</v>
      </c>
      <c r="IL63">
        <v>6.2300000000000003E-3</v>
      </c>
      <c r="IM63">
        <v>7.2700000000000004E-3</v>
      </c>
      <c r="IN63">
        <v>7.4999999999999997E-3</v>
      </c>
      <c r="IO63">
        <v>8.2299999999999995E-3</v>
      </c>
      <c r="IP63">
        <v>9.1299999999999992E-3</v>
      </c>
      <c r="IQ63">
        <v>9.8700000000000003E-3</v>
      </c>
      <c r="IR63">
        <v>1.0630000000000001E-2</v>
      </c>
      <c r="IS63">
        <v>4.9899999999999996E-3</v>
      </c>
      <c r="IT63">
        <v>3.5000000000000001E-3</v>
      </c>
      <c r="IU63">
        <v>3.7799999999999999E-3</v>
      </c>
      <c r="IV63">
        <v>4.1900000000000001E-3</v>
      </c>
      <c r="IW63">
        <v>4.6800000000000001E-3</v>
      </c>
      <c r="IX63">
        <v>3.5899999999999999E-3</v>
      </c>
      <c r="IY63">
        <v>4.3299999999999996E-3</v>
      </c>
      <c r="IZ63">
        <v>3.9100000000000003E-3</v>
      </c>
      <c r="JA63">
        <v>4.3800000000000002E-3</v>
      </c>
      <c r="JB63">
        <v>4.4600000000000004E-3</v>
      </c>
      <c r="JC63">
        <v>4.8199999999999996E-3</v>
      </c>
      <c r="JD63">
        <v>5.0299999999999997E-3</v>
      </c>
      <c r="JF63">
        <v>7.1399999999999996E-3</v>
      </c>
      <c r="JG63">
        <v>9.5200000000000007E-3</v>
      </c>
      <c r="JH63">
        <v>8.6899999999999998E-3</v>
      </c>
      <c r="JI63">
        <v>5.2500000000000003E-3</v>
      </c>
      <c r="JJ63">
        <v>5.0699999999999999E-3</v>
      </c>
      <c r="JK63">
        <v>8.0499999999999999E-3</v>
      </c>
      <c r="JL63">
        <v>7.1300000000000001E-3</v>
      </c>
      <c r="JM63">
        <v>5.1500000000000001E-3</v>
      </c>
      <c r="JN63">
        <v>5.7299999999999999E-3</v>
      </c>
      <c r="JP63">
        <v>4.5599999999999998E-3</v>
      </c>
      <c r="JQ63">
        <v>5.6800000000000002E-3</v>
      </c>
      <c r="JR63">
        <v>5.3600000000000002E-3</v>
      </c>
      <c r="JS63">
        <v>4.9699999999999996E-3</v>
      </c>
      <c r="JT63">
        <v>5.8399999999999997E-3</v>
      </c>
      <c r="JU63">
        <v>7.5199999999999998E-3</v>
      </c>
      <c r="JV63">
        <v>7.6699999999999997E-3</v>
      </c>
      <c r="JX63">
        <v>5.1500000000000001E-3</v>
      </c>
      <c r="JY63">
        <v>6.13E-3</v>
      </c>
      <c r="JZ63">
        <v>5.8500000000000002E-3</v>
      </c>
      <c r="KA63">
        <v>5.6100000000000004E-3</v>
      </c>
      <c r="KB63">
        <v>5.28E-3</v>
      </c>
      <c r="KC63">
        <v>5.4400000000000004E-3</v>
      </c>
      <c r="KE63">
        <v>8.4100000000000008E-3</v>
      </c>
      <c r="KF63">
        <v>1.0189999999999999E-2</v>
      </c>
      <c r="KH63">
        <v>1.0880000000000001E-2</v>
      </c>
      <c r="KI63">
        <v>6.2500000000000003E-3</v>
      </c>
      <c r="KJ63">
        <v>6.3600000000000002E-3</v>
      </c>
      <c r="KK63">
        <v>6.2700000000000004E-3</v>
      </c>
      <c r="KL63">
        <v>6.7600000000000004E-3</v>
      </c>
      <c r="KM63">
        <v>6.8199999999999997E-3</v>
      </c>
      <c r="KN63">
        <v>6.8100000000000001E-3</v>
      </c>
      <c r="KO63">
        <v>6.6600000000000001E-3</v>
      </c>
      <c r="KP63">
        <v>6.3299999999999997E-3</v>
      </c>
      <c r="KQ63">
        <v>6.3899999999999998E-3</v>
      </c>
      <c r="KR63">
        <v>6.4799999999999996E-3</v>
      </c>
      <c r="KS63">
        <v>6.77E-3</v>
      </c>
      <c r="KT63">
        <v>6.5500000000000003E-3</v>
      </c>
      <c r="KU63">
        <v>6.8199999999999997E-3</v>
      </c>
      <c r="KV63">
        <v>5.9800000000000001E-3</v>
      </c>
      <c r="KW63">
        <v>5.2700000000000004E-3</v>
      </c>
      <c r="KX63">
        <v>1.0189999999999999E-2</v>
      </c>
      <c r="KY63">
        <v>7.3299999999999997E-3</v>
      </c>
      <c r="KZ63">
        <v>8.1600000000000006E-3</v>
      </c>
      <c r="LB63">
        <v>5.11E-3</v>
      </c>
      <c r="LC63">
        <v>5.13E-3</v>
      </c>
      <c r="LD63">
        <v>5.13E-3</v>
      </c>
      <c r="LE63">
        <v>8.1799999999999998E-3</v>
      </c>
      <c r="LF63">
        <v>7.28E-3</v>
      </c>
      <c r="LG63">
        <v>5.5799999999999999E-3</v>
      </c>
      <c r="LI63">
        <v>8.1099999999999992E-3</v>
      </c>
      <c r="LJ63">
        <v>8.5800000000000008E-3</v>
      </c>
      <c r="LK63">
        <v>8.5599999999999999E-3</v>
      </c>
      <c r="LL63">
        <v>5.3299999999999997E-3</v>
      </c>
      <c r="LM63">
        <v>3.9300000000000003E-3</v>
      </c>
      <c r="LN63">
        <v>4.7000000000000002E-3</v>
      </c>
      <c r="LO63">
        <v>4.8700000000000002E-3</v>
      </c>
      <c r="LP63">
        <v>4.3800000000000002E-3</v>
      </c>
      <c r="LR63">
        <v>7.8700000000000003E-3</v>
      </c>
      <c r="LS63">
        <v>8.8999999999999999E-3</v>
      </c>
      <c r="LT63">
        <v>4.6699999999999997E-3</v>
      </c>
      <c r="LU63">
        <v>5.45E-3</v>
      </c>
      <c r="LV63">
        <v>5.8100000000000001E-3</v>
      </c>
      <c r="LW63">
        <v>4.8700000000000002E-3</v>
      </c>
      <c r="LY63">
        <v>6.0699999999999999E-3</v>
      </c>
      <c r="LZ63">
        <v>6.1799999999999997E-3</v>
      </c>
      <c r="MA63">
        <v>6.4700000000000001E-3</v>
      </c>
      <c r="MB63">
        <v>4.62E-3</v>
      </c>
      <c r="MC63">
        <v>7.7299999999999999E-3</v>
      </c>
      <c r="MD63">
        <v>8.6899999999999998E-3</v>
      </c>
      <c r="ME63">
        <v>1.081E-2</v>
      </c>
      <c r="MF63">
        <v>1.286E-2</v>
      </c>
      <c r="MG63">
        <v>1.3350000000000001E-2</v>
      </c>
      <c r="MH63">
        <v>4.5799999999999999E-3</v>
      </c>
      <c r="MI63">
        <v>4.7000000000000002E-3</v>
      </c>
      <c r="MJ63">
        <v>4.7499999999999999E-3</v>
      </c>
      <c r="MK63">
        <v>4.47E-3</v>
      </c>
      <c r="ML63">
        <v>5.4400000000000004E-3</v>
      </c>
      <c r="MM63">
        <v>4.45E-3</v>
      </c>
      <c r="MN63">
        <v>4.7800000000000004E-3</v>
      </c>
      <c r="MO63">
        <v>5.0499999999999998E-3</v>
      </c>
      <c r="MP63">
        <v>6.2700000000000004E-3</v>
      </c>
      <c r="MQ63">
        <v>3.79E-3</v>
      </c>
      <c r="MR63">
        <v>5.11E-3</v>
      </c>
      <c r="MS63">
        <v>5.1799999999999997E-3</v>
      </c>
      <c r="MT63">
        <v>6.5700000000000003E-3</v>
      </c>
      <c r="MU63">
        <v>4.7999999999999996E-3</v>
      </c>
      <c r="MV63">
        <v>5.0400000000000002E-3</v>
      </c>
      <c r="MW63">
        <v>5.1999999999999998E-3</v>
      </c>
      <c r="MX63">
        <v>5.2500000000000003E-3</v>
      </c>
      <c r="MY63">
        <v>5.64E-3</v>
      </c>
      <c r="MZ63">
        <v>6.3299999999999997E-3</v>
      </c>
      <c r="NA63">
        <v>5.6499999999999996E-3</v>
      </c>
      <c r="NB63">
        <v>5.3699999999999998E-3</v>
      </c>
      <c r="NC63">
        <v>3.31E-3</v>
      </c>
      <c r="ND63">
        <v>1.1679999999999999E-2</v>
      </c>
      <c r="NE63">
        <v>5.77E-3</v>
      </c>
      <c r="NF63">
        <v>6.6800000000000002E-3</v>
      </c>
      <c r="NG63">
        <v>4.3E-3</v>
      </c>
      <c r="NH63">
        <v>3.7799999999999999E-3</v>
      </c>
      <c r="NI63">
        <v>4.0000000000000001E-3</v>
      </c>
      <c r="NJ63">
        <v>4.3099999999999996E-3</v>
      </c>
      <c r="NL63">
        <v>4.15E-3</v>
      </c>
      <c r="NM63">
        <v>4.3400000000000001E-3</v>
      </c>
      <c r="NN63">
        <v>4.4999999999999997E-3</v>
      </c>
      <c r="NO63">
        <v>4.6600000000000001E-3</v>
      </c>
      <c r="NP63">
        <v>4.5100000000000001E-3</v>
      </c>
      <c r="NQ63">
        <v>4.0200000000000001E-3</v>
      </c>
      <c r="NS63">
        <v>4.3899999999999998E-3</v>
      </c>
      <c r="NT63">
        <v>4.6899999999999997E-3</v>
      </c>
      <c r="NU63">
        <v>4.0899999999999999E-3</v>
      </c>
      <c r="NV63">
        <v>4.2399999999999998E-3</v>
      </c>
      <c r="NW63">
        <v>4.3800000000000002E-3</v>
      </c>
      <c r="NX63">
        <v>4.2500000000000003E-3</v>
      </c>
      <c r="NY63">
        <v>4.4400000000000004E-3</v>
      </c>
      <c r="NZ63">
        <v>4.5300000000000002E-3</v>
      </c>
      <c r="OA63">
        <v>4.6899999999999997E-3</v>
      </c>
      <c r="OB63">
        <v>4.3E-3</v>
      </c>
      <c r="OC63">
        <v>4.28E-3</v>
      </c>
      <c r="OD63">
        <v>4.2599999999999999E-3</v>
      </c>
      <c r="OE63">
        <v>4.2599999999999999E-3</v>
      </c>
      <c r="OF63">
        <v>6.5399999999999998E-3</v>
      </c>
      <c r="OG63">
        <v>4.5399999999999998E-3</v>
      </c>
      <c r="OH63">
        <v>4.7000000000000002E-3</v>
      </c>
      <c r="OI63">
        <v>4.7999999999999996E-3</v>
      </c>
      <c r="OK63">
        <v>5.0299999999999997E-3</v>
      </c>
      <c r="OL63">
        <v>5.1599999999999997E-3</v>
      </c>
      <c r="OM63">
        <v>5.6100000000000004E-3</v>
      </c>
      <c r="ON63">
        <v>5.6699999999999997E-3</v>
      </c>
      <c r="OO63">
        <v>4.5999999999999999E-3</v>
      </c>
      <c r="OP63">
        <v>4.8700000000000002E-3</v>
      </c>
      <c r="OS63">
        <v>5.79E-3</v>
      </c>
      <c r="OT63">
        <v>5.7000000000000002E-3</v>
      </c>
      <c r="OU63">
        <v>5.9199999999999999E-3</v>
      </c>
      <c r="OV63">
        <v>5.11E-3</v>
      </c>
      <c r="OW63">
        <v>4.4299999999999999E-3</v>
      </c>
      <c r="OX63">
        <v>5.3600000000000002E-3</v>
      </c>
      <c r="OY63">
        <v>5.5799999999999999E-3</v>
      </c>
      <c r="OZ63">
        <v>5.2500000000000003E-3</v>
      </c>
      <c r="PA63">
        <v>7.8200000000000006E-3</v>
      </c>
      <c r="PB63">
        <v>8.1700000000000002E-3</v>
      </c>
      <c r="PC63">
        <v>7.0099999999999997E-3</v>
      </c>
      <c r="PD63">
        <v>6.2599999999999999E-3</v>
      </c>
      <c r="PE63">
        <v>5.9300000000000004E-3</v>
      </c>
      <c r="PF63">
        <v>5.9100000000000003E-3</v>
      </c>
      <c r="PG63">
        <v>5.1599999999999997E-3</v>
      </c>
      <c r="PH63">
        <v>5.3099999999999996E-3</v>
      </c>
      <c r="PI63">
        <v>6.4900000000000001E-3</v>
      </c>
      <c r="PJ63">
        <v>6.0600000000000003E-3</v>
      </c>
      <c r="PK63">
        <v>5.6600000000000001E-3</v>
      </c>
      <c r="PM63">
        <v>5.11E-3</v>
      </c>
      <c r="PO63">
        <v>4.1000000000000003E-3</v>
      </c>
      <c r="PP63">
        <v>4.2199999999999998E-3</v>
      </c>
      <c r="PQ63">
        <v>4.9800000000000001E-3</v>
      </c>
      <c r="PS63">
        <v>4.3800000000000002E-3</v>
      </c>
      <c r="PT63">
        <v>4.9699999999999996E-3</v>
      </c>
      <c r="PU63">
        <v>4.6699999999999997E-3</v>
      </c>
      <c r="PV63">
        <v>2.8700000000000002E-3</v>
      </c>
      <c r="PW63">
        <v>3.0500000000000002E-3</v>
      </c>
      <c r="PX63">
        <v>3.16E-3</v>
      </c>
      <c r="PY63">
        <v>3.2699999999999999E-3</v>
      </c>
      <c r="PZ63">
        <v>3.4499999999999999E-3</v>
      </c>
      <c r="QA63">
        <v>3.98E-3</v>
      </c>
      <c r="QB63">
        <v>4.3400000000000001E-3</v>
      </c>
      <c r="QC63">
        <v>5.1900000000000002E-3</v>
      </c>
      <c r="QD63">
        <v>5.45E-3</v>
      </c>
      <c r="QE63">
        <v>4.4099999999999999E-3</v>
      </c>
      <c r="QF63">
        <v>4.8999999999999998E-3</v>
      </c>
      <c r="QG63">
        <v>6.8300000000000001E-3</v>
      </c>
      <c r="QH63">
        <v>4.79E-3</v>
      </c>
      <c r="QI63">
        <v>5.0000000000000001E-3</v>
      </c>
      <c r="QJ63">
        <v>4.7800000000000004E-3</v>
      </c>
      <c r="QK63">
        <v>4.8500000000000001E-3</v>
      </c>
      <c r="QL63">
        <v>4.7200000000000002E-3</v>
      </c>
      <c r="QM63">
        <v>5.2199999999999998E-3</v>
      </c>
      <c r="QO63">
        <v>6.28E-3</v>
      </c>
      <c r="QP63">
        <v>7.3400000000000002E-3</v>
      </c>
      <c r="QQ63">
        <v>7.4099999999999999E-3</v>
      </c>
      <c r="QR63">
        <v>7.4799999999999997E-3</v>
      </c>
      <c r="QS63">
        <v>7.43E-3</v>
      </c>
      <c r="QT63">
        <v>5.4799999999999996E-3</v>
      </c>
      <c r="QU63">
        <v>5.4799999999999996E-3</v>
      </c>
      <c r="QV63">
        <v>5.47E-3</v>
      </c>
      <c r="QW63">
        <v>5.7200000000000003E-3</v>
      </c>
      <c r="QX63">
        <v>5.13E-3</v>
      </c>
      <c r="QY63">
        <v>4.96E-3</v>
      </c>
      <c r="QZ63">
        <v>5.2700000000000004E-3</v>
      </c>
      <c r="RA63">
        <v>5.3099999999999996E-3</v>
      </c>
      <c r="RB63">
        <v>6.0200000000000002E-3</v>
      </c>
      <c r="RC63">
        <v>5.2900000000000004E-3</v>
      </c>
      <c r="RD63">
        <v>6.6299999999999996E-3</v>
      </c>
      <c r="RE63">
        <v>5.5500000000000002E-3</v>
      </c>
      <c r="RF63">
        <v>6.1599999999999997E-3</v>
      </c>
      <c r="RG63">
        <v>4.6100000000000004E-3</v>
      </c>
      <c r="RH63">
        <v>4.8300000000000001E-3</v>
      </c>
      <c r="RI63">
        <v>6.9699999999999996E-3</v>
      </c>
      <c r="RJ63">
        <v>5.5399999999999998E-3</v>
      </c>
      <c r="RK63">
        <v>5.5799999999999999E-3</v>
      </c>
      <c r="RL63">
        <v>5.3299999999999997E-3</v>
      </c>
      <c r="RM63">
        <v>4.1599999999999996E-3</v>
      </c>
      <c r="RN63">
        <v>4.2599999999999999E-3</v>
      </c>
      <c r="RO63">
        <v>4.2599999999999999E-3</v>
      </c>
      <c r="RP63">
        <v>3.96E-3</v>
      </c>
      <c r="RQ63">
        <v>4.3299999999999996E-3</v>
      </c>
      <c r="RR63">
        <v>4.1000000000000003E-3</v>
      </c>
      <c r="RS63">
        <v>4.2100000000000002E-3</v>
      </c>
      <c r="RT63">
        <v>3.5899999999999999E-3</v>
      </c>
      <c r="RU63">
        <v>4.64E-3</v>
      </c>
      <c r="RV63">
        <v>4.6699999999999997E-3</v>
      </c>
      <c r="RW63">
        <v>5.13E-3</v>
      </c>
      <c r="RX63">
        <v>4.7999999999999996E-3</v>
      </c>
      <c r="RY63">
        <v>4.0600000000000002E-3</v>
      </c>
      <c r="RZ63">
        <v>3.96E-3</v>
      </c>
      <c r="SA63">
        <v>4.7699999999999999E-3</v>
      </c>
      <c r="SB63">
        <v>4.5100000000000001E-3</v>
      </c>
      <c r="SC63">
        <v>5.7200000000000003E-3</v>
      </c>
      <c r="SD63">
        <v>6.1900000000000002E-3</v>
      </c>
      <c r="SE63">
        <v>5.6600000000000001E-3</v>
      </c>
      <c r="SF63">
        <v>6.4200000000000004E-3</v>
      </c>
      <c r="SG63">
        <v>7.9000000000000008E-3</v>
      </c>
      <c r="SH63">
        <v>1.0200000000000001E-2</v>
      </c>
      <c r="SJ63">
        <v>4.5900000000000003E-3</v>
      </c>
      <c r="SK63">
        <v>4.0400000000000002E-3</v>
      </c>
      <c r="SL63">
        <v>4.45E-3</v>
      </c>
      <c r="SM63">
        <v>3.5999999999999999E-3</v>
      </c>
      <c r="SN63">
        <v>4.0899999999999999E-3</v>
      </c>
      <c r="SO63">
        <v>3.9899999999999996E-3</v>
      </c>
      <c r="SQ63">
        <v>4.5599999999999998E-3</v>
      </c>
      <c r="SR63">
        <v>5.3600000000000002E-3</v>
      </c>
      <c r="SS63">
        <v>4.7000000000000002E-3</v>
      </c>
      <c r="ST63">
        <v>4.64E-3</v>
      </c>
      <c r="SU63">
        <v>4.9500000000000004E-3</v>
      </c>
      <c r="SV63">
        <v>4.7699999999999999E-3</v>
      </c>
      <c r="SW63">
        <v>5.1200000000000004E-3</v>
      </c>
      <c r="SX63">
        <v>4.8999999999999998E-3</v>
      </c>
      <c r="SY63">
        <v>4.5700000000000003E-3</v>
      </c>
      <c r="SZ63">
        <v>5.3200000000000001E-3</v>
      </c>
      <c r="TA63">
        <v>5.0299999999999997E-3</v>
      </c>
      <c r="TB63">
        <v>5.9500000000000004E-3</v>
      </c>
      <c r="TC63">
        <v>4.8799999999999998E-3</v>
      </c>
      <c r="TD63">
        <v>4.5399999999999998E-3</v>
      </c>
      <c r="TE63">
        <v>6.4700000000000001E-3</v>
      </c>
      <c r="TF63">
        <v>5.1200000000000004E-3</v>
      </c>
      <c r="TH63">
        <v>6.4799999999999996E-3</v>
      </c>
      <c r="TI63">
        <v>5.0800000000000003E-3</v>
      </c>
      <c r="TJ63">
        <v>6.5799999999999999E-3</v>
      </c>
      <c r="TK63">
        <v>4.1399999999999996E-3</v>
      </c>
      <c r="TL63">
        <v>3.98E-3</v>
      </c>
      <c r="TM63">
        <v>3.8899999999999998E-3</v>
      </c>
      <c r="TO63">
        <v>5.3699999999999998E-3</v>
      </c>
      <c r="TP63">
        <v>4.3099999999999996E-3</v>
      </c>
      <c r="TQ63">
        <v>5.2199999999999998E-3</v>
      </c>
      <c r="TR63">
        <v>5.64E-3</v>
      </c>
      <c r="TS63">
        <v>5.3E-3</v>
      </c>
      <c r="TT63">
        <v>5.3299999999999997E-3</v>
      </c>
      <c r="TU63">
        <v>5.0400000000000002E-3</v>
      </c>
      <c r="TV63">
        <v>4.1399999999999996E-3</v>
      </c>
      <c r="TW63">
        <v>4.5300000000000002E-3</v>
      </c>
      <c r="TX63">
        <v>4.9899999999999996E-3</v>
      </c>
      <c r="TY63">
        <v>5.0400000000000002E-3</v>
      </c>
      <c r="TZ63">
        <v>5.1200000000000004E-3</v>
      </c>
      <c r="UA63">
        <v>5.1599999999999997E-3</v>
      </c>
      <c r="UB63">
        <v>4.9899999999999996E-3</v>
      </c>
      <c r="UC63">
        <v>4.6299999999999996E-3</v>
      </c>
      <c r="UD63">
        <v>4.7200000000000002E-3</v>
      </c>
      <c r="UE63">
        <v>4.9399999999999999E-3</v>
      </c>
      <c r="UF63">
        <v>3.62E-3</v>
      </c>
      <c r="UG63">
        <v>4.28E-3</v>
      </c>
      <c r="UH63">
        <v>5.1900000000000002E-3</v>
      </c>
      <c r="UI63">
        <v>4.2100000000000002E-3</v>
      </c>
      <c r="UJ63">
        <v>5.1700000000000001E-3</v>
      </c>
      <c r="UK63">
        <v>5.0899999999999999E-3</v>
      </c>
      <c r="UL63">
        <v>5.13E-3</v>
      </c>
      <c r="UM63">
        <v>5.6800000000000002E-3</v>
      </c>
      <c r="UN63">
        <v>4.8700000000000002E-3</v>
      </c>
      <c r="UP63">
        <v>6.1399999999999996E-3</v>
      </c>
      <c r="UQ63">
        <v>4.7099999999999998E-3</v>
      </c>
      <c r="UR63">
        <v>4.6899999999999997E-3</v>
      </c>
      <c r="US63">
        <v>5.0099999999999997E-3</v>
      </c>
      <c r="UU63">
        <v>4.7600000000000003E-3</v>
      </c>
      <c r="UV63">
        <v>5.0299999999999997E-3</v>
      </c>
      <c r="UW63">
        <v>5.4299999999999999E-3</v>
      </c>
      <c r="UX63">
        <v>4.0000000000000001E-3</v>
      </c>
      <c r="UY63">
        <v>4.3800000000000002E-3</v>
      </c>
      <c r="UZ63">
        <v>5.1700000000000001E-3</v>
      </c>
      <c r="VA63">
        <v>6.4099999999999999E-3</v>
      </c>
      <c r="VB63">
        <v>5.5500000000000002E-3</v>
      </c>
      <c r="VC63">
        <v>5.3600000000000002E-3</v>
      </c>
      <c r="VD63">
        <v>5.0499999999999998E-3</v>
      </c>
      <c r="VE63">
        <v>4.1999999999999997E-3</v>
      </c>
      <c r="VF63">
        <v>5.4400000000000004E-3</v>
      </c>
      <c r="VG63">
        <v>7.8200000000000006E-3</v>
      </c>
      <c r="VH63">
        <v>4.3699999999999998E-3</v>
      </c>
      <c r="VI63">
        <v>4.9800000000000001E-3</v>
      </c>
    </row>
    <row r="64" spans="1:581" x14ac:dyDescent="0.25">
      <c r="A64">
        <v>2100000</v>
      </c>
      <c r="B64">
        <v>4.7000000000000002E-3</v>
      </c>
      <c r="C64">
        <v>5.0499999999999998E-3</v>
      </c>
      <c r="D64">
        <v>5.1999999999999998E-3</v>
      </c>
      <c r="E64">
        <v>5.7499999999999999E-3</v>
      </c>
      <c r="F64">
        <v>6.1999999999999998E-3</v>
      </c>
      <c r="G64">
        <v>6.4000000000000003E-3</v>
      </c>
      <c r="H64">
        <v>5.0400000000000002E-3</v>
      </c>
      <c r="I64">
        <v>5.0099999999999997E-3</v>
      </c>
      <c r="J64">
        <v>5.0899999999999999E-3</v>
      </c>
      <c r="K64">
        <v>5.0299999999999997E-3</v>
      </c>
      <c r="L64">
        <v>4.9399999999999999E-3</v>
      </c>
      <c r="M64">
        <v>4.9100000000000003E-3</v>
      </c>
      <c r="N64">
        <v>4.9199999999999999E-3</v>
      </c>
      <c r="O64">
        <v>4.4799999999999996E-3</v>
      </c>
      <c r="P64">
        <v>4.3899999999999998E-3</v>
      </c>
      <c r="Q64">
        <v>4.4299999999999999E-3</v>
      </c>
      <c r="R64">
        <v>4.3800000000000002E-3</v>
      </c>
      <c r="S64">
        <v>4.81E-3</v>
      </c>
      <c r="T64">
        <v>4.8900000000000002E-3</v>
      </c>
      <c r="U64">
        <v>5.8500000000000002E-3</v>
      </c>
      <c r="V64">
        <v>4.8399999999999997E-3</v>
      </c>
      <c r="W64">
        <v>5.64E-3</v>
      </c>
      <c r="X64">
        <v>4.7299999999999998E-3</v>
      </c>
      <c r="Y64">
        <v>5.5700000000000003E-3</v>
      </c>
      <c r="Z64">
        <v>4.5199999999999997E-3</v>
      </c>
      <c r="AA64">
        <v>4.3299999999999996E-3</v>
      </c>
      <c r="AB64">
        <v>6.6899999999999998E-3</v>
      </c>
      <c r="AC64">
        <v>6.45E-3</v>
      </c>
      <c r="AD64">
        <v>4.9100000000000003E-3</v>
      </c>
      <c r="AE64">
        <v>5.4400000000000004E-3</v>
      </c>
      <c r="AF64">
        <v>5.6899999999999997E-3</v>
      </c>
      <c r="AG64">
        <v>4.2100000000000002E-3</v>
      </c>
      <c r="AH64">
        <v>4.13E-3</v>
      </c>
      <c r="AI64">
        <v>4.1000000000000003E-3</v>
      </c>
      <c r="AJ64">
        <v>4.2199999999999998E-3</v>
      </c>
      <c r="AK64">
        <v>5.6800000000000002E-3</v>
      </c>
      <c r="AL64">
        <v>6.9899999999999997E-3</v>
      </c>
      <c r="AM64">
        <v>4.0499999999999998E-3</v>
      </c>
      <c r="AN64">
        <v>4.5199999999999997E-3</v>
      </c>
      <c r="AO64">
        <v>9.5700000000000004E-3</v>
      </c>
      <c r="AP64">
        <v>4.8500000000000001E-3</v>
      </c>
      <c r="AQ64">
        <v>4.7000000000000002E-3</v>
      </c>
      <c r="AR64">
        <v>4.7600000000000003E-3</v>
      </c>
      <c r="AS64">
        <v>4.8599999999999997E-3</v>
      </c>
      <c r="AT64">
        <v>3.79E-3</v>
      </c>
      <c r="AU64">
        <v>4.3200000000000001E-3</v>
      </c>
      <c r="AV64">
        <v>3.8800000000000002E-3</v>
      </c>
      <c r="AW64">
        <v>4.4900000000000001E-3</v>
      </c>
      <c r="AX64">
        <v>4.4799999999999996E-3</v>
      </c>
      <c r="AY64">
        <v>5.3899999999999998E-3</v>
      </c>
      <c r="AZ64">
        <v>5.5700000000000003E-3</v>
      </c>
      <c r="BA64">
        <v>3.81E-3</v>
      </c>
      <c r="BB64">
        <v>5.7099999999999998E-3</v>
      </c>
      <c r="BC64">
        <v>6.1000000000000004E-3</v>
      </c>
      <c r="BD64">
        <v>6.2899999999999996E-3</v>
      </c>
      <c r="BE64">
        <v>7.28E-3</v>
      </c>
      <c r="BF64">
        <v>8.8100000000000001E-3</v>
      </c>
      <c r="BG64">
        <v>5.7800000000000004E-3</v>
      </c>
      <c r="BH64">
        <v>4.5999999999999999E-3</v>
      </c>
      <c r="BI64">
        <v>8.5599999999999999E-3</v>
      </c>
      <c r="BJ64">
        <v>5.8700000000000002E-3</v>
      </c>
      <c r="BK64">
        <v>6.3299999999999997E-3</v>
      </c>
      <c r="BL64">
        <v>6.3899999999999998E-3</v>
      </c>
      <c r="BN64">
        <v>6.4900000000000001E-3</v>
      </c>
      <c r="BO64">
        <v>7.1399999999999996E-3</v>
      </c>
      <c r="BP64">
        <v>6.4400000000000004E-3</v>
      </c>
      <c r="BQ64">
        <v>5.8199999999999997E-3</v>
      </c>
      <c r="BR64">
        <v>3.7299999999999998E-3</v>
      </c>
      <c r="BT64">
        <v>6.0899999999999999E-3</v>
      </c>
      <c r="BU64">
        <v>7.9699999999999997E-3</v>
      </c>
      <c r="BV64">
        <v>7.9699999999999997E-3</v>
      </c>
      <c r="BW64">
        <v>7.7000000000000002E-3</v>
      </c>
      <c r="BX64">
        <v>7.5399999999999998E-3</v>
      </c>
      <c r="BY64">
        <v>7.6299999999999996E-3</v>
      </c>
      <c r="BZ64">
        <v>6.6299999999999996E-3</v>
      </c>
      <c r="CA64">
        <v>6.8199999999999997E-3</v>
      </c>
      <c r="CB64">
        <v>5.8199999999999997E-3</v>
      </c>
      <c r="CC64">
        <v>6.1500000000000001E-3</v>
      </c>
      <c r="CD64">
        <v>4.9199999999999999E-3</v>
      </c>
      <c r="CE64">
        <v>5.2300000000000003E-3</v>
      </c>
      <c r="CF64">
        <v>5.0600000000000003E-3</v>
      </c>
      <c r="CG64">
        <v>4.8399999999999997E-3</v>
      </c>
      <c r="CH64">
        <v>4.6499999999999996E-3</v>
      </c>
      <c r="CI64">
        <v>4.5399999999999998E-3</v>
      </c>
      <c r="CJ64">
        <v>4.3400000000000001E-3</v>
      </c>
      <c r="CK64">
        <v>4.5799999999999999E-3</v>
      </c>
      <c r="CL64">
        <v>5.2100000000000002E-3</v>
      </c>
      <c r="CM64">
        <v>5.2399999999999999E-3</v>
      </c>
      <c r="CN64">
        <v>5.4000000000000003E-3</v>
      </c>
      <c r="CO64">
        <v>5.2700000000000004E-3</v>
      </c>
      <c r="CP64">
        <v>5.5100000000000001E-3</v>
      </c>
      <c r="CQ64">
        <v>5.3600000000000002E-3</v>
      </c>
      <c r="CR64">
        <v>5.3600000000000002E-3</v>
      </c>
      <c r="CS64">
        <v>5.62E-3</v>
      </c>
      <c r="CT64">
        <v>5.9699999999999996E-3</v>
      </c>
      <c r="CV64">
        <v>4.9500000000000004E-3</v>
      </c>
      <c r="CW64">
        <v>5.0800000000000003E-3</v>
      </c>
      <c r="CX64">
        <v>5.2500000000000003E-3</v>
      </c>
      <c r="CY64">
        <v>4.5399999999999998E-3</v>
      </c>
      <c r="CZ64">
        <v>4.7099999999999998E-3</v>
      </c>
      <c r="DA64">
        <v>4.7299999999999998E-3</v>
      </c>
      <c r="DB64">
        <v>4.6499999999999996E-3</v>
      </c>
      <c r="DC64">
        <v>4.6299999999999996E-3</v>
      </c>
      <c r="DD64">
        <v>4.6100000000000004E-3</v>
      </c>
      <c r="DE64">
        <v>4.6100000000000004E-3</v>
      </c>
      <c r="DF64">
        <v>5.3800000000000002E-3</v>
      </c>
      <c r="DG64">
        <v>3.8500000000000001E-3</v>
      </c>
      <c r="DH64">
        <v>4.9899999999999996E-3</v>
      </c>
      <c r="DI64">
        <v>5.0099999999999997E-3</v>
      </c>
      <c r="DJ64">
        <v>5.1500000000000001E-3</v>
      </c>
      <c r="DK64">
        <v>5.2300000000000003E-3</v>
      </c>
      <c r="DL64">
        <v>5.4099999999999999E-3</v>
      </c>
      <c r="DM64">
        <v>7.3299999999999997E-3</v>
      </c>
      <c r="DO64">
        <v>7.4200000000000004E-3</v>
      </c>
      <c r="DP64">
        <v>7.6899999999999998E-3</v>
      </c>
      <c r="DQ64">
        <v>7.5599999999999999E-3</v>
      </c>
      <c r="DR64">
        <v>6.1599999999999997E-3</v>
      </c>
      <c r="DT64">
        <v>7.1500000000000001E-3</v>
      </c>
      <c r="DU64">
        <v>7.6699999999999997E-3</v>
      </c>
      <c r="DV64">
        <v>7.92E-3</v>
      </c>
      <c r="DW64">
        <v>7.5900000000000004E-3</v>
      </c>
      <c r="DX64">
        <v>7.7600000000000004E-3</v>
      </c>
      <c r="DY64">
        <v>8.3400000000000002E-3</v>
      </c>
      <c r="DZ64">
        <v>8.1099999999999992E-3</v>
      </c>
      <c r="EA64">
        <v>4.5599999999999998E-3</v>
      </c>
      <c r="EF64">
        <v>9.7099999999999999E-3</v>
      </c>
      <c r="EI64">
        <v>5.6100000000000004E-3</v>
      </c>
      <c r="EJ64">
        <v>5.2700000000000004E-3</v>
      </c>
      <c r="EK64">
        <v>5.0899999999999999E-3</v>
      </c>
      <c r="EL64">
        <v>5.2500000000000003E-3</v>
      </c>
      <c r="EM64">
        <v>5.5399999999999998E-3</v>
      </c>
      <c r="EN64">
        <v>5.6499999999999996E-3</v>
      </c>
      <c r="EO64">
        <v>5.64E-3</v>
      </c>
      <c r="EP64">
        <v>6.0200000000000002E-3</v>
      </c>
      <c r="EQ64">
        <v>6.0699999999999999E-3</v>
      </c>
      <c r="ER64">
        <v>4.2500000000000003E-3</v>
      </c>
      <c r="ES64">
        <v>4.3099999999999996E-3</v>
      </c>
      <c r="ET64">
        <v>4.1000000000000003E-3</v>
      </c>
      <c r="EU64">
        <v>8.6599999999999993E-3</v>
      </c>
      <c r="EV64">
        <v>8.0300000000000007E-3</v>
      </c>
      <c r="EW64">
        <v>7.5900000000000004E-3</v>
      </c>
      <c r="EX64">
        <v>7.6400000000000001E-3</v>
      </c>
      <c r="EY64">
        <v>6.7200000000000003E-3</v>
      </c>
      <c r="EZ64">
        <v>6.6400000000000001E-3</v>
      </c>
      <c r="FA64">
        <v>4.9399999999999999E-3</v>
      </c>
      <c r="FB64">
        <v>5.4299999999999999E-3</v>
      </c>
      <c r="FC64">
        <v>4.5999999999999999E-3</v>
      </c>
      <c r="FD64">
        <v>4.5599999999999998E-3</v>
      </c>
      <c r="FE64">
        <v>5.3299999999999997E-3</v>
      </c>
      <c r="FF64">
        <v>4.2399999999999998E-3</v>
      </c>
      <c r="FG64">
        <v>7.6699999999999997E-3</v>
      </c>
      <c r="FH64">
        <v>7.7799999999999996E-3</v>
      </c>
      <c r="FI64">
        <v>7.62E-3</v>
      </c>
      <c r="FJ64">
        <v>7.7200000000000003E-3</v>
      </c>
      <c r="FK64">
        <v>6.8100000000000001E-3</v>
      </c>
      <c r="FL64">
        <v>4.5500000000000002E-3</v>
      </c>
      <c r="FN64">
        <v>4.8799999999999998E-3</v>
      </c>
      <c r="FO64">
        <v>4.5500000000000002E-3</v>
      </c>
      <c r="FP64">
        <v>4.1900000000000001E-3</v>
      </c>
      <c r="FQ64">
        <v>5.1599999999999997E-3</v>
      </c>
      <c r="FR64">
        <v>8.5500000000000003E-3</v>
      </c>
      <c r="FS64">
        <v>5.5199999999999997E-3</v>
      </c>
      <c r="FT64">
        <v>5.4400000000000004E-3</v>
      </c>
      <c r="FU64">
        <v>5.4400000000000004E-3</v>
      </c>
      <c r="FV64">
        <v>5.6600000000000001E-3</v>
      </c>
      <c r="FW64">
        <v>5.4599999999999996E-3</v>
      </c>
      <c r="FX64">
        <v>5.6299999999999996E-3</v>
      </c>
      <c r="FY64">
        <v>5.94E-3</v>
      </c>
      <c r="FZ64">
        <v>5.9300000000000004E-3</v>
      </c>
      <c r="GA64">
        <v>6.2300000000000003E-3</v>
      </c>
      <c r="GB64">
        <v>6.1199999999999996E-3</v>
      </c>
      <c r="GC64">
        <v>6.5199999999999998E-3</v>
      </c>
      <c r="GE64">
        <v>6.6299999999999996E-3</v>
      </c>
      <c r="GF64">
        <v>5.8500000000000002E-3</v>
      </c>
      <c r="GG64">
        <v>5.96E-3</v>
      </c>
      <c r="GH64">
        <v>6.0299999999999998E-3</v>
      </c>
      <c r="GI64">
        <v>6.7799999999999996E-3</v>
      </c>
      <c r="GJ64">
        <v>6.9100000000000003E-3</v>
      </c>
      <c r="GK64">
        <v>7.0400000000000003E-3</v>
      </c>
      <c r="GL64">
        <v>7.1999999999999998E-3</v>
      </c>
      <c r="GO64">
        <v>5.9899999999999997E-3</v>
      </c>
      <c r="GP64">
        <v>4.8599999999999997E-3</v>
      </c>
      <c r="GQ64">
        <v>5.2300000000000003E-3</v>
      </c>
      <c r="GR64">
        <v>5.2300000000000003E-3</v>
      </c>
      <c r="GS64">
        <v>4.8500000000000001E-3</v>
      </c>
      <c r="GT64">
        <v>5.3299999999999997E-3</v>
      </c>
      <c r="GU64">
        <v>6.9499999999999996E-3</v>
      </c>
      <c r="GW64">
        <v>6.9800000000000001E-3</v>
      </c>
      <c r="GX64">
        <v>6.7600000000000004E-3</v>
      </c>
      <c r="GY64">
        <v>5.7800000000000004E-3</v>
      </c>
      <c r="GZ64">
        <v>5.5300000000000002E-3</v>
      </c>
      <c r="HA64">
        <v>4.8599999999999997E-3</v>
      </c>
      <c r="HB64">
        <v>4.6499999999999996E-3</v>
      </c>
      <c r="HC64">
        <v>7.3299999999999997E-3</v>
      </c>
      <c r="HD64">
        <v>3.7100000000000002E-3</v>
      </c>
      <c r="HE64">
        <v>6.8700000000000002E-3</v>
      </c>
      <c r="HF64">
        <v>7.4200000000000004E-3</v>
      </c>
      <c r="HG64">
        <v>7.6899999999999998E-3</v>
      </c>
      <c r="HH64">
        <v>7.6600000000000001E-3</v>
      </c>
      <c r="HI64">
        <v>7.7799999999999996E-3</v>
      </c>
      <c r="HJ64">
        <v>4.3499999999999997E-3</v>
      </c>
      <c r="HK64">
        <v>4.79E-3</v>
      </c>
      <c r="HL64">
        <v>5.4200000000000003E-3</v>
      </c>
      <c r="HM64">
        <v>5.1900000000000002E-3</v>
      </c>
      <c r="HN64">
        <v>5.5500000000000002E-3</v>
      </c>
      <c r="HO64">
        <v>4.81E-3</v>
      </c>
      <c r="HP64">
        <v>4.7099999999999998E-3</v>
      </c>
      <c r="HQ64">
        <v>4.6699999999999997E-3</v>
      </c>
      <c r="HR64">
        <v>5.0699999999999999E-3</v>
      </c>
      <c r="HS64">
        <v>8.5500000000000003E-3</v>
      </c>
      <c r="HT64">
        <v>4.28E-3</v>
      </c>
      <c r="HU64">
        <v>4.7999999999999996E-3</v>
      </c>
      <c r="HV64">
        <v>5.8100000000000001E-3</v>
      </c>
      <c r="HW64">
        <v>4.9199999999999999E-3</v>
      </c>
      <c r="HX64">
        <v>4.6699999999999997E-3</v>
      </c>
      <c r="HY64">
        <v>5.0899999999999999E-3</v>
      </c>
      <c r="HZ64">
        <v>3.9699999999999996E-3</v>
      </c>
      <c r="IA64">
        <v>5.8900000000000003E-3</v>
      </c>
      <c r="IB64">
        <v>7.5799999999999999E-3</v>
      </c>
      <c r="IC64">
        <v>6.6800000000000002E-3</v>
      </c>
      <c r="ID64">
        <v>4.3699999999999998E-3</v>
      </c>
      <c r="IE64">
        <v>4.1200000000000004E-3</v>
      </c>
      <c r="IF64">
        <v>4.1399999999999996E-3</v>
      </c>
      <c r="IG64">
        <v>5.0499999999999998E-3</v>
      </c>
      <c r="IH64">
        <v>5.2500000000000003E-3</v>
      </c>
      <c r="II64">
        <v>4.0099999999999997E-3</v>
      </c>
      <c r="IJ64">
        <v>4.9699999999999996E-3</v>
      </c>
      <c r="IK64">
        <v>5.5900000000000004E-3</v>
      </c>
      <c r="IL64">
        <v>6.1700000000000001E-3</v>
      </c>
      <c r="IM64">
        <v>7.3299999999999997E-3</v>
      </c>
      <c r="IN64">
        <v>7.4200000000000004E-3</v>
      </c>
      <c r="IO64">
        <v>8.1300000000000001E-3</v>
      </c>
      <c r="IP64">
        <v>9.0299999999999998E-3</v>
      </c>
      <c r="IQ64">
        <v>9.7000000000000003E-3</v>
      </c>
      <c r="IR64">
        <v>1.0449999999999999E-2</v>
      </c>
      <c r="IS64">
        <v>5.0000000000000001E-3</v>
      </c>
      <c r="IT64">
        <v>3.4299999999999999E-3</v>
      </c>
      <c r="IU64">
        <v>3.7000000000000002E-3</v>
      </c>
      <c r="IV64">
        <v>4.1799999999999997E-3</v>
      </c>
      <c r="IW64">
        <v>4.6299999999999996E-3</v>
      </c>
      <c r="IX64">
        <v>3.65E-3</v>
      </c>
      <c r="IY64">
        <v>4.3299999999999996E-3</v>
      </c>
      <c r="IZ64">
        <v>3.9100000000000003E-3</v>
      </c>
      <c r="JA64">
        <v>4.3600000000000002E-3</v>
      </c>
      <c r="JB64">
        <v>4.45E-3</v>
      </c>
      <c r="JC64">
        <v>4.8199999999999996E-3</v>
      </c>
      <c r="JD64">
        <v>5.0099999999999997E-3</v>
      </c>
      <c r="JE64">
        <v>4.3800000000000002E-3</v>
      </c>
      <c r="JF64">
        <v>7.1199999999999996E-3</v>
      </c>
      <c r="JG64">
        <v>9.4500000000000001E-3</v>
      </c>
      <c r="JH64">
        <v>8.5400000000000007E-3</v>
      </c>
      <c r="JI64">
        <v>5.1599999999999997E-3</v>
      </c>
      <c r="JK64">
        <v>7.9600000000000001E-3</v>
      </c>
      <c r="JL64">
        <v>7.0299999999999998E-3</v>
      </c>
      <c r="JM64">
        <v>5.13E-3</v>
      </c>
      <c r="JN64">
        <v>5.6499999999999996E-3</v>
      </c>
      <c r="JP64">
        <v>4.9399999999999999E-3</v>
      </c>
      <c r="JQ64">
        <v>5.6899999999999997E-3</v>
      </c>
      <c r="JR64">
        <v>5.3099999999999996E-3</v>
      </c>
      <c r="JS64">
        <v>4.9399999999999999E-3</v>
      </c>
      <c r="JT64">
        <v>5.8300000000000001E-3</v>
      </c>
      <c r="JU64">
        <v>7.5100000000000002E-3</v>
      </c>
      <c r="JV64">
        <v>7.8399999999999997E-3</v>
      </c>
      <c r="JW64">
        <v>5.1399999999999996E-3</v>
      </c>
      <c r="JX64">
        <v>5.1399999999999996E-3</v>
      </c>
      <c r="JY64">
        <v>6.0899999999999999E-3</v>
      </c>
      <c r="JZ64">
        <v>5.77E-3</v>
      </c>
      <c r="KA64">
        <v>5.5300000000000002E-3</v>
      </c>
      <c r="KB64">
        <v>5.2599999999999999E-3</v>
      </c>
      <c r="KC64">
        <v>5.4200000000000003E-3</v>
      </c>
      <c r="KD64">
        <v>5.7200000000000003E-3</v>
      </c>
      <c r="KE64">
        <v>8.3899999999999999E-3</v>
      </c>
      <c r="KF64">
        <v>1.01E-2</v>
      </c>
      <c r="KG64">
        <v>1.073E-2</v>
      </c>
      <c r="KH64">
        <v>1.0789999999999999E-2</v>
      </c>
      <c r="KI64">
        <v>6.1500000000000001E-3</v>
      </c>
      <c r="KJ64">
        <v>6.28E-3</v>
      </c>
      <c r="KK64">
        <v>6.1900000000000002E-3</v>
      </c>
      <c r="KL64">
        <v>6.6600000000000001E-3</v>
      </c>
      <c r="KM64">
        <v>6.7099999999999998E-3</v>
      </c>
      <c r="KN64">
        <v>6.7999999999999996E-3</v>
      </c>
      <c r="KO64">
        <v>6.6299999999999996E-3</v>
      </c>
      <c r="KP64">
        <v>6.2300000000000003E-3</v>
      </c>
      <c r="KQ64">
        <v>6.3E-3</v>
      </c>
      <c r="KR64">
        <v>6.4099999999999999E-3</v>
      </c>
      <c r="KS64">
        <v>6.6899999999999998E-3</v>
      </c>
      <c r="KT64">
        <v>6.5599999999999999E-3</v>
      </c>
      <c r="KU64">
        <v>6.8100000000000001E-3</v>
      </c>
      <c r="KV64">
        <v>6.0099999999999997E-3</v>
      </c>
      <c r="KW64">
        <v>5.3200000000000001E-3</v>
      </c>
      <c r="KX64">
        <v>1.008E-2</v>
      </c>
      <c r="KY64">
        <v>7.3400000000000002E-3</v>
      </c>
      <c r="KZ64">
        <v>8.1899999999999994E-3</v>
      </c>
      <c r="LA64">
        <v>5.0800000000000003E-3</v>
      </c>
      <c r="LB64">
        <v>5.0699999999999999E-3</v>
      </c>
      <c r="LE64">
        <v>8.0599999999999995E-3</v>
      </c>
      <c r="LF64">
        <v>7.1599999999999997E-3</v>
      </c>
      <c r="LG64">
        <v>5.45E-3</v>
      </c>
      <c r="LI64">
        <v>8.0300000000000007E-3</v>
      </c>
      <c r="LJ64">
        <v>8.4799999999999997E-3</v>
      </c>
      <c r="LK64">
        <v>8.4700000000000001E-3</v>
      </c>
      <c r="LL64">
        <v>5.2399999999999999E-3</v>
      </c>
      <c r="LM64">
        <v>3.8800000000000002E-3</v>
      </c>
      <c r="LN64">
        <v>4.5700000000000003E-3</v>
      </c>
      <c r="LO64">
        <v>4.7499999999999999E-3</v>
      </c>
      <c r="LP64">
        <v>4.28E-3</v>
      </c>
      <c r="LR64">
        <v>7.79E-3</v>
      </c>
      <c r="LS64">
        <v>8.77E-3</v>
      </c>
      <c r="LT64">
        <v>4.6100000000000004E-3</v>
      </c>
      <c r="LU64">
        <v>5.3E-3</v>
      </c>
      <c r="LV64">
        <v>5.5999999999999999E-3</v>
      </c>
      <c r="LW64">
        <v>4.8900000000000002E-3</v>
      </c>
      <c r="LX64">
        <v>5.5199999999999997E-3</v>
      </c>
      <c r="LY64">
        <v>6.0000000000000001E-3</v>
      </c>
      <c r="LZ64">
        <v>6.0899999999999999E-3</v>
      </c>
      <c r="MA64">
        <v>6.43E-3</v>
      </c>
      <c r="MB64">
        <v>4.6600000000000001E-3</v>
      </c>
      <c r="MC64">
        <v>7.6899999999999998E-3</v>
      </c>
      <c r="MD64">
        <v>8.5800000000000008E-3</v>
      </c>
      <c r="ME64">
        <v>1.068E-2</v>
      </c>
      <c r="MF64">
        <v>1.273E-2</v>
      </c>
      <c r="MG64">
        <v>1.34E-2</v>
      </c>
      <c r="MH64">
        <v>4.5100000000000001E-3</v>
      </c>
      <c r="MI64">
        <v>4.5799999999999999E-3</v>
      </c>
      <c r="MJ64">
        <v>4.6699999999999997E-3</v>
      </c>
      <c r="MK64">
        <v>4.4000000000000003E-3</v>
      </c>
      <c r="ML64">
        <v>5.2900000000000004E-3</v>
      </c>
      <c r="MM64">
        <v>4.3200000000000001E-3</v>
      </c>
      <c r="MO64">
        <v>5.0099999999999997E-3</v>
      </c>
      <c r="MP64">
        <v>6.2399999999999999E-3</v>
      </c>
      <c r="MQ64">
        <v>3.7499999999999999E-3</v>
      </c>
      <c r="MR64">
        <v>5.0499999999999998E-3</v>
      </c>
      <c r="MS64">
        <v>5.11E-3</v>
      </c>
      <c r="MT64">
        <v>6.5100000000000002E-3</v>
      </c>
      <c r="MU64">
        <v>4.81E-3</v>
      </c>
      <c r="MV64">
        <v>5.0499999999999998E-3</v>
      </c>
      <c r="MW64">
        <v>5.1799999999999997E-3</v>
      </c>
      <c r="MX64">
        <v>5.2100000000000002E-3</v>
      </c>
      <c r="MY64">
        <v>5.5799999999999999E-3</v>
      </c>
      <c r="MZ64">
        <v>6.2599999999999999E-3</v>
      </c>
      <c r="NA64">
        <v>5.6100000000000004E-3</v>
      </c>
      <c r="NB64">
        <v>5.3E-3</v>
      </c>
      <c r="NC64">
        <v>3.2499999999999999E-3</v>
      </c>
      <c r="ND64">
        <v>1.158E-2</v>
      </c>
      <c r="NE64">
        <v>5.6499999999999996E-3</v>
      </c>
      <c r="NF64">
        <v>6.6800000000000002E-3</v>
      </c>
      <c r="NG64">
        <v>4.2599999999999999E-3</v>
      </c>
      <c r="NH64">
        <v>3.7499999999999999E-3</v>
      </c>
      <c r="NI64">
        <v>3.98E-3</v>
      </c>
      <c r="NJ64">
        <v>4.28E-3</v>
      </c>
      <c r="NK64">
        <v>3.9399999999999999E-3</v>
      </c>
      <c r="NL64">
        <v>4.13E-3</v>
      </c>
      <c r="NM64">
        <v>4.3E-3</v>
      </c>
      <c r="NN64">
        <v>4.45E-3</v>
      </c>
      <c r="NO64">
        <v>4.6100000000000004E-3</v>
      </c>
      <c r="NP64">
        <v>4.5700000000000003E-3</v>
      </c>
      <c r="NQ64">
        <v>3.98E-3</v>
      </c>
      <c r="NR64">
        <v>4.1999999999999997E-3</v>
      </c>
      <c r="NS64">
        <v>4.3699999999999998E-3</v>
      </c>
      <c r="NT64">
        <v>4.6499999999999996E-3</v>
      </c>
      <c r="NU64">
        <v>4.0699999999999998E-3</v>
      </c>
      <c r="NV64">
        <v>4.2199999999999998E-3</v>
      </c>
      <c r="NW64">
        <v>4.3600000000000002E-3</v>
      </c>
      <c r="NX64">
        <v>4.2100000000000002E-3</v>
      </c>
      <c r="NZ64">
        <v>4.4900000000000001E-3</v>
      </c>
      <c r="OA64">
        <v>4.6600000000000001E-3</v>
      </c>
      <c r="OB64">
        <v>4.3499999999999997E-3</v>
      </c>
      <c r="OC64">
        <v>4.2599999999999999E-3</v>
      </c>
      <c r="OD64">
        <v>4.2300000000000003E-3</v>
      </c>
      <c r="OE64">
        <v>4.2300000000000003E-3</v>
      </c>
      <c r="OF64">
        <v>7.43E-3</v>
      </c>
      <c r="OG64">
        <v>4.4999999999999997E-3</v>
      </c>
      <c r="OH64">
        <v>4.6600000000000001E-3</v>
      </c>
      <c r="OI64">
        <v>4.7400000000000003E-3</v>
      </c>
      <c r="OJ64">
        <v>4.9100000000000003E-3</v>
      </c>
      <c r="OK64">
        <v>4.9699999999999996E-3</v>
      </c>
      <c r="OL64">
        <v>5.0899999999999999E-3</v>
      </c>
      <c r="OM64">
        <v>5.5999999999999999E-3</v>
      </c>
      <c r="ON64">
        <v>5.6800000000000002E-3</v>
      </c>
      <c r="OO64">
        <v>4.5799999999999999E-3</v>
      </c>
      <c r="OP64">
        <v>4.8399999999999997E-3</v>
      </c>
      <c r="OQ64">
        <v>4.96E-3</v>
      </c>
      <c r="OR64">
        <v>5.2900000000000004E-3</v>
      </c>
      <c r="OS64">
        <v>5.7200000000000003E-3</v>
      </c>
      <c r="OT64">
        <v>5.6699999999999997E-3</v>
      </c>
      <c r="OU64">
        <v>5.8700000000000002E-3</v>
      </c>
      <c r="OV64">
        <v>5.1200000000000004E-3</v>
      </c>
      <c r="OW64">
        <v>4.5300000000000002E-3</v>
      </c>
      <c r="OX64">
        <v>5.3800000000000002E-3</v>
      </c>
      <c r="OZ64">
        <v>5.28E-3</v>
      </c>
      <c r="PA64">
        <v>7.7200000000000003E-3</v>
      </c>
      <c r="PB64">
        <v>8.0700000000000008E-3</v>
      </c>
      <c r="PC64">
        <v>6.94E-3</v>
      </c>
      <c r="PD64">
        <v>6.2100000000000002E-3</v>
      </c>
      <c r="PE64">
        <v>5.8900000000000003E-3</v>
      </c>
      <c r="PF64">
        <v>5.8900000000000003E-3</v>
      </c>
      <c r="PG64">
        <v>5.1500000000000001E-3</v>
      </c>
      <c r="PH64">
        <v>5.3E-3</v>
      </c>
      <c r="PI64">
        <v>6.45E-3</v>
      </c>
      <c r="PJ64">
        <v>6.0200000000000002E-3</v>
      </c>
      <c r="PK64">
        <v>5.6100000000000004E-3</v>
      </c>
      <c r="PL64">
        <v>5.9300000000000004E-3</v>
      </c>
      <c r="PM64">
        <v>5.0800000000000003E-3</v>
      </c>
      <c r="PN64">
        <v>4.7499999999999999E-3</v>
      </c>
      <c r="PO64">
        <v>4.0400000000000002E-3</v>
      </c>
      <c r="PP64">
        <v>4.1799999999999997E-3</v>
      </c>
      <c r="PQ64">
        <v>4.9899999999999996E-3</v>
      </c>
      <c r="PR64">
        <v>4.4900000000000001E-3</v>
      </c>
      <c r="PS64">
        <v>4.3E-3</v>
      </c>
      <c r="PT64">
        <v>5.0499999999999998E-3</v>
      </c>
      <c r="PU64">
        <v>4.7299999999999998E-3</v>
      </c>
      <c r="PV64">
        <v>2.8400000000000001E-3</v>
      </c>
      <c r="PW64">
        <v>3.0000000000000001E-3</v>
      </c>
      <c r="PX64">
        <v>3.0899999999999999E-3</v>
      </c>
      <c r="PY64">
        <v>3.1900000000000001E-3</v>
      </c>
      <c r="PZ64">
        <v>3.3500000000000001E-3</v>
      </c>
      <c r="QA64">
        <v>4.0000000000000001E-3</v>
      </c>
      <c r="QB64">
        <v>4.3499999999999997E-3</v>
      </c>
      <c r="QD64">
        <v>5.4799999999999996E-3</v>
      </c>
      <c r="QE64">
        <v>4.4099999999999999E-3</v>
      </c>
      <c r="QG64">
        <v>6.77E-3</v>
      </c>
      <c r="QH64">
        <v>4.7800000000000004E-3</v>
      </c>
      <c r="QI64">
        <v>4.9899999999999996E-3</v>
      </c>
      <c r="QJ64">
        <v>4.7600000000000003E-3</v>
      </c>
      <c r="QK64">
        <v>4.8399999999999997E-3</v>
      </c>
      <c r="QL64">
        <v>4.7200000000000002E-3</v>
      </c>
      <c r="QM64">
        <v>5.2199999999999998E-3</v>
      </c>
      <c r="QN64">
        <v>8.1899999999999994E-3</v>
      </c>
      <c r="QO64">
        <v>6.3200000000000001E-3</v>
      </c>
      <c r="QP64">
        <v>7.3000000000000001E-3</v>
      </c>
      <c r="QQ64">
        <v>7.3800000000000003E-3</v>
      </c>
      <c r="QR64">
        <v>7.43E-3</v>
      </c>
      <c r="QS64">
        <v>7.3899999999999999E-3</v>
      </c>
      <c r="QT64">
        <v>5.4599999999999996E-3</v>
      </c>
      <c r="QU64">
        <v>5.4400000000000004E-3</v>
      </c>
      <c r="QV64">
        <v>5.4400000000000004E-3</v>
      </c>
      <c r="QW64">
        <v>5.7000000000000002E-3</v>
      </c>
      <c r="QX64">
        <v>5.0899999999999999E-3</v>
      </c>
      <c r="QY64">
        <v>4.9500000000000004E-3</v>
      </c>
      <c r="QZ64">
        <v>5.2300000000000003E-3</v>
      </c>
      <c r="RA64">
        <v>5.2399999999999999E-3</v>
      </c>
      <c r="RB64">
        <v>5.8900000000000003E-3</v>
      </c>
      <c r="RC64">
        <v>5.1900000000000002E-3</v>
      </c>
      <c r="RD64">
        <v>6.3499999999999997E-3</v>
      </c>
      <c r="RE64">
        <v>5.3699999999999998E-3</v>
      </c>
      <c r="RF64">
        <v>6.0600000000000003E-3</v>
      </c>
      <c r="RG64">
        <v>4.5799999999999999E-3</v>
      </c>
      <c r="RH64">
        <v>4.81E-3</v>
      </c>
      <c r="RI64">
        <v>6.8900000000000003E-3</v>
      </c>
      <c r="RJ64">
        <v>5.4200000000000003E-3</v>
      </c>
      <c r="RK64">
        <v>5.4900000000000001E-3</v>
      </c>
      <c r="RL64">
        <v>5.2199999999999998E-3</v>
      </c>
      <c r="RM64">
        <v>4.1399999999999996E-3</v>
      </c>
      <c r="RN64">
        <v>4.2399999999999998E-3</v>
      </c>
      <c r="RO64">
        <v>4.2399999999999998E-3</v>
      </c>
      <c r="RP64">
        <v>3.9500000000000004E-3</v>
      </c>
      <c r="RQ64">
        <v>4.3499999999999997E-3</v>
      </c>
      <c r="RS64">
        <v>4.2100000000000002E-3</v>
      </c>
      <c r="RT64">
        <v>3.5799999999999998E-3</v>
      </c>
      <c r="RU64">
        <v>4.7000000000000002E-3</v>
      </c>
      <c r="RV64">
        <v>4.64E-3</v>
      </c>
      <c r="RW64">
        <v>5.1000000000000004E-3</v>
      </c>
      <c r="RX64">
        <v>4.79E-3</v>
      </c>
      <c r="RY64">
        <v>4.2599999999999999E-3</v>
      </c>
      <c r="RZ64">
        <v>3.8800000000000002E-3</v>
      </c>
      <c r="SA64">
        <v>4.62E-3</v>
      </c>
      <c r="SB64">
        <v>4.3800000000000002E-3</v>
      </c>
      <c r="SC64">
        <v>5.6499999999999996E-3</v>
      </c>
      <c r="SD64">
        <v>6.1199999999999996E-3</v>
      </c>
      <c r="SE64">
        <v>5.6299999999999996E-3</v>
      </c>
      <c r="SF64">
        <v>6.3499999999999997E-3</v>
      </c>
      <c r="SG64">
        <v>7.8399999999999997E-3</v>
      </c>
      <c r="SH64">
        <v>1.01E-2</v>
      </c>
      <c r="SI64">
        <v>5.4799999999999996E-3</v>
      </c>
      <c r="SJ64">
        <v>4.5700000000000003E-3</v>
      </c>
      <c r="SL64">
        <v>4.4299999999999999E-3</v>
      </c>
      <c r="SM64">
        <v>3.5999999999999999E-3</v>
      </c>
      <c r="SN64">
        <v>4.1000000000000003E-3</v>
      </c>
      <c r="SO64">
        <v>4.0200000000000001E-3</v>
      </c>
      <c r="SP64">
        <v>5.7200000000000003E-3</v>
      </c>
      <c r="SQ64">
        <v>4.5500000000000002E-3</v>
      </c>
      <c r="SR64">
        <v>5.3499999999999997E-3</v>
      </c>
      <c r="SS64">
        <v>4.7200000000000002E-3</v>
      </c>
      <c r="ST64">
        <v>4.6499999999999996E-3</v>
      </c>
      <c r="SU64">
        <v>4.96E-3</v>
      </c>
      <c r="SV64">
        <v>4.7800000000000004E-3</v>
      </c>
      <c r="SW64">
        <v>5.13E-3</v>
      </c>
      <c r="SX64">
        <v>4.8500000000000001E-3</v>
      </c>
      <c r="SY64">
        <v>4.5500000000000002E-3</v>
      </c>
      <c r="SZ64">
        <v>5.28E-3</v>
      </c>
      <c r="TA64">
        <v>4.9899999999999996E-3</v>
      </c>
      <c r="TB64">
        <v>5.9199999999999999E-3</v>
      </c>
      <c r="TC64">
        <v>4.8799999999999998E-3</v>
      </c>
      <c r="TD64">
        <v>4.5100000000000001E-3</v>
      </c>
      <c r="TE64">
        <v>6.4200000000000004E-3</v>
      </c>
      <c r="TF64">
        <v>5.0699999999999999E-3</v>
      </c>
      <c r="TG64">
        <v>5.8700000000000002E-3</v>
      </c>
      <c r="TH64">
        <v>6.43E-3</v>
      </c>
      <c r="TJ64">
        <v>6.5300000000000002E-3</v>
      </c>
      <c r="TK64">
        <v>4.1399999999999996E-3</v>
      </c>
      <c r="TL64">
        <v>3.9899999999999996E-3</v>
      </c>
      <c r="TM64">
        <v>3.9100000000000003E-3</v>
      </c>
      <c r="TN64">
        <v>4.64E-3</v>
      </c>
      <c r="TO64">
        <v>5.3699999999999998E-3</v>
      </c>
      <c r="TP64">
        <v>4.3400000000000001E-3</v>
      </c>
      <c r="TQ64">
        <v>5.2100000000000002E-3</v>
      </c>
      <c r="TR64">
        <v>5.62E-3</v>
      </c>
      <c r="TS64">
        <v>5.2399999999999999E-3</v>
      </c>
      <c r="TT64">
        <v>5.2700000000000004E-3</v>
      </c>
      <c r="TV64">
        <v>4.1200000000000004E-3</v>
      </c>
      <c r="TW64">
        <v>4.5300000000000002E-3</v>
      </c>
      <c r="TX64">
        <v>5.0000000000000001E-3</v>
      </c>
      <c r="TY64">
        <v>5.0499999999999998E-3</v>
      </c>
      <c r="TZ64">
        <v>5.13E-3</v>
      </c>
      <c r="UA64">
        <v>5.1599999999999997E-3</v>
      </c>
      <c r="UB64">
        <v>4.9800000000000001E-3</v>
      </c>
      <c r="UC64">
        <v>4.62E-3</v>
      </c>
      <c r="UD64">
        <v>4.7200000000000002E-3</v>
      </c>
      <c r="UE64">
        <v>4.9500000000000004E-3</v>
      </c>
      <c r="UF64">
        <v>3.6099999999999999E-3</v>
      </c>
      <c r="UG64">
        <v>4.2900000000000004E-3</v>
      </c>
      <c r="UH64">
        <v>5.1700000000000001E-3</v>
      </c>
      <c r="UI64">
        <v>4.1799999999999997E-3</v>
      </c>
      <c r="UJ64">
        <v>5.1500000000000001E-3</v>
      </c>
      <c r="UK64">
        <v>5.0899999999999999E-3</v>
      </c>
      <c r="UL64">
        <v>5.13E-3</v>
      </c>
      <c r="UN64">
        <v>4.8900000000000002E-3</v>
      </c>
      <c r="UO64">
        <v>4.8300000000000001E-3</v>
      </c>
      <c r="UP64">
        <v>6.11E-3</v>
      </c>
      <c r="UQ64">
        <v>4.7299999999999998E-3</v>
      </c>
      <c r="UR64">
        <v>4.7099999999999998E-3</v>
      </c>
      <c r="US64">
        <v>5.0099999999999997E-3</v>
      </c>
      <c r="UT64">
        <v>4.64E-3</v>
      </c>
      <c r="UU64">
        <v>4.7699999999999999E-3</v>
      </c>
      <c r="UV64">
        <v>5.0299999999999997E-3</v>
      </c>
      <c r="UW64">
        <v>5.3499999999999997E-3</v>
      </c>
      <c r="UX64">
        <v>3.98E-3</v>
      </c>
      <c r="UY64">
        <v>4.3699999999999998E-3</v>
      </c>
      <c r="UZ64">
        <v>5.1700000000000001E-3</v>
      </c>
      <c r="VA64">
        <v>6.3499999999999997E-3</v>
      </c>
      <c r="VB64">
        <v>5.5300000000000002E-3</v>
      </c>
      <c r="VC64">
        <v>5.3099999999999996E-3</v>
      </c>
      <c r="VD64">
        <v>4.8399999999999997E-3</v>
      </c>
      <c r="VE64">
        <v>4.1399999999999996E-3</v>
      </c>
      <c r="VF64">
        <v>5.3499999999999997E-3</v>
      </c>
      <c r="VG64">
        <v>7.7499999999999999E-3</v>
      </c>
      <c r="VH64">
        <v>4.3E-3</v>
      </c>
      <c r="VI64">
        <v>4.9100000000000003E-3</v>
      </c>
    </row>
    <row r="65" spans="1:581" x14ac:dyDescent="0.25">
      <c r="A65">
        <v>2200000</v>
      </c>
      <c r="B65">
        <v>4.7400000000000003E-3</v>
      </c>
      <c r="C65">
        <v>5.0600000000000003E-3</v>
      </c>
      <c r="D65">
        <v>5.2199999999999998E-3</v>
      </c>
      <c r="E65">
        <v>5.7499999999999999E-3</v>
      </c>
      <c r="F65">
        <v>6.2100000000000002E-3</v>
      </c>
      <c r="G65">
        <v>6.3699999999999998E-3</v>
      </c>
      <c r="H65">
        <v>5.0400000000000002E-3</v>
      </c>
      <c r="I65">
        <v>5.0200000000000002E-3</v>
      </c>
      <c r="J65">
        <v>5.11E-3</v>
      </c>
      <c r="K65">
        <v>5.0299999999999997E-3</v>
      </c>
      <c r="L65">
        <v>4.9399999999999999E-3</v>
      </c>
      <c r="M65">
        <v>4.9100000000000003E-3</v>
      </c>
      <c r="N65">
        <v>4.9399999999999999E-3</v>
      </c>
      <c r="O65">
        <v>4.4200000000000003E-3</v>
      </c>
      <c r="P65">
        <v>4.3400000000000001E-3</v>
      </c>
      <c r="Q65">
        <v>4.3899999999999998E-3</v>
      </c>
      <c r="R65">
        <v>4.3400000000000001E-3</v>
      </c>
      <c r="S65">
        <v>4.8399999999999997E-3</v>
      </c>
      <c r="T65">
        <v>4.9300000000000004E-3</v>
      </c>
      <c r="U65">
        <v>5.8199999999999997E-3</v>
      </c>
      <c r="V65">
        <v>4.8599999999999997E-3</v>
      </c>
      <c r="W65">
        <v>5.62E-3</v>
      </c>
      <c r="X65">
        <v>4.7699999999999999E-3</v>
      </c>
      <c r="Y65">
        <v>5.5399999999999998E-3</v>
      </c>
      <c r="Z65">
        <v>4.5900000000000003E-3</v>
      </c>
      <c r="AA65">
        <v>4.2399999999999998E-3</v>
      </c>
      <c r="AB65">
        <v>6.6899999999999998E-3</v>
      </c>
      <c r="AC65">
        <v>6.45E-3</v>
      </c>
      <c r="AD65">
        <v>4.8900000000000002E-3</v>
      </c>
      <c r="AE65">
        <v>5.4099999999999999E-3</v>
      </c>
      <c r="AF65">
        <v>5.6600000000000001E-3</v>
      </c>
      <c r="AG65">
        <v>4.1700000000000001E-3</v>
      </c>
      <c r="AH65">
        <v>4.0800000000000003E-3</v>
      </c>
      <c r="AI65">
        <v>4.0099999999999997E-3</v>
      </c>
      <c r="AJ65">
        <v>4.2100000000000002E-3</v>
      </c>
      <c r="AK65">
        <v>5.6800000000000002E-3</v>
      </c>
      <c r="AL65">
        <v>6.9100000000000003E-3</v>
      </c>
      <c r="AM65">
        <v>4.0600000000000002E-3</v>
      </c>
      <c r="AN65">
        <v>4.4400000000000004E-3</v>
      </c>
      <c r="AO65">
        <v>9.4199999999999996E-3</v>
      </c>
      <c r="AP65">
        <v>4.7699999999999999E-3</v>
      </c>
      <c r="AQ65">
        <v>4.5700000000000003E-3</v>
      </c>
      <c r="AR65">
        <v>4.6600000000000001E-3</v>
      </c>
      <c r="AS65">
        <v>4.7499999999999999E-3</v>
      </c>
      <c r="AT65">
        <v>3.7200000000000002E-3</v>
      </c>
      <c r="AU65">
        <v>4.2199999999999998E-3</v>
      </c>
      <c r="AV65">
        <v>3.79E-3</v>
      </c>
      <c r="AW65">
        <v>4.3899999999999998E-3</v>
      </c>
      <c r="AX65">
        <v>4.4099999999999999E-3</v>
      </c>
      <c r="AY65">
        <v>5.3800000000000002E-3</v>
      </c>
      <c r="AZ65">
        <v>5.5799999999999999E-3</v>
      </c>
      <c r="BA65">
        <v>3.8E-3</v>
      </c>
      <c r="BB65">
        <v>5.6600000000000001E-3</v>
      </c>
      <c r="BC65">
        <v>6.0400000000000002E-3</v>
      </c>
      <c r="BD65">
        <v>6.1999999999999998E-3</v>
      </c>
      <c r="BE65">
        <v>7.1900000000000002E-3</v>
      </c>
      <c r="BF65">
        <v>8.7200000000000003E-3</v>
      </c>
      <c r="BG65">
        <v>5.7800000000000004E-3</v>
      </c>
      <c r="BH65">
        <v>4.4999999999999997E-3</v>
      </c>
      <c r="BI65">
        <v>8.4600000000000005E-3</v>
      </c>
      <c r="BJ65">
        <v>5.8300000000000001E-3</v>
      </c>
      <c r="BK65">
        <v>6.2500000000000003E-3</v>
      </c>
      <c r="BL65">
        <v>6.3200000000000001E-3</v>
      </c>
      <c r="BM65">
        <v>6.0400000000000002E-3</v>
      </c>
      <c r="BN65">
        <v>6.5500000000000003E-3</v>
      </c>
      <c r="BO65">
        <v>7.0699999999999999E-3</v>
      </c>
      <c r="BP65">
        <v>6.4000000000000003E-3</v>
      </c>
      <c r="BQ65">
        <v>5.8300000000000001E-3</v>
      </c>
      <c r="BR65">
        <v>3.62E-3</v>
      </c>
      <c r="BT65">
        <v>6.0000000000000001E-3</v>
      </c>
      <c r="BU65">
        <v>7.9000000000000008E-3</v>
      </c>
      <c r="BV65">
        <v>7.8799999999999999E-3</v>
      </c>
      <c r="BW65">
        <v>7.6299999999999996E-3</v>
      </c>
      <c r="BX65">
        <v>7.4799999999999997E-3</v>
      </c>
      <c r="BY65">
        <v>7.5399999999999998E-3</v>
      </c>
      <c r="BZ65">
        <v>6.5599999999999999E-3</v>
      </c>
      <c r="CA65">
        <v>6.77E-3</v>
      </c>
      <c r="CC65">
        <v>6.11E-3</v>
      </c>
      <c r="CD65">
        <v>4.8599999999999997E-3</v>
      </c>
      <c r="CE65">
        <v>5.2100000000000002E-3</v>
      </c>
      <c r="CF65">
        <v>5.0400000000000002E-3</v>
      </c>
      <c r="CG65">
        <v>4.8399999999999997E-3</v>
      </c>
      <c r="CH65">
        <v>4.6600000000000001E-3</v>
      </c>
      <c r="CI65">
        <v>4.5500000000000002E-3</v>
      </c>
      <c r="CJ65">
        <v>4.3699999999999998E-3</v>
      </c>
      <c r="CK65">
        <v>4.6100000000000004E-3</v>
      </c>
      <c r="CL65">
        <v>5.1900000000000002E-3</v>
      </c>
      <c r="CM65">
        <v>5.2100000000000002E-3</v>
      </c>
      <c r="CN65">
        <v>5.3499999999999997E-3</v>
      </c>
      <c r="CP65">
        <v>5.45E-3</v>
      </c>
      <c r="CQ65">
        <v>5.3499999999999997E-3</v>
      </c>
      <c r="CR65">
        <v>5.3200000000000001E-3</v>
      </c>
      <c r="CS65">
        <v>5.5700000000000003E-3</v>
      </c>
      <c r="CT65">
        <v>5.9300000000000004E-3</v>
      </c>
      <c r="CU65">
        <v>4.8799999999999998E-3</v>
      </c>
      <c r="CV65">
        <v>4.9399999999999999E-3</v>
      </c>
      <c r="CW65">
        <v>5.0400000000000002E-3</v>
      </c>
      <c r="CX65">
        <v>5.2399999999999999E-3</v>
      </c>
      <c r="CY65">
        <v>4.5500000000000002E-3</v>
      </c>
      <c r="CZ65">
        <v>4.7299999999999998E-3</v>
      </c>
      <c r="DA65">
        <v>4.7200000000000002E-3</v>
      </c>
      <c r="DC65">
        <v>4.62E-3</v>
      </c>
      <c r="DD65">
        <v>4.6100000000000004E-3</v>
      </c>
      <c r="DE65">
        <v>4.62E-3</v>
      </c>
      <c r="DF65">
        <v>5.2599999999999999E-3</v>
      </c>
      <c r="DG65">
        <v>3.8E-3</v>
      </c>
      <c r="DH65">
        <v>4.9199999999999999E-3</v>
      </c>
      <c r="DI65">
        <v>4.96E-3</v>
      </c>
      <c r="DJ65">
        <v>5.0699999999999999E-3</v>
      </c>
      <c r="DK65">
        <v>5.1700000000000001E-3</v>
      </c>
      <c r="DL65">
        <v>5.4299999999999999E-3</v>
      </c>
      <c r="DM65">
        <v>7.28E-3</v>
      </c>
      <c r="DN65">
        <v>6.62E-3</v>
      </c>
      <c r="DO65">
        <v>7.3699999999999998E-3</v>
      </c>
      <c r="DP65">
        <v>7.6099999999999996E-3</v>
      </c>
      <c r="DQ65">
        <v>7.4900000000000001E-3</v>
      </c>
      <c r="DT65">
        <v>7.2399999999999999E-3</v>
      </c>
      <c r="DU65">
        <v>7.6299999999999996E-3</v>
      </c>
      <c r="DV65">
        <v>7.8700000000000003E-3</v>
      </c>
      <c r="DW65">
        <v>7.6299999999999996E-3</v>
      </c>
      <c r="DX65">
        <v>7.7600000000000004E-3</v>
      </c>
      <c r="DY65">
        <v>8.26E-3</v>
      </c>
      <c r="DZ65">
        <v>8.0300000000000007E-3</v>
      </c>
      <c r="EA65">
        <v>4.5100000000000001E-3</v>
      </c>
      <c r="EB65">
        <v>4.4999999999999997E-3</v>
      </c>
      <c r="EC65">
        <v>4.2399999999999998E-3</v>
      </c>
      <c r="EF65">
        <v>9.5899999999999996E-3</v>
      </c>
      <c r="EI65">
        <v>5.5799999999999999E-3</v>
      </c>
      <c r="EK65">
        <v>5.0499999999999998E-3</v>
      </c>
      <c r="EL65">
        <v>5.1999999999999998E-3</v>
      </c>
      <c r="EM65">
        <v>5.4900000000000001E-3</v>
      </c>
      <c r="EN65">
        <v>5.5999999999999999E-3</v>
      </c>
      <c r="EO65">
        <v>5.5799999999999999E-3</v>
      </c>
      <c r="EP65">
        <v>5.96E-3</v>
      </c>
      <c r="EQ65">
        <v>5.9899999999999997E-3</v>
      </c>
      <c r="ER65">
        <v>4.1799999999999997E-3</v>
      </c>
      <c r="ES65">
        <v>4.2500000000000003E-3</v>
      </c>
      <c r="ET65">
        <v>4.0400000000000002E-3</v>
      </c>
      <c r="EU65">
        <v>8.5500000000000003E-3</v>
      </c>
      <c r="EV65">
        <v>7.92E-3</v>
      </c>
      <c r="EW65">
        <v>7.5100000000000002E-3</v>
      </c>
      <c r="EX65">
        <v>7.5700000000000003E-3</v>
      </c>
      <c r="EY65">
        <v>6.7200000000000003E-3</v>
      </c>
      <c r="EZ65">
        <v>6.6299999999999996E-3</v>
      </c>
      <c r="FA65">
        <v>4.8799999999999998E-3</v>
      </c>
      <c r="FB65">
        <v>5.3600000000000002E-3</v>
      </c>
      <c r="FC65">
        <v>4.5199999999999997E-3</v>
      </c>
      <c r="FD65">
        <v>4.5100000000000001E-3</v>
      </c>
      <c r="FE65">
        <v>5.2500000000000003E-3</v>
      </c>
      <c r="FG65">
        <v>7.62E-3</v>
      </c>
      <c r="FH65">
        <v>7.7099999999999998E-3</v>
      </c>
      <c r="FI65">
        <v>7.5500000000000003E-3</v>
      </c>
      <c r="FJ65">
        <v>7.6899999999999998E-3</v>
      </c>
      <c r="FK65">
        <v>6.7600000000000004E-3</v>
      </c>
      <c r="FL65">
        <v>4.5300000000000002E-3</v>
      </c>
      <c r="FN65">
        <v>4.79E-3</v>
      </c>
      <c r="FO65">
        <v>4.4900000000000001E-3</v>
      </c>
      <c r="FP65">
        <v>4.15E-3</v>
      </c>
      <c r="FR65">
        <v>8.4200000000000004E-3</v>
      </c>
      <c r="FS65">
        <v>5.3899999999999998E-3</v>
      </c>
      <c r="FT65">
        <v>5.3299999999999997E-3</v>
      </c>
      <c r="FU65">
        <v>5.3699999999999998E-3</v>
      </c>
      <c r="FV65">
        <v>5.5900000000000004E-3</v>
      </c>
      <c r="FW65">
        <v>5.3699999999999998E-3</v>
      </c>
      <c r="FX65">
        <v>5.5399999999999998E-3</v>
      </c>
      <c r="FY65">
        <v>5.8500000000000002E-3</v>
      </c>
      <c r="FZ65">
        <v>5.8500000000000002E-3</v>
      </c>
      <c r="GA65">
        <v>6.1399999999999996E-3</v>
      </c>
      <c r="GB65">
        <v>6.0600000000000003E-3</v>
      </c>
      <c r="GC65">
        <v>6.4200000000000004E-3</v>
      </c>
      <c r="GD65">
        <v>6.13E-3</v>
      </c>
      <c r="GE65">
        <v>6.5399999999999998E-3</v>
      </c>
      <c r="GF65">
        <v>5.79E-3</v>
      </c>
      <c r="GG65">
        <v>5.8999999999999999E-3</v>
      </c>
      <c r="GH65">
        <v>5.9899999999999997E-3</v>
      </c>
      <c r="GI65">
        <v>6.7200000000000003E-3</v>
      </c>
      <c r="GJ65">
        <v>6.8599999999999998E-3</v>
      </c>
      <c r="GK65">
        <v>6.9800000000000001E-3</v>
      </c>
      <c r="GL65">
        <v>7.1300000000000001E-3</v>
      </c>
      <c r="GO65">
        <v>5.9199999999999999E-3</v>
      </c>
      <c r="GP65">
        <v>4.7999999999999996E-3</v>
      </c>
      <c r="GQ65">
        <v>5.1399999999999996E-3</v>
      </c>
      <c r="GR65">
        <v>5.11E-3</v>
      </c>
      <c r="GS65">
        <v>4.79E-3</v>
      </c>
      <c r="GT65">
        <v>5.2500000000000003E-3</v>
      </c>
      <c r="GU65">
        <v>6.94E-3</v>
      </c>
      <c r="GV65">
        <v>7.4400000000000004E-3</v>
      </c>
      <c r="GW65">
        <v>6.8900000000000003E-3</v>
      </c>
      <c r="GX65">
        <v>6.6899999999999998E-3</v>
      </c>
      <c r="GY65">
        <v>5.6800000000000002E-3</v>
      </c>
      <c r="GZ65">
        <v>5.45E-3</v>
      </c>
      <c r="HA65">
        <v>4.8399999999999997E-3</v>
      </c>
      <c r="HC65">
        <v>7.3200000000000001E-3</v>
      </c>
      <c r="HD65">
        <v>3.7499999999999999E-3</v>
      </c>
      <c r="HE65">
        <v>6.9300000000000004E-3</v>
      </c>
      <c r="HF65">
        <v>7.3800000000000003E-3</v>
      </c>
      <c r="HG65">
        <v>7.6299999999999996E-3</v>
      </c>
      <c r="HH65">
        <v>7.6099999999999996E-3</v>
      </c>
      <c r="HI65">
        <v>7.7200000000000003E-3</v>
      </c>
      <c r="HJ65">
        <v>4.3400000000000001E-3</v>
      </c>
      <c r="HK65">
        <v>4.7000000000000002E-3</v>
      </c>
      <c r="HL65">
        <v>5.3299999999999997E-3</v>
      </c>
      <c r="HM65">
        <v>5.11E-3</v>
      </c>
      <c r="HN65">
        <v>5.5300000000000002E-3</v>
      </c>
      <c r="HO65">
        <v>4.7299999999999998E-3</v>
      </c>
      <c r="HP65">
        <v>4.6800000000000001E-3</v>
      </c>
      <c r="HQ65">
        <v>4.6800000000000001E-3</v>
      </c>
      <c r="HR65">
        <v>4.9300000000000004E-3</v>
      </c>
      <c r="HS65">
        <v>8.4499999999999992E-3</v>
      </c>
      <c r="HT65">
        <v>4.2500000000000003E-3</v>
      </c>
      <c r="HU65">
        <v>4.7699999999999999E-3</v>
      </c>
      <c r="HV65">
        <v>5.7200000000000003E-3</v>
      </c>
      <c r="HW65">
        <v>4.8900000000000002E-3</v>
      </c>
      <c r="HX65">
        <v>4.5500000000000002E-3</v>
      </c>
      <c r="HY65">
        <v>5.0099999999999997E-3</v>
      </c>
      <c r="HZ65">
        <v>3.98E-3</v>
      </c>
      <c r="IA65">
        <v>5.8100000000000001E-3</v>
      </c>
      <c r="IB65">
        <v>7.4799999999999997E-3</v>
      </c>
      <c r="IC65">
        <v>6.6299999999999996E-3</v>
      </c>
      <c r="ID65">
        <v>4.3200000000000001E-3</v>
      </c>
      <c r="IE65">
        <v>4.0499999999999998E-3</v>
      </c>
      <c r="IF65">
        <v>4.0899999999999999E-3</v>
      </c>
      <c r="IG65">
        <v>4.9699999999999996E-3</v>
      </c>
      <c r="IH65">
        <v>5.1799999999999997E-3</v>
      </c>
      <c r="II65">
        <v>3.9500000000000004E-3</v>
      </c>
      <c r="IJ65">
        <v>4.9199999999999999E-3</v>
      </c>
      <c r="IK65">
        <v>5.5199999999999997E-3</v>
      </c>
      <c r="IL65">
        <v>6.11E-3</v>
      </c>
      <c r="IM65">
        <v>8.1300000000000001E-3</v>
      </c>
      <c r="IN65">
        <v>7.3299999999999997E-3</v>
      </c>
      <c r="IO65">
        <v>8.0300000000000007E-3</v>
      </c>
      <c r="IP65">
        <v>8.94E-3</v>
      </c>
      <c r="IQ65">
        <v>9.5499999999999995E-3</v>
      </c>
      <c r="IR65">
        <v>1.0279999999999999E-2</v>
      </c>
      <c r="IS65">
        <v>5.0000000000000001E-3</v>
      </c>
      <c r="IT65">
        <v>3.3899999999999998E-3</v>
      </c>
      <c r="IU65">
        <v>3.63E-3</v>
      </c>
      <c r="IV65">
        <v>4.1700000000000001E-3</v>
      </c>
      <c r="IW65">
        <v>4.5799999999999999E-3</v>
      </c>
      <c r="IX65">
        <v>3.7399999999999998E-3</v>
      </c>
      <c r="IY65">
        <v>4.3400000000000001E-3</v>
      </c>
      <c r="IZ65">
        <v>3.9100000000000003E-3</v>
      </c>
      <c r="JA65">
        <v>4.3600000000000002E-3</v>
      </c>
      <c r="JB65">
        <v>4.4400000000000004E-3</v>
      </c>
      <c r="JC65">
        <v>4.8300000000000001E-3</v>
      </c>
      <c r="JD65">
        <v>5.0000000000000001E-3</v>
      </c>
      <c r="JE65">
        <v>4.4200000000000003E-3</v>
      </c>
      <c r="JF65">
        <v>7.0899999999999999E-3</v>
      </c>
      <c r="JG65">
        <v>9.3900000000000008E-3</v>
      </c>
      <c r="JH65">
        <v>8.4200000000000004E-3</v>
      </c>
      <c r="JI65">
        <v>5.0800000000000003E-3</v>
      </c>
      <c r="JJ65">
        <v>4.9800000000000001E-3</v>
      </c>
      <c r="JK65">
        <v>7.8100000000000001E-3</v>
      </c>
      <c r="JL65">
        <v>6.94E-3</v>
      </c>
      <c r="JM65">
        <v>5.1200000000000004E-3</v>
      </c>
      <c r="JN65">
        <v>5.5300000000000002E-3</v>
      </c>
      <c r="JP65">
        <v>5.6899999999999997E-3</v>
      </c>
      <c r="JQ65">
        <v>5.7000000000000002E-3</v>
      </c>
      <c r="JR65">
        <v>5.2700000000000004E-3</v>
      </c>
      <c r="JS65">
        <v>4.9199999999999999E-3</v>
      </c>
      <c r="JT65">
        <v>5.7999999999999996E-3</v>
      </c>
      <c r="JU65">
        <v>7.4999999999999997E-3</v>
      </c>
      <c r="JV65">
        <v>7.9699999999999997E-3</v>
      </c>
      <c r="JW65">
        <v>5.0800000000000003E-3</v>
      </c>
      <c r="JX65">
        <v>5.1700000000000001E-3</v>
      </c>
      <c r="JY65">
        <v>6.0600000000000003E-3</v>
      </c>
      <c r="JZ65">
        <v>5.7000000000000002E-3</v>
      </c>
      <c r="KA65">
        <v>5.45E-3</v>
      </c>
      <c r="KB65">
        <v>5.2399999999999999E-3</v>
      </c>
      <c r="KC65">
        <v>5.3800000000000002E-3</v>
      </c>
      <c r="KD65">
        <v>5.6699999999999997E-3</v>
      </c>
      <c r="KE65">
        <v>8.4100000000000008E-3</v>
      </c>
      <c r="KF65">
        <v>1.0030000000000001E-2</v>
      </c>
      <c r="KG65">
        <v>1.0619999999999999E-2</v>
      </c>
      <c r="KH65">
        <v>1.0710000000000001E-2</v>
      </c>
      <c r="KI65">
        <v>6.0600000000000003E-3</v>
      </c>
      <c r="KJ65">
        <v>6.2199999999999998E-3</v>
      </c>
      <c r="KK65">
        <v>6.1199999999999996E-3</v>
      </c>
      <c r="KL65">
        <v>6.5500000000000003E-3</v>
      </c>
      <c r="KM65">
        <v>6.62E-3</v>
      </c>
      <c r="KN65">
        <v>6.7799999999999996E-3</v>
      </c>
      <c r="KO65">
        <v>6.6E-3</v>
      </c>
      <c r="KP65">
        <v>6.13E-3</v>
      </c>
      <c r="KQ65">
        <v>6.2300000000000003E-3</v>
      </c>
      <c r="KR65">
        <v>6.2899999999999996E-3</v>
      </c>
      <c r="KS65">
        <v>6.62E-3</v>
      </c>
      <c r="KU65">
        <v>6.8100000000000001E-3</v>
      </c>
      <c r="KV65">
        <v>6.0299999999999998E-3</v>
      </c>
      <c r="KW65">
        <v>5.3699999999999998E-3</v>
      </c>
      <c r="KX65">
        <v>9.9799999999999993E-3</v>
      </c>
      <c r="KY65">
        <v>7.3699999999999998E-3</v>
      </c>
      <c r="KZ65">
        <v>8.2100000000000003E-3</v>
      </c>
      <c r="LA65">
        <v>5.0299999999999997E-3</v>
      </c>
      <c r="LB65">
        <v>5.0400000000000002E-3</v>
      </c>
      <c r="LC65">
        <v>5.0299999999999997E-3</v>
      </c>
      <c r="LD65">
        <v>5.0299999999999997E-3</v>
      </c>
      <c r="LE65">
        <v>7.9600000000000001E-3</v>
      </c>
      <c r="LF65">
        <v>7.0600000000000003E-3</v>
      </c>
      <c r="LG65">
        <v>5.3499999999999997E-3</v>
      </c>
      <c r="LI65">
        <v>7.9600000000000001E-3</v>
      </c>
      <c r="LJ65">
        <v>8.3700000000000007E-3</v>
      </c>
      <c r="LK65">
        <v>8.3999999999999995E-3</v>
      </c>
      <c r="LL65">
        <v>5.1500000000000001E-3</v>
      </c>
      <c r="LM65">
        <v>3.8300000000000001E-3</v>
      </c>
      <c r="LN65">
        <v>4.45E-3</v>
      </c>
      <c r="LO65">
        <v>4.6499999999999996E-3</v>
      </c>
      <c r="LP65">
        <v>4.1900000000000001E-3</v>
      </c>
      <c r="LR65">
        <v>7.7200000000000003E-3</v>
      </c>
      <c r="LS65">
        <v>8.6499999999999997E-3</v>
      </c>
      <c r="LT65">
        <v>4.5599999999999998E-3</v>
      </c>
      <c r="LU65">
        <v>5.1599999999999997E-3</v>
      </c>
      <c r="LV65">
        <v>5.4200000000000003E-3</v>
      </c>
      <c r="LW65">
        <v>4.9100000000000003E-3</v>
      </c>
      <c r="LX65">
        <v>5.5300000000000002E-3</v>
      </c>
      <c r="LY65">
        <v>5.94E-3</v>
      </c>
      <c r="LZ65">
        <v>6.0099999999999997E-3</v>
      </c>
      <c r="MA65">
        <v>6.3800000000000003E-3</v>
      </c>
      <c r="MB65">
        <v>4.6899999999999997E-3</v>
      </c>
      <c r="MC65">
        <v>7.62E-3</v>
      </c>
      <c r="MD65">
        <v>8.4799999999999997E-3</v>
      </c>
      <c r="ME65">
        <v>1.0529999999999999E-2</v>
      </c>
      <c r="MF65">
        <v>1.2619999999999999E-2</v>
      </c>
      <c r="MG65">
        <v>1.332E-2</v>
      </c>
      <c r="MH65">
        <v>4.47E-3</v>
      </c>
      <c r="MI65">
        <v>4.47E-3</v>
      </c>
      <c r="MJ65">
        <v>4.62E-3</v>
      </c>
      <c r="MK65">
        <v>4.3400000000000001E-3</v>
      </c>
      <c r="ML65">
        <v>5.1599999999999997E-3</v>
      </c>
      <c r="MM65">
        <v>4.2100000000000002E-3</v>
      </c>
      <c r="MN65">
        <v>4.7000000000000002E-3</v>
      </c>
      <c r="MO65">
        <v>4.9800000000000001E-3</v>
      </c>
      <c r="MP65">
        <v>6.2100000000000002E-3</v>
      </c>
      <c r="MR65">
        <v>5.0000000000000001E-3</v>
      </c>
      <c r="MS65">
        <v>5.0499999999999998E-3</v>
      </c>
      <c r="MT65">
        <v>6.4700000000000001E-3</v>
      </c>
      <c r="MU65">
        <v>4.8300000000000001E-3</v>
      </c>
      <c r="MV65">
        <v>5.0499999999999998E-3</v>
      </c>
      <c r="MW65">
        <v>5.1599999999999997E-3</v>
      </c>
      <c r="MX65">
        <v>5.1799999999999997E-3</v>
      </c>
      <c r="MY65">
        <v>5.5399999999999998E-3</v>
      </c>
      <c r="MZ65">
        <v>6.1900000000000002E-3</v>
      </c>
      <c r="NA65">
        <v>5.5700000000000003E-3</v>
      </c>
      <c r="NB65">
        <v>5.2300000000000003E-3</v>
      </c>
      <c r="NC65">
        <v>3.2100000000000002E-3</v>
      </c>
      <c r="ND65">
        <v>1.1480000000000001E-2</v>
      </c>
      <c r="NE65">
        <v>5.5700000000000003E-3</v>
      </c>
      <c r="NF65">
        <v>6.8199999999999997E-3</v>
      </c>
      <c r="NG65">
        <v>4.2300000000000003E-3</v>
      </c>
      <c r="NH65">
        <v>3.7299999999999998E-3</v>
      </c>
      <c r="NI65">
        <v>3.9300000000000003E-3</v>
      </c>
      <c r="NJ65">
        <v>4.2399999999999998E-3</v>
      </c>
      <c r="NK65">
        <v>3.9199999999999999E-3</v>
      </c>
      <c r="NL65">
        <v>4.1000000000000003E-3</v>
      </c>
      <c r="NM65">
        <v>4.2700000000000004E-3</v>
      </c>
      <c r="NN65">
        <v>4.4000000000000003E-3</v>
      </c>
      <c r="NO65">
        <v>4.5700000000000003E-3</v>
      </c>
      <c r="NP65">
        <v>4.6499999999999996E-3</v>
      </c>
      <c r="NQ65">
        <v>3.96E-3</v>
      </c>
      <c r="NS65">
        <v>4.3200000000000001E-3</v>
      </c>
      <c r="NU65">
        <v>4.0600000000000002E-3</v>
      </c>
      <c r="NV65">
        <v>4.1999999999999997E-3</v>
      </c>
      <c r="NW65">
        <v>4.3499999999999997E-3</v>
      </c>
      <c r="NX65">
        <v>4.1900000000000001E-3</v>
      </c>
      <c r="NY65">
        <v>4.3899999999999998E-3</v>
      </c>
      <c r="NZ65">
        <v>4.4600000000000004E-3</v>
      </c>
      <c r="OA65">
        <v>4.62E-3</v>
      </c>
      <c r="OC65">
        <v>4.2199999999999998E-3</v>
      </c>
      <c r="OD65">
        <v>4.2100000000000002E-3</v>
      </c>
      <c r="OE65">
        <v>4.2100000000000002E-3</v>
      </c>
      <c r="OF65">
        <v>7.3699999999999998E-3</v>
      </c>
      <c r="OG65">
        <v>4.4799999999999996E-3</v>
      </c>
      <c r="OH65">
        <v>4.6299999999999996E-3</v>
      </c>
      <c r="OI65">
        <v>4.7000000000000002E-3</v>
      </c>
      <c r="OJ65">
        <v>4.8700000000000002E-3</v>
      </c>
      <c r="OK65">
        <v>4.9300000000000004E-3</v>
      </c>
      <c r="OL65">
        <v>5.0299999999999997E-3</v>
      </c>
      <c r="OM65">
        <v>5.5900000000000004E-3</v>
      </c>
      <c r="ON65">
        <v>5.6800000000000002E-3</v>
      </c>
      <c r="OO65">
        <v>4.5500000000000002E-3</v>
      </c>
      <c r="OP65">
        <v>4.7999999999999996E-3</v>
      </c>
      <c r="OQ65">
        <v>4.9199999999999999E-3</v>
      </c>
      <c r="OR65">
        <v>5.2599999999999999E-3</v>
      </c>
      <c r="OS65">
        <v>5.6699999999999997E-3</v>
      </c>
      <c r="OT65">
        <v>5.62E-3</v>
      </c>
      <c r="OU65">
        <v>5.8300000000000001E-3</v>
      </c>
      <c r="OV65">
        <v>5.1399999999999996E-3</v>
      </c>
      <c r="OW65">
        <v>4.6299999999999996E-3</v>
      </c>
      <c r="OX65">
        <v>5.4000000000000003E-3</v>
      </c>
      <c r="OY65">
        <v>5.6299999999999996E-3</v>
      </c>
      <c r="OZ65">
        <v>5.3099999999999996E-3</v>
      </c>
      <c r="PA65">
        <v>7.62E-3</v>
      </c>
      <c r="PB65">
        <v>7.9699999999999997E-3</v>
      </c>
      <c r="PC65">
        <v>6.8799999999999998E-3</v>
      </c>
      <c r="PD65">
        <v>6.1799999999999997E-3</v>
      </c>
      <c r="PE65">
        <v>5.8599999999999998E-3</v>
      </c>
      <c r="PF65">
        <v>5.8599999999999998E-3</v>
      </c>
      <c r="PG65">
        <v>5.1599999999999997E-3</v>
      </c>
      <c r="PH65">
        <v>5.3E-3</v>
      </c>
      <c r="PI65">
        <v>6.3899999999999998E-3</v>
      </c>
      <c r="PJ65">
        <v>6.0000000000000001E-3</v>
      </c>
      <c r="PK65">
        <v>5.5700000000000003E-3</v>
      </c>
      <c r="PL65">
        <v>6.0600000000000003E-3</v>
      </c>
      <c r="PM65">
        <v>5.0600000000000003E-3</v>
      </c>
      <c r="PN65">
        <v>4.7400000000000003E-3</v>
      </c>
      <c r="PO65">
        <v>3.9899999999999996E-3</v>
      </c>
      <c r="PQ65">
        <v>5.0099999999999997E-3</v>
      </c>
      <c r="PR65">
        <v>4.5199999999999997E-3</v>
      </c>
      <c r="PS65">
        <v>4.2399999999999998E-3</v>
      </c>
      <c r="PT65">
        <v>5.13E-3</v>
      </c>
      <c r="PU65">
        <v>4.7800000000000004E-3</v>
      </c>
      <c r="PV65">
        <v>2.82E-3</v>
      </c>
      <c r="PW65">
        <v>2.97E-3</v>
      </c>
      <c r="PX65">
        <v>3.0300000000000001E-3</v>
      </c>
      <c r="PY65">
        <v>3.1099999999999999E-3</v>
      </c>
      <c r="PZ65">
        <v>3.2599999999999999E-3</v>
      </c>
      <c r="QA65">
        <v>4.0200000000000001E-3</v>
      </c>
      <c r="QC65">
        <v>5.13E-3</v>
      </c>
      <c r="QD65">
        <v>5.4999999999999997E-3</v>
      </c>
      <c r="QE65">
        <v>4.4099999999999999E-3</v>
      </c>
      <c r="QF65">
        <v>4.8900000000000002E-3</v>
      </c>
      <c r="QH65">
        <v>4.7699999999999999E-3</v>
      </c>
      <c r="QI65">
        <v>4.9800000000000001E-3</v>
      </c>
      <c r="QJ65">
        <v>4.7400000000000003E-3</v>
      </c>
      <c r="QK65">
        <v>4.8300000000000001E-3</v>
      </c>
      <c r="QL65">
        <v>4.7200000000000002E-3</v>
      </c>
      <c r="QM65">
        <v>5.2199999999999998E-3</v>
      </c>
      <c r="QN65">
        <v>8.1799999999999998E-3</v>
      </c>
      <c r="QO65">
        <v>6.3499999999999997E-3</v>
      </c>
      <c r="QP65">
        <v>7.2700000000000004E-3</v>
      </c>
      <c r="QQ65">
        <v>7.3400000000000002E-3</v>
      </c>
      <c r="QR65">
        <v>7.3899999999999999E-3</v>
      </c>
      <c r="QS65">
        <v>7.3299999999999997E-3</v>
      </c>
      <c r="QT65">
        <v>5.4400000000000004E-3</v>
      </c>
      <c r="QU65">
        <v>5.4099999999999999E-3</v>
      </c>
      <c r="QV65">
        <v>5.4099999999999999E-3</v>
      </c>
      <c r="QW65">
        <v>5.6899999999999997E-3</v>
      </c>
      <c r="QX65">
        <v>5.0699999999999999E-3</v>
      </c>
      <c r="QY65">
        <v>4.9199999999999999E-3</v>
      </c>
      <c r="QZ65">
        <v>5.1999999999999998E-3</v>
      </c>
      <c r="RA65">
        <v>5.1500000000000001E-3</v>
      </c>
      <c r="RB65">
        <v>5.7499999999999999E-3</v>
      </c>
      <c r="RC65">
        <v>5.1000000000000004E-3</v>
      </c>
      <c r="RD65">
        <v>6.1000000000000004E-3</v>
      </c>
      <c r="RE65">
        <v>5.2100000000000002E-3</v>
      </c>
      <c r="RF65">
        <v>5.9699999999999996E-3</v>
      </c>
      <c r="RG65">
        <v>4.5199999999999997E-3</v>
      </c>
      <c r="RH65">
        <v>4.81E-3</v>
      </c>
      <c r="RI65">
        <v>6.8300000000000001E-3</v>
      </c>
      <c r="RJ65">
        <v>5.3200000000000001E-3</v>
      </c>
      <c r="RK65">
        <v>5.4000000000000003E-3</v>
      </c>
      <c r="RL65">
        <v>5.1200000000000004E-3</v>
      </c>
      <c r="RM65">
        <v>4.1099999999999999E-3</v>
      </c>
      <c r="RN65">
        <v>4.2199999999999998E-3</v>
      </c>
      <c r="RO65">
        <v>4.2199999999999998E-3</v>
      </c>
      <c r="RP65">
        <v>3.9399999999999999E-3</v>
      </c>
      <c r="RQ65">
        <v>4.3699999999999998E-3</v>
      </c>
      <c r="RR65">
        <v>4.1000000000000003E-3</v>
      </c>
      <c r="RS65">
        <v>4.2300000000000003E-3</v>
      </c>
      <c r="RT65">
        <v>3.5799999999999998E-3</v>
      </c>
      <c r="RU65">
        <v>4.7600000000000003E-3</v>
      </c>
      <c r="RV65">
        <v>4.62E-3</v>
      </c>
      <c r="RW65">
        <v>5.0699999999999999E-3</v>
      </c>
      <c r="RX65">
        <v>4.7600000000000003E-3</v>
      </c>
      <c r="RY65">
        <v>4.4400000000000004E-3</v>
      </c>
      <c r="RZ65">
        <v>3.82E-3</v>
      </c>
      <c r="SA65">
        <v>4.5100000000000001E-3</v>
      </c>
      <c r="SB65">
        <v>4.2700000000000004E-3</v>
      </c>
      <c r="SC65">
        <v>5.5999999999999999E-3</v>
      </c>
      <c r="SD65">
        <v>6.0699999999999999E-3</v>
      </c>
      <c r="SE65">
        <v>5.5799999999999999E-3</v>
      </c>
      <c r="SF65">
        <v>6.28E-3</v>
      </c>
      <c r="SG65">
        <v>7.77E-3</v>
      </c>
      <c r="SI65">
        <v>5.4400000000000004E-3</v>
      </c>
      <c r="SJ65">
        <v>4.5500000000000002E-3</v>
      </c>
      <c r="SK65">
        <v>3.9899999999999996E-3</v>
      </c>
      <c r="SL65">
        <v>4.4099999999999999E-3</v>
      </c>
      <c r="SM65">
        <v>3.5899999999999999E-3</v>
      </c>
      <c r="SN65">
        <v>4.1200000000000004E-3</v>
      </c>
      <c r="SO65">
        <v>4.0499999999999998E-3</v>
      </c>
      <c r="SP65">
        <v>5.7000000000000002E-3</v>
      </c>
      <c r="SQ65">
        <v>4.5300000000000002E-3</v>
      </c>
      <c r="SR65">
        <v>5.3400000000000001E-3</v>
      </c>
      <c r="SS65">
        <v>4.7400000000000003E-3</v>
      </c>
      <c r="ST65">
        <v>4.6600000000000001E-3</v>
      </c>
      <c r="SU65">
        <v>4.9699999999999996E-3</v>
      </c>
      <c r="SV65">
        <v>4.79E-3</v>
      </c>
      <c r="SW65">
        <v>5.13E-3</v>
      </c>
      <c r="SX65">
        <v>4.8199999999999996E-3</v>
      </c>
      <c r="SY65">
        <v>4.5500000000000002E-3</v>
      </c>
      <c r="SZ65">
        <v>5.2500000000000003E-3</v>
      </c>
      <c r="TA65">
        <v>4.96E-3</v>
      </c>
      <c r="TB65">
        <v>5.8999999999999999E-3</v>
      </c>
      <c r="TC65">
        <v>4.8700000000000002E-3</v>
      </c>
      <c r="TD65">
        <v>4.4900000000000001E-3</v>
      </c>
      <c r="TE65">
        <v>6.3699999999999998E-3</v>
      </c>
      <c r="TG65">
        <v>5.8500000000000002E-3</v>
      </c>
      <c r="TH65">
        <v>6.3800000000000003E-3</v>
      </c>
      <c r="TI65">
        <v>5.11E-3</v>
      </c>
      <c r="TJ65">
        <v>6.4799999999999996E-3</v>
      </c>
      <c r="TK65">
        <v>4.13E-3</v>
      </c>
      <c r="TL65">
        <v>3.9899999999999996E-3</v>
      </c>
      <c r="TM65">
        <v>3.9300000000000003E-3</v>
      </c>
      <c r="TN65">
        <v>4.62E-3</v>
      </c>
      <c r="TO65">
        <v>5.3499999999999997E-3</v>
      </c>
      <c r="TP65">
        <v>4.3699999999999998E-3</v>
      </c>
      <c r="TQ65">
        <v>5.2100000000000002E-3</v>
      </c>
      <c r="TR65">
        <v>5.5900000000000004E-3</v>
      </c>
      <c r="TS65">
        <v>5.1700000000000001E-3</v>
      </c>
      <c r="TT65">
        <v>5.2199999999999998E-3</v>
      </c>
      <c r="TU65">
        <v>4.9500000000000004E-3</v>
      </c>
      <c r="TV65">
        <v>4.0899999999999999E-3</v>
      </c>
      <c r="TW65">
        <v>4.5399999999999998E-3</v>
      </c>
      <c r="TX65">
        <v>5.0099999999999997E-3</v>
      </c>
      <c r="TY65">
        <v>5.0600000000000003E-3</v>
      </c>
      <c r="TZ65">
        <v>5.13E-3</v>
      </c>
      <c r="UA65">
        <v>5.1700000000000001E-3</v>
      </c>
      <c r="UB65">
        <v>4.9899999999999996E-3</v>
      </c>
      <c r="UC65">
        <v>4.6299999999999996E-3</v>
      </c>
      <c r="UD65">
        <v>4.7200000000000002E-3</v>
      </c>
      <c r="UE65">
        <v>4.9500000000000004E-3</v>
      </c>
      <c r="UF65">
        <v>3.62E-3</v>
      </c>
      <c r="UG65">
        <v>4.28E-3</v>
      </c>
      <c r="UH65">
        <v>5.1599999999999997E-3</v>
      </c>
      <c r="UI65">
        <v>4.15E-3</v>
      </c>
      <c r="UJ65">
        <v>5.13E-3</v>
      </c>
      <c r="UL65">
        <v>5.11E-3</v>
      </c>
      <c r="UM65">
        <v>5.6499999999999996E-3</v>
      </c>
      <c r="UN65">
        <v>4.8999999999999998E-3</v>
      </c>
      <c r="UO65">
        <v>4.8199999999999996E-3</v>
      </c>
      <c r="UP65">
        <v>6.0800000000000003E-3</v>
      </c>
      <c r="UQ65">
        <v>4.7299999999999998E-3</v>
      </c>
      <c r="UR65">
        <v>4.7200000000000002E-3</v>
      </c>
      <c r="US65">
        <v>5.0299999999999997E-3</v>
      </c>
      <c r="UT65">
        <v>4.6600000000000001E-3</v>
      </c>
      <c r="UU65">
        <v>4.7600000000000003E-3</v>
      </c>
      <c r="UV65">
        <v>5.0400000000000002E-3</v>
      </c>
      <c r="UW65">
        <v>5.2900000000000004E-3</v>
      </c>
      <c r="UX65">
        <v>3.9699999999999996E-3</v>
      </c>
      <c r="UY65">
        <v>4.3600000000000002E-3</v>
      </c>
      <c r="UZ65">
        <v>5.1399999999999996E-3</v>
      </c>
      <c r="VA65">
        <v>6.28E-3</v>
      </c>
      <c r="VB65">
        <v>5.5100000000000001E-3</v>
      </c>
      <c r="VC65">
        <v>5.2500000000000003E-3</v>
      </c>
      <c r="VD65">
        <v>4.6600000000000001E-3</v>
      </c>
      <c r="VE65">
        <v>4.1000000000000003E-3</v>
      </c>
      <c r="VF65">
        <v>5.1999999999999998E-3</v>
      </c>
      <c r="VG65">
        <v>7.6800000000000002E-3</v>
      </c>
      <c r="VH65">
        <v>4.2300000000000003E-3</v>
      </c>
      <c r="VI65">
        <v>4.8500000000000001E-3</v>
      </c>
    </row>
    <row r="66" spans="1:581" x14ac:dyDescent="0.25">
      <c r="A66">
        <v>2300000</v>
      </c>
      <c r="B66">
        <v>4.7999999999999996E-3</v>
      </c>
      <c r="C66">
        <v>5.0699999999999999E-3</v>
      </c>
      <c r="D66">
        <v>5.2399999999999999E-3</v>
      </c>
      <c r="E66">
        <v>5.7400000000000003E-3</v>
      </c>
      <c r="F66">
        <v>6.2100000000000002E-3</v>
      </c>
      <c r="G66">
        <v>6.3499999999999997E-3</v>
      </c>
      <c r="H66">
        <v>5.0499999999999998E-3</v>
      </c>
      <c r="I66">
        <v>5.0200000000000002E-3</v>
      </c>
      <c r="J66">
        <v>5.1200000000000004E-3</v>
      </c>
      <c r="K66">
        <v>5.0099999999999997E-3</v>
      </c>
      <c r="L66">
        <v>4.9399999999999999E-3</v>
      </c>
      <c r="M66">
        <v>4.9199999999999999E-3</v>
      </c>
      <c r="N66">
        <v>4.9500000000000004E-3</v>
      </c>
      <c r="O66">
        <v>4.3800000000000002E-3</v>
      </c>
      <c r="P66">
        <v>4.3E-3</v>
      </c>
      <c r="Q66">
        <v>4.3499999999999997E-3</v>
      </c>
      <c r="R66">
        <v>4.3099999999999996E-3</v>
      </c>
      <c r="S66">
        <v>4.8599999999999997E-3</v>
      </c>
      <c r="T66">
        <v>4.96E-3</v>
      </c>
      <c r="U66">
        <v>5.7999999999999996E-3</v>
      </c>
      <c r="V66">
        <v>4.8900000000000002E-3</v>
      </c>
      <c r="W66">
        <v>5.5999999999999999E-3</v>
      </c>
      <c r="X66">
        <v>4.7999999999999996E-3</v>
      </c>
      <c r="Y66">
        <v>5.5199999999999997E-3</v>
      </c>
      <c r="Z66">
        <v>4.64E-3</v>
      </c>
      <c r="AA66">
        <v>4.1700000000000001E-3</v>
      </c>
      <c r="AB66">
        <v>6.6800000000000002E-3</v>
      </c>
      <c r="AC66">
        <v>6.4900000000000001E-3</v>
      </c>
      <c r="AD66">
        <v>4.8599999999999997E-3</v>
      </c>
      <c r="AE66">
        <v>5.3800000000000002E-3</v>
      </c>
      <c r="AG66">
        <v>4.1599999999999996E-3</v>
      </c>
      <c r="AH66">
        <v>4.0299999999999997E-3</v>
      </c>
      <c r="AI66">
        <v>3.9300000000000003E-3</v>
      </c>
      <c r="AK66">
        <v>5.6699999999999997E-3</v>
      </c>
      <c r="AL66">
        <v>6.8500000000000002E-3</v>
      </c>
      <c r="AM66">
        <v>4.0800000000000003E-3</v>
      </c>
      <c r="AN66">
        <v>4.3800000000000002E-3</v>
      </c>
      <c r="AO66">
        <v>9.2999999999999992E-3</v>
      </c>
      <c r="AP66">
        <v>4.7200000000000002E-3</v>
      </c>
      <c r="AQ66">
        <v>4.4799999999999996E-3</v>
      </c>
      <c r="AR66">
        <v>4.5799999999999999E-3</v>
      </c>
      <c r="AS66">
        <v>4.6499999999999996E-3</v>
      </c>
      <c r="AT66">
        <v>3.6700000000000001E-3</v>
      </c>
      <c r="AU66">
        <v>4.13E-3</v>
      </c>
      <c r="AV66">
        <v>3.7200000000000002E-3</v>
      </c>
      <c r="AW66">
        <v>4.3099999999999996E-3</v>
      </c>
      <c r="AX66">
        <v>4.3499999999999997E-3</v>
      </c>
      <c r="AY66">
        <v>5.3699999999999998E-3</v>
      </c>
      <c r="BA66">
        <v>3.8E-3</v>
      </c>
      <c r="BB66">
        <v>5.62E-3</v>
      </c>
      <c r="BC66">
        <v>5.9800000000000001E-3</v>
      </c>
      <c r="BD66">
        <v>6.13E-3</v>
      </c>
      <c r="BE66">
        <v>7.1199999999999996E-3</v>
      </c>
      <c r="BF66">
        <v>8.6300000000000005E-3</v>
      </c>
      <c r="BG66">
        <v>5.7400000000000003E-3</v>
      </c>
      <c r="BH66">
        <v>4.4099999999999999E-3</v>
      </c>
      <c r="BI66">
        <v>8.3700000000000007E-3</v>
      </c>
      <c r="BJ66">
        <v>5.79E-3</v>
      </c>
      <c r="BK66">
        <v>6.1900000000000002E-3</v>
      </c>
      <c r="BL66">
        <v>6.2599999999999999E-3</v>
      </c>
      <c r="BM66">
        <v>5.9899999999999997E-3</v>
      </c>
      <c r="BN66">
        <v>6.6100000000000004E-3</v>
      </c>
      <c r="BO66">
        <v>7.0000000000000001E-3</v>
      </c>
      <c r="BP66">
        <v>6.3699999999999998E-3</v>
      </c>
      <c r="BQ66">
        <v>5.8100000000000001E-3</v>
      </c>
      <c r="BR66">
        <v>3.5200000000000001E-3</v>
      </c>
      <c r="BT66">
        <v>5.9199999999999999E-3</v>
      </c>
      <c r="BU66">
        <v>7.8300000000000002E-3</v>
      </c>
      <c r="BV66">
        <v>7.8100000000000001E-3</v>
      </c>
      <c r="BW66">
        <v>7.5700000000000003E-3</v>
      </c>
      <c r="BX66">
        <v>7.4099999999999999E-3</v>
      </c>
      <c r="BY66">
        <v>7.4700000000000001E-3</v>
      </c>
      <c r="BZ66">
        <v>6.4900000000000001E-3</v>
      </c>
      <c r="CA66">
        <v>6.7099999999999998E-3</v>
      </c>
      <c r="CB66">
        <v>5.7499999999999999E-3</v>
      </c>
      <c r="CC66">
        <v>6.0499999999999998E-3</v>
      </c>
      <c r="CD66">
        <v>4.7999999999999996E-3</v>
      </c>
      <c r="CE66">
        <v>5.1900000000000002E-3</v>
      </c>
      <c r="CF66">
        <v>5.0200000000000002E-3</v>
      </c>
      <c r="CG66">
        <v>4.8500000000000001E-3</v>
      </c>
      <c r="CH66">
        <v>4.6699999999999997E-3</v>
      </c>
      <c r="CI66">
        <v>4.5700000000000003E-3</v>
      </c>
      <c r="CJ66">
        <v>4.3899999999999998E-3</v>
      </c>
      <c r="CK66">
        <v>4.6299999999999996E-3</v>
      </c>
      <c r="CL66">
        <v>5.1700000000000001E-3</v>
      </c>
      <c r="CM66">
        <v>5.1599999999999997E-3</v>
      </c>
      <c r="CP66">
        <v>5.4000000000000003E-3</v>
      </c>
      <c r="CQ66">
        <v>5.3499999999999997E-3</v>
      </c>
      <c r="CR66">
        <v>5.2900000000000004E-3</v>
      </c>
      <c r="CT66">
        <v>5.8900000000000003E-3</v>
      </c>
      <c r="CU66">
        <v>4.8500000000000001E-3</v>
      </c>
      <c r="CV66">
        <v>4.9300000000000004E-3</v>
      </c>
      <c r="CW66">
        <v>5.0200000000000002E-3</v>
      </c>
      <c r="CX66">
        <v>5.2199999999999998E-3</v>
      </c>
      <c r="CY66">
        <v>4.5700000000000003E-3</v>
      </c>
      <c r="CZ66">
        <v>4.7499999999999999E-3</v>
      </c>
      <c r="DA66">
        <v>4.7000000000000002E-3</v>
      </c>
      <c r="DB66">
        <v>4.6299999999999996E-3</v>
      </c>
      <c r="DC66">
        <v>4.6100000000000004E-3</v>
      </c>
      <c r="DD66">
        <v>4.5999999999999999E-3</v>
      </c>
      <c r="DE66">
        <v>4.6100000000000004E-3</v>
      </c>
      <c r="DF66">
        <v>5.1599999999999997E-3</v>
      </c>
      <c r="DG66">
        <v>3.7599999999999999E-3</v>
      </c>
      <c r="DH66">
        <v>4.8500000000000001E-3</v>
      </c>
      <c r="DI66">
        <v>4.8799999999999998E-3</v>
      </c>
      <c r="DJ66">
        <v>5.0099999999999997E-3</v>
      </c>
      <c r="DK66">
        <v>5.11E-3</v>
      </c>
      <c r="DM66">
        <v>7.2399999999999999E-3</v>
      </c>
      <c r="DN66">
        <v>6.7400000000000003E-3</v>
      </c>
      <c r="DO66">
        <v>7.3299999999999997E-3</v>
      </c>
      <c r="DP66">
        <v>7.5399999999999998E-3</v>
      </c>
      <c r="DQ66">
        <v>7.43E-3</v>
      </c>
      <c r="DR66">
        <v>7.4799999999999997E-3</v>
      </c>
      <c r="DT66">
        <v>7.2700000000000004E-3</v>
      </c>
      <c r="DU66">
        <v>7.5900000000000004E-3</v>
      </c>
      <c r="DV66">
        <v>7.8200000000000006E-3</v>
      </c>
      <c r="DW66">
        <v>7.6400000000000001E-3</v>
      </c>
      <c r="DX66">
        <v>7.7600000000000004E-3</v>
      </c>
      <c r="DY66">
        <v>8.1899999999999994E-3</v>
      </c>
      <c r="DZ66">
        <v>7.9600000000000001E-3</v>
      </c>
      <c r="EA66">
        <v>4.4600000000000004E-3</v>
      </c>
      <c r="EB66">
        <v>4.4600000000000004E-3</v>
      </c>
      <c r="EC66">
        <v>4.2100000000000002E-3</v>
      </c>
      <c r="EF66">
        <v>9.4699999999999993E-3</v>
      </c>
      <c r="EI66">
        <v>5.5399999999999998E-3</v>
      </c>
      <c r="EJ66">
        <v>5.2300000000000003E-3</v>
      </c>
      <c r="EK66">
        <v>5.0099999999999997E-3</v>
      </c>
      <c r="EL66">
        <v>5.1500000000000001E-3</v>
      </c>
      <c r="EN66">
        <v>5.5599999999999998E-3</v>
      </c>
      <c r="EO66">
        <v>5.5300000000000002E-3</v>
      </c>
      <c r="EP66">
        <v>5.8999999999999999E-3</v>
      </c>
      <c r="EQ66">
        <v>5.9300000000000004E-3</v>
      </c>
      <c r="ER66">
        <v>4.1200000000000004E-3</v>
      </c>
      <c r="ES66">
        <v>4.1900000000000001E-3</v>
      </c>
      <c r="ET66">
        <v>3.98E-3</v>
      </c>
      <c r="EU66">
        <v>8.4499999999999992E-3</v>
      </c>
      <c r="EV66">
        <v>7.8300000000000002E-3</v>
      </c>
      <c r="EW66">
        <v>7.4400000000000004E-3</v>
      </c>
      <c r="EX66">
        <v>7.5100000000000002E-3</v>
      </c>
      <c r="EY66">
        <v>6.7200000000000003E-3</v>
      </c>
      <c r="EZ66">
        <v>6.6100000000000004E-3</v>
      </c>
      <c r="FB66">
        <v>5.2900000000000004E-3</v>
      </c>
      <c r="FC66">
        <v>4.4600000000000004E-3</v>
      </c>
      <c r="FD66">
        <v>4.4600000000000004E-3</v>
      </c>
      <c r="FE66">
        <v>5.1900000000000002E-3</v>
      </c>
      <c r="FF66">
        <v>4.2199999999999998E-3</v>
      </c>
      <c r="FG66">
        <v>7.5799999999999999E-3</v>
      </c>
      <c r="FH66">
        <v>7.62E-3</v>
      </c>
      <c r="FI66">
        <v>7.4999999999999997E-3</v>
      </c>
      <c r="FJ66">
        <v>7.6400000000000001E-3</v>
      </c>
      <c r="FK66">
        <v>6.6899999999999998E-3</v>
      </c>
      <c r="FL66">
        <v>4.5199999999999997E-3</v>
      </c>
      <c r="FN66">
        <v>4.6899999999999997E-3</v>
      </c>
      <c r="FO66">
        <v>4.4400000000000004E-3</v>
      </c>
      <c r="FP66">
        <v>4.1000000000000003E-3</v>
      </c>
      <c r="FQ66">
        <v>4.9699999999999996E-3</v>
      </c>
      <c r="FR66">
        <v>8.3099999999999997E-3</v>
      </c>
      <c r="FS66">
        <v>5.2900000000000004E-3</v>
      </c>
      <c r="FT66">
        <v>5.2399999999999999E-3</v>
      </c>
      <c r="FU66">
        <v>5.3299999999999997E-3</v>
      </c>
      <c r="FV66">
        <v>5.5399999999999998E-3</v>
      </c>
      <c r="FW66">
        <v>5.3E-3</v>
      </c>
      <c r="FX66">
        <v>5.4599999999999996E-3</v>
      </c>
      <c r="FY66">
        <v>5.7800000000000004E-3</v>
      </c>
      <c r="FZ66">
        <v>5.7800000000000004E-3</v>
      </c>
      <c r="GA66">
        <v>6.0499999999999998E-3</v>
      </c>
      <c r="GB66">
        <v>6.0099999999999997E-3</v>
      </c>
      <c r="GC66">
        <v>6.3299999999999997E-3</v>
      </c>
      <c r="GD66">
        <v>6.0499999999999998E-3</v>
      </c>
      <c r="GE66">
        <v>6.4599999999999996E-3</v>
      </c>
      <c r="GF66">
        <v>5.7400000000000003E-3</v>
      </c>
      <c r="GG66">
        <v>5.8500000000000002E-3</v>
      </c>
      <c r="GH66">
        <v>5.9300000000000004E-3</v>
      </c>
      <c r="GI66">
        <v>6.6499999999999997E-3</v>
      </c>
      <c r="GJ66">
        <v>6.79E-3</v>
      </c>
      <c r="GK66">
        <v>6.9199999999999999E-3</v>
      </c>
      <c r="GL66">
        <v>7.0800000000000004E-3</v>
      </c>
      <c r="GM66">
        <v>6.3800000000000003E-3</v>
      </c>
      <c r="GO66">
        <v>5.8500000000000002E-3</v>
      </c>
      <c r="GP66">
        <v>4.7600000000000003E-3</v>
      </c>
      <c r="GQ66">
        <v>5.0600000000000003E-3</v>
      </c>
      <c r="GR66">
        <v>5.0099999999999997E-3</v>
      </c>
      <c r="GS66">
        <v>4.7400000000000003E-3</v>
      </c>
      <c r="GT66">
        <v>5.1799999999999997E-3</v>
      </c>
      <c r="GU66">
        <v>6.94E-3</v>
      </c>
      <c r="GV66">
        <v>7.3899999999999999E-3</v>
      </c>
      <c r="GW66">
        <v>6.8199999999999997E-3</v>
      </c>
      <c r="GX66">
        <v>6.62E-3</v>
      </c>
      <c r="GY66">
        <v>5.62E-3</v>
      </c>
      <c r="GZ66">
        <v>5.3800000000000002E-3</v>
      </c>
      <c r="HA66">
        <v>4.8199999999999996E-3</v>
      </c>
      <c r="HB66">
        <v>4.6299999999999996E-3</v>
      </c>
      <c r="HC66">
        <v>7.2899999999999996E-3</v>
      </c>
      <c r="HD66">
        <v>3.79E-3</v>
      </c>
      <c r="HE66">
        <v>6.9499999999999996E-3</v>
      </c>
      <c r="HF66">
        <v>7.3499999999999998E-3</v>
      </c>
      <c r="HG66">
        <v>7.5700000000000003E-3</v>
      </c>
      <c r="HH66">
        <v>7.5500000000000003E-3</v>
      </c>
      <c r="HI66">
        <v>7.6600000000000001E-3</v>
      </c>
      <c r="HJ66">
        <v>4.3499999999999997E-3</v>
      </c>
      <c r="HK66">
        <v>4.64E-3</v>
      </c>
      <c r="HL66">
        <v>5.2500000000000003E-3</v>
      </c>
      <c r="HM66">
        <v>5.0299999999999997E-3</v>
      </c>
      <c r="HN66">
        <v>5.5300000000000002E-3</v>
      </c>
      <c r="HO66">
        <v>4.6699999999999997E-3</v>
      </c>
      <c r="HQ66">
        <v>4.7099999999999998E-3</v>
      </c>
      <c r="HR66">
        <v>4.7999999999999996E-3</v>
      </c>
      <c r="HS66">
        <v>8.3800000000000003E-3</v>
      </c>
      <c r="HT66">
        <v>4.2300000000000003E-3</v>
      </c>
      <c r="HU66">
        <v>4.7499999999999999E-3</v>
      </c>
      <c r="HV66">
        <v>5.6499999999999996E-3</v>
      </c>
      <c r="HW66">
        <v>4.8599999999999997E-3</v>
      </c>
      <c r="HX66">
        <v>4.45E-3</v>
      </c>
      <c r="HY66">
        <v>4.9199999999999999E-3</v>
      </c>
      <c r="HZ66">
        <v>4.0000000000000001E-3</v>
      </c>
      <c r="IA66">
        <v>5.7600000000000004E-3</v>
      </c>
      <c r="IB66">
        <v>7.3800000000000003E-3</v>
      </c>
      <c r="IC66">
        <v>6.5799999999999999E-3</v>
      </c>
      <c r="ID66">
        <v>4.2500000000000003E-3</v>
      </c>
      <c r="IE66">
        <v>4.0000000000000001E-3</v>
      </c>
      <c r="IF66">
        <v>4.0299999999999997E-3</v>
      </c>
      <c r="IG66">
        <v>4.8999999999999998E-3</v>
      </c>
      <c r="IH66">
        <v>5.1200000000000004E-3</v>
      </c>
      <c r="II66">
        <v>3.8999999999999998E-3</v>
      </c>
      <c r="IJ66">
        <v>4.8900000000000002E-3</v>
      </c>
      <c r="IK66">
        <v>5.47E-3</v>
      </c>
      <c r="IL66">
        <v>6.0499999999999998E-3</v>
      </c>
      <c r="IM66">
        <v>8.0700000000000008E-3</v>
      </c>
      <c r="IN66">
        <v>7.2399999999999999E-3</v>
      </c>
      <c r="IO66">
        <v>7.9500000000000005E-3</v>
      </c>
      <c r="IP66">
        <v>8.8699999999999994E-3</v>
      </c>
      <c r="IQ66">
        <v>9.41E-3</v>
      </c>
      <c r="IR66">
        <v>1.014E-2</v>
      </c>
      <c r="IS66">
        <v>5.0000000000000001E-3</v>
      </c>
      <c r="IT66">
        <v>3.3500000000000001E-3</v>
      </c>
      <c r="IU66">
        <v>3.5599999999999998E-3</v>
      </c>
      <c r="IV66">
        <v>4.1799999999999997E-3</v>
      </c>
      <c r="IW66">
        <v>4.5599999999999998E-3</v>
      </c>
      <c r="IX66">
        <v>3.8600000000000001E-3</v>
      </c>
      <c r="IY66">
        <v>4.3299999999999996E-3</v>
      </c>
      <c r="IZ66">
        <v>3.9100000000000003E-3</v>
      </c>
      <c r="JA66">
        <v>4.3499999999999997E-3</v>
      </c>
      <c r="JB66">
        <v>4.4400000000000004E-3</v>
      </c>
      <c r="JC66">
        <v>4.8399999999999997E-3</v>
      </c>
      <c r="JD66">
        <v>4.9899999999999996E-3</v>
      </c>
      <c r="JE66">
        <v>4.47E-3</v>
      </c>
      <c r="JF66">
        <v>7.0699999999999999E-3</v>
      </c>
      <c r="JG66">
        <v>9.3299999999999998E-3</v>
      </c>
      <c r="JH66">
        <v>8.3400000000000002E-3</v>
      </c>
      <c r="JI66">
        <v>4.9899999999999996E-3</v>
      </c>
      <c r="JJ66">
        <v>4.9300000000000004E-3</v>
      </c>
      <c r="JK66">
        <v>7.6800000000000002E-3</v>
      </c>
      <c r="JL66">
        <v>6.8799999999999998E-3</v>
      </c>
      <c r="JM66">
        <v>5.11E-3</v>
      </c>
      <c r="JN66">
        <v>5.4400000000000004E-3</v>
      </c>
      <c r="JP66">
        <v>6.13E-3</v>
      </c>
      <c r="JS66">
        <v>4.8900000000000002E-3</v>
      </c>
      <c r="JT66">
        <v>5.77E-3</v>
      </c>
      <c r="JU66">
        <v>7.4999999999999997E-3</v>
      </c>
      <c r="JV66">
        <v>8.0700000000000008E-3</v>
      </c>
      <c r="JW66">
        <v>5.0200000000000002E-3</v>
      </c>
      <c r="JX66">
        <v>5.2599999999999999E-3</v>
      </c>
      <c r="JY66">
        <v>6.0499999999999998E-3</v>
      </c>
      <c r="JZ66">
        <v>5.6299999999999996E-3</v>
      </c>
      <c r="KA66">
        <v>5.3899999999999998E-3</v>
      </c>
      <c r="KC66">
        <v>5.3499999999999997E-3</v>
      </c>
      <c r="KD66">
        <v>5.6299999999999996E-3</v>
      </c>
      <c r="KE66">
        <v>8.4700000000000001E-3</v>
      </c>
      <c r="KF66">
        <v>9.9500000000000005E-3</v>
      </c>
      <c r="KG66">
        <v>1.052E-2</v>
      </c>
      <c r="KH66">
        <v>1.064E-2</v>
      </c>
      <c r="KI66">
        <v>5.9800000000000001E-3</v>
      </c>
      <c r="KJ66">
        <v>6.1399999999999996E-3</v>
      </c>
      <c r="KK66">
        <v>6.0600000000000003E-3</v>
      </c>
      <c r="KL66">
        <v>6.4400000000000004E-3</v>
      </c>
      <c r="KM66">
        <v>6.5500000000000003E-3</v>
      </c>
      <c r="KN66">
        <v>6.7499999999999999E-3</v>
      </c>
      <c r="KO66">
        <v>6.5599999999999999E-3</v>
      </c>
      <c r="KP66">
        <v>6.0499999999999998E-3</v>
      </c>
      <c r="KQ66">
        <v>6.1599999999999997E-3</v>
      </c>
      <c r="KR66">
        <v>6.1900000000000002E-3</v>
      </c>
      <c r="KS66">
        <v>6.5399999999999998E-3</v>
      </c>
      <c r="KT66">
        <v>6.8399999999999997E-3</v>
      </c>
      <c r="KU66">
        <v>6.7999999999999996E-3</v>
      </c>
      <c r="KV66">
        <v>6.0499999999999998E-3</v>
      </c>
      <c r="KW66">
        <v>5.4000000000000003E-3</v>
      </c>
      <c r="KX66">
        <v>9.8899999999999995E-3</v>
      </c>
      <c r="KY66">
        <v>7.4000000000000003E-3</v>
      </c>
      <c r="KZ66">
        <v>8.2000000000000007E-3</v>
      </c>
      <c r="LA66">
        <v>5.0000000000000001E-3</v>
      </c>
      <c r="LB66">
        <v>5.0299999999999997E-3</v>
      </c>
      <c r="LC66">
        <v>4.9800000000000001E-3</v>
      </c>
      <c r="LD66">
        <v>4.9800000000000001E-3</v>
      </c>
      <c r="LE66">
        <v>7.8600000000000007E-3</v>
      </c>
      <c r="LF66">
        <v>6.96E-3</v>
      </c>
      <c r="LG66">
        <v>5.2700000000000004E-3</v>
      </c>
      <c r="LI66">
        <v>7.9000000000000008E-3</v>
      </c>
      <c r="LJ66">
        <v>8.2799999999999992E-3</v>
      </c>
      <c r="LK66">
        <v>8.3300000000000006E-3</v>
      </c>
      <c r="LL66">
        <v>5.0800000000000003E-3</v>
      </c>
      <c r="LM66">
        <v>3.7799999999999999E-3</v>
      </c>
      <c r="LN66">
        <v>4.3600000000000002E-3</v>
      </c>
      <c r="LO66">
        <v>4.5999999999999999E-3</v>
      </c>
      <c r="LP66">
        <v>4.1099999999999999E-3</v>
      </c>
      <c r="LR66">
        <v>7.6499999999999997E-3</v>
      </c>
      <c r="LS66">
        <v>8.5400000000000007E-3</v>
      </c>
      <c r="LT66">
        <v>4.4900000000000001E-3</v>
      </c>
      <c r="LU66">
        <v>5.0499999999999998E-3</v>
      </c>
      <c r="LV66">
        <v>5.2700000000000004E-3</v>
      </c>
      <c r="LW66">
        <v>4.9199999999999999E-3</v>
      </c>
      <c r="LX66">
        <v>5.5300000000000002E-3</v>
      </c>
      <c r="LY66">
        <v>5.8900000000000003E-3</v>
      </c>
      <c r="LZ66">
        <v>5.9500000000000004E-3</v>
      </c>
      <c r="MA66">
        <v>6.3600000000000002E-3</v>
      </c>
      <c r="MB66">
        <v>4.7099999999999998E-3</v>
      </c>
      <c r="MC66">
        <v>7.5300000000000002E-3</v>
      </c>
      <c r="MD66">
        <v>8.3899999999999999E-3</v>
      </c>
      <c r="ME66">
        <v>1.04E-2</v>
      </c>
      <c r="MF66">
        <v>1.2529999999999999E-2</v>
      </c>
      <c r="MG66">
        <v>1.3339999999999999E-2</v>
      </c>
      <c r="MH66">
        <v>4.4299999999999999E-3</v>
      </c>
      <c r="MI66">
        <v>4.3699999999999998E-3</v>
      </c>
      <c r="MJ66">
        <v>4.5300000000000002E-3</v>
      </c>
      <c r="MK66">
        <v>4.2599999999999999E-3</v>
      </c>
      <c r="ML66">
        <v>5.0400000000000002E-3</v>
      </c>
      <c r="MM66">
        <v>4.1200000000000004E-3</v>
      </c>
      <c r="MN66">
        <v>4.6600000000000001E-3</v>
      </c>
      <c r="MO66">
        <v>4.9199999999999999E-3</v>
      </c>
      <c r="MP66">
        <v>6.1900000000000002E-3</v>
      </c>
      <c r="MQ66">
        <v>3.6800000000000001E-3</v>
      </c>
      <c r="MR66">
        <v>4.96E-3</v>
      </c>
      <c r="MS66">
        <v>5.0000000000000001E-3</v>
      </c>
      <c r="MT66">
        <v>6.4200000000000004E-3</v>
      </c>
      <c r="MU66">
        <v>4.8599999999999997E-3</v>
      </c>
      <c r="MV66">
        <v>5.0400000000000002E-3</v>
      </c>
      <c r="MW66">
        <v>5.1599999999999997E-3</v>
      </c>
      <c r="MX66">
        <v>5.1599999999999997E-3</v>
      </c>
      <c r="MY66">
        <v>5.5100000000000001E-3</v>
      </c>
      <c r="MZ66">
        <v>6.13E-3</v>
      </c>
      <c r="NA66">
        <v>5.5199999999999997E-3</v>
      </c>
      <c r="NB66">
        <v>5.1500000000000001E-3</v>
      </c>
      <c r="NC66">
        <v>3.1800000000000001E-3</v>
      </c>
      <c r="ND66">
        <v>1.1390000000000001E-2</v>
      </c>
      <c r="NE66">
        <v>5.4900000000000001E-3</v>
      </c>
      <c r="NF66">
        <v>6.94E-3</v>
      </c>
      <c r="NG66">
        <v>4.1900000000000001E-3</v>
      </c>
      <c r="NH66">
        <v>3.7000000000000002E-3</v>
      </c>
      <c r="NI66">
        <v>3.8999999999999998E-3</v>
      </c>
      <c r="NJ66">
        <v>4.1999999999999997E-3</v>
      </c>
      <c r="NK66">
        <v>3.8899999999999998E-3</v>
      </c>
      <c r="NL66">
        <v>4.0699999999999998E-3</v>
      </c>
      <c r="NM66">
        <v>4.2399999999999998E-3</v>
      </c>
      <c r="NN66">
        <v>4.3699999999999998E-3</v>
      </c>
      <c r="NO66">
        <v>4.5300000000000002E-3</v>
      </c>
      <c r="NP66">
        <v>4.7299999999999998E-3</v>
      </c>
      <c r="NQ66">
        <v>3.9300000000000003E-3</v>
      </c>
      <c r="NR66">
        <v>4.15E-3</v>
      </c>
      <c r="NS66">
        <v>4.3E-3</v>
      </c>
      <c r="NT66">
        <v>4.5799999999999999E-3</v>
      </c>
      <c r="NU66">
        <v>4.0499999999999998E-3</v>
      </c>
      <c r="NV66">
        <v>4.1799999999999997E-3</v>
      </c>
      <c r="NW66">
        <v>4.3499999999999997E-3</v>
      </c>
      <c r="NX66">
        <v>4.15E-3</v>
      </c>
      <c r="NY66">
        <v>4.3800000000000002E-3</v>
      </c>
      <c r="NZ66">
        <v>4.4200000000000003E-3</v>
      </c>
      <c r="OA66">
        <v>4.5700000000000003E-3</v>
      </c>
      <c r="OB66">
        <v>4.4900000000000001E-3</v>
      </c>
      <c r="OC66">
        <v>4.2100000000000002E-3</v>
      </c>
      <c r="OD66">
        <v>4.1900000000000001E-3</v>
      </c>
      <c r="OE66">
        <v>4.1900000000000001E-3</v>
      </c>
      <c r="OF66">
        <v>7.3099999999999997E-3</v>
      </c>
      <c r="OG66">
        <v>4.45E-3</v>
      </c>
      <c r="OH66">
        <v>4.5900000000000003E-3</v>
      </c>
      <c r="OI66">
        <v>4.6600000000000001E-3</v>
      </c>
      <c r="OJ66">
        <v>4.8399999999999997E-3</v>
      </c>
      <c r="OK66">
        <v>4.8999999999999998E-3</v>
      </c>
      <c r="OL66">
        <v>4.9899999999999996E-3</v>
      </c>
      <c r="OM66">
        <v>5.5700000000000003E-3</v>
      </c>
      <c r="ON66">
        <v>5.6699999999999997E-3</v>
      </c>
      <c r="OO66">
        <v>4.5199999999999997E-3</v>
      </c>
      <c r="OP66">
        <v>4.7600000000000003E-3</v>
      </c>
      <c r="OQ66">
        <v>4.8900000000000002E-3</v>
      </c>
      <c r="OR66">
        <v>5.2300000000000003E-3</v>
      </c>
      <c r="OS66">
        <v>5.6499999999999996E-3</v>
      </c>
      <c r="OT66">
        <v>5.5900000000000004E-3</v>
      </c>
      <c r="OU66">
        <v>5.7999999999999996E-3</v>
      </c>
      <c r="OV66">
        <v>5.1799999999999997E-3</v>
      </c>
      <c r="OW66">
        <v>4.7099999999999998E-3</v>
      </c>
      <c r="OX66">
        <v>5.4099999999999999E-3</v>
      </c>
      <c r="OY66">
        <v>5.6600000000000001E-3</v>
      </c>
      <c r="OZ66">
        <v>5.3299999999999997E-3</v>
      </c>
      <c r="PA66">
        <v>7.5399999999999998E-3</v>
      </c>
      <c r="PB66">
        <v>7.9000000000000008E-3</v>
      </c>
      <c r="PC66">
        <v>6.8399999999999997E-3</v>
      </c>
      <c r="PD66">
        <v>6.1399999999999996E-3</v>
      </c>
      <c r="PE66">
        <v>5.8300000000000001E-3</v>
      </c>
      <c r="PF66">
        <v>5.8399999999999997E-3</v>
      </c>
      <c r="PG66">
        <v>5.1599999999999997E-3</v>
      </c>
      <c r="PH66">
        <v>5.3E-3</v>
      </c>
      <c r="PI66">
        <v>6.3400000000000001E-3</v>
      </c>
      <c r="PJ66">
        <v>5.96E-3</v>
      </c>
      <c r="PK66">
        <v>5.5500000000000002E-3</v>
      </c>
      <c r="PL66">
        <v>6.0200000000000002E-3</v>
      </c>
      <c r="PM66">
        <v>5.0499999999999998E-3</v>
      </c>
      <c r="PN66">
        <v>4.7299999999999998E-3</v>
      </c>
      <c r="PP66">
        <v>4.0800000000000003E-3</v>
      </c>
      <c r="PQ66">
        <v>5.0299999999999997E-3</v>
      </c>
      <c r="PR66">
        <v>4.5399999999999998E-3</v>
      </c>
      <c r="PS66">
        <v>4.1799999999999997E-3</v>
      </c>
      <c r="PT66">
        <v>5.2399999999999999E-3</v>
      </c>
      <c r="PU66">
        <v>4.8199999999999996E-3</v>
      </c>
      <c r="PV66">
        <v>2.82E-3</v>
      </c>
      <c r="PW66">
        <v>2.9399999999999999E-3</v>
      </c>
      <c r="PX66">
        <v>2.98E-3</v>
      </c>
      <c r="PY66">
        <v>3.0500000000000002E-3</v>
      </c>
      <c r="PZ66">
        <v>3.1800000000000001E-3</v>
      </c>
      <c r="QA66">
        <v>4.0400000000000002E-3</v>
      </c>
      <c r="QB66">
        <v>4.3699999999999998E-3</v>
      </c>
      <c r="QC66">
        <v>5.0899999999999999E-3</v>
      </c>
      <c r="QD66">
        <v>5.5100000000000001E-3</v>
      </c>
      <c r="QE66">
        <v>4.4099999999999999E-3</v>
      </c>
      <c r="QF66">
        <v>4.8900000000000002E-3</v>
      </c>
      <c r="QG66">
        <v>6.6800000000000002E-3</v>
      </c>
      <c r="QI66">
        <v>4.9699999999999996E-3</v>
      </c>
      <c r="QJ66">
        <v>4.7200000000000002E-3</v>
      </c>
      <c r="QK66">
        <v>4.8300000000000001E-3</v>
      </c>
      <c r="QL66">
        <v>4.7000000000000002E-3</v>
      </c>
      <c r="QM66">
        <v>5.1999999999999998E-3</v>
      </c>
      <c r="QN66">
        <v>8.1700000000000002E-3</v>
      </c>
      <c r="QO66">
        <v>6.3699999999999998E-3</v>
      </c>
      <c r="QP66">
        <v>7.2300000000000003E-3</v>
      </c>
      <c r="QQ66">
        <v>7.3099999999999997E-3</v>
      </c>
      <c r="QR66">
        <v>7.3299999999999997E-3</v>
      </c>
      <c r="QS66">
        <v>7.28E-3</v>
      </c>
      <c r="QT66">
        <v>5.4200000000000003E-3</v>
      </c>
      <c r="QU66">
        <v>5.4000000000000003E-3</v>
      </c>
      <c r="QV66">
        <v>5.3800000000000002E-3</v>
      </c>
      <c r="QX66">
        <v>5.0299999999999997E-3</v>
      </c>
      <c r="QY66">
        <v>4.9100000000000003E-3</v>
      </c>
      <c r="RA66">
        <v>5.0600000000000003E-3</v>
      </c>
      <c r="RB66">
        <v>5.6299999999999996E-3</v>
      </c>
      <c r="RC66">
        <v>5.0200000000000002E-3</v>
      </c>
      <c r="RD66">
        <v>5.9100000000000003E-3</v>
      </c>
      <c r="RE66">
        <v>5.1200000000000004E-3</v>
      </c>
      <c r="RF66">
        <v>5.8900000000000003E-3</v>
      </c>
      <c r="RG66">
        <v>4.4799999999999996E-3</v>
      </c>
      <c r="RI66">
        <v>6.77E-3</v>
      </c>
      <c r="RJ66">
        <v>5.2399999999999999E-3</v>
      </c>
      <c r="RK66">
        <v>5.3099999999999996E-3</v>
      </c>
      <c r="RL66">
        <v>5.0400000000000002E-3</v>
      </c>
      <c r="RM66">
        <v>4.1000000000000003E-3</v>
      </c>
      <c r="RN66">
        <v>4.1900000000000001E-3</v>
      </c>
      <c r="RO66">
        <v>4.1900000000000001E-3</v>
      </c>
      <c r="RP66">
        <v>3.9399999999999999E-3</v>
      </c>
      <c r="RQ66">
        <v>4.4000000000000003E-3</v>
      </c>
      <c r="RR66">
        <v>4.1099999999999999E-3</v>
      </c>
      <c r="RS66">
        <v>4.2599999999999999E-3</v>
      </c>
      <c r="RT66">
        <v>3.5899999999999999E-3</v>
      </c>
      <c r="RU66">
        <v>4.8199999999999996E-3</v>
      </c>
      <c r="RV66">
        <v>4.5799999999999999E-3</v>
      </c>
      <c r="RW66">
        <v>5.0299999999999997E-3</v>
      </c>
      <c r="RX66">
        <v>4.7400000000000003E-3</v>
      </c>
      <c r="RY66">
        <v>4.5799999999999999E-3</v>
      </c>
      <c r="RZ66">
        <v>3.7699999999999999E-3</v>
      </c>
      <c r="SA66">
        <v>4.4299999999999999E-3</v>
      </c>
      <c r="SB66">
        <v>4.1599999999999996E-3</v>
      </c>
      <c r="SC66">
        <v>5.5500000000000002E-3</v>
      </c>
      <c r="SD66">
        <v>6.0400000000000002E-3</v>
      </c>
      <c r="SE66">
        <v>5.5399999999999998E-3</v>
      </c>
      <c r="SF66">
        <v>6.2100000000000002E-3</v>
      </c>
      <c r="SG66">
        <v>7.6800000000000002E-3</v>
      </c>
      <c r="SH66">
        <v>9.9399999999999992E-3</v>
      </c>
      <c r="SI66">
        <v>5.4099999999999999E-3</v>
      </c>
      <c r="SJ66">
        <v>4.5300000000000002E-3</v>
      </c>
      <c r="SK66">
        <v>3.9699999999999996E-3</v>
      </c>
      <c r="SL66">
        <v>4.3899999999999998E-3</v>
      </c>
      <c r="SM66">
        <v>3.5799999999999998E-3</v>
      </c>
      <c r="SN66">
        <v>4.1399999999999996E-3</v>
      </c>
      <c r="SO66">
        <v>4.0699999999999998E-3</v>
      </c>
      <c r="SP66">
        <v>5.6800000000000002E-3</v>
      </c>
      <c r="SQ66">
        <v>4.5300000000000002E-3</v>
      </c>
      <c r="SR66">
        <v>5.3200000000000001E-3</v>
      </c>
      <c r="SS66">
        <v>4.7499999999999999E-3</v>
      </c>
      <c r="ST66">
        <v>4.6600000000000001E-3</v>
      </c>
      <c r="SU66">
        <v>4.9899999999999996E-3</v>
      </c>
      <c r="SV66">
        <v>4.7800000000000004E-3</v>
      </c>
      <c r="SW66">
        <v>5.1200000000000004E-3</v>
      </c>
      <c r="SX66">
        <v>4.79E-3</v>
      </c>
      <c r="SY66">
        <v>4.5500000000000002E-3</v>
      </c>
      <c r="SZ66">
        <v>5.2399999999999999E-3</v>
      </c>
      <c r="TB66">
        <v>5.8900000000000003E-3</v>
      </c>
      <c r="TC66">
        <v>4.8799999999999998E-3</v>
      </c>
      <c r="TD66">
        <v>4.47E-3</v>
      </c>
      <c r="TE66">
        <v>6.3200000000000001E-3</v>
      </c>
      <c r="TF66">
        <v>5.0000000000000001E-3</v>
      </c>
      <c r="TH66">
        <v>6.3299999999999997E-3</v>
      </c>
      <c r="TI66">
        <v>5.1200000000000004E-3</v>
      </c>
      <c r="TJ66">
        <v>6.4400000000000004E-3</v>
      </c>
      <c r="TK66">
        <v>4.1200000000000004E-3</v>
      </c>
      <c r="TL66">
        <v>4.0099999999999997E-3</v>
      </c>
      <c r="TM66">
        <v>3.9500000000000004E-3</v>
      </c>
      <c r="TN66">
        <v>4.5999999999999999E-3</v>
      </c>
      <c r="TO66">
        <v>5.3400000000000001E-3</v>
      </c>
      <c r="TP66">
        <v>4.4000000000000003E-3</v>
      </c>
      <c r="TQ66">
        <v>5.1900000000000002E-3</v>
      </c>
      <c r="TR66">
        <v>5.5500000000000002E-3</v>
      </c>
      <c r="TS66">
        <v>5.11E-3</v>
      </c>
      <c r="TT66">
        <v>5.1900000000000002E-3</v>
      </c>
      <c r="TU66">
        <v>4.9100000000000003E-3</v>
      </c>
      <c r="TV66">
        <v>4.0899999999999999E-3</v>
      </c>
      <c r="TW66">
        <v>4.5399999999999998E-3</v>
      </c>
      <c r="TX66">
        <v>5.0099999999999997E-3</v>
      </c>
      <c r="TY66">
        <v>5.0600000000000003E-3</v>
      </c>
      <c r="TZ66">
        <v>5.13E-3</v>
      </c>
      <c r="UA66">
        <v>5.1700000000000001E-3</v>
      </c>
      <c r="UB66">
        <v>4.9899999999999996E-3</v>
      </c>
      <c r="UC66">
        <v>4.6299999999999996E-3</v>
      </c>
      <c r="UD66">
        <v>4.7400000000000003E-3</v>
      </c>
      <c r="UE66">
        <v>4.9500000000000004E-3</v>
      </c>
      <c r="UF66">
        <v>3.62E-3</v>
      </c>
      <c r="UG66">
        <v>4.28E-3</v>
      </c>
      <c r="UH66">
        <v>5.1500000000000001E-3</v>
      </c>
      <c r="UI66">
        <v>4.13E-3</v>
      </c>
      <c r="UJ66">
        <v>5.1200000000000004E-3</v>
      </c>
      <c r="UK66">
        <v>5.11E-3</v>
      </c>
      <c r="UL66">
        <v>5.11E-3</v>
      </c>
      <c r="UM66">
        <v>5.62E-3</v>
      </c>
      <c r="UO66">
        <v>4.8300000000000001E-3</v>
      </c>
      <c r="UP66">
        <v>6.0499999999999998E-3</v>
      </c>
      <c r="UQ66">
        <v>4.7499999999999999E-3</v>
      </c>
      <c r="UR66">
        <v>4.7299999999999998E-3</v>
      </c>
      <c r="US66">
        <v>5.0299999999999997E-3</v>
      </c>
      <c r="UT66">
        <v>4.6699999999999997E-3</v>
      </c>
      <c r="UU66">
        <v>4.7699999999999999E-3</v>
      </c>
      <c r="UV66">
        <v>5.0400000000000002E-3</v>
      </c>
      <c r="UW66">
        <v>5.2399999999999999E-3</v>
      </c>
      <c r="UX66">
        <v>3.9500000000000004E-3</v>
      </c>
      <c r="UY66">
        <v>4.3499999999999997E-3</v>
      </c>
      <c r="UZ66">
        <v>5.13E-3</v>
      </c>
      <c r="VA66">
        <v>6.2300000000000003E-3</v>
      </c>
      <c r="VB66">
        <v>5.4799999999999996E-3</v>
      </c>
      <c r="VC66">
        <v>5.1999999999999998E-3</v>
      </c>
      <c r="VD66">
        <v>4.4999999999999997E-3</v>
      </c>
      <c r="VE66">
        <v>4.1000000000000003E-3</v>
      </c>
      <c r="VF66">
        <v>5.1000000000000004E-3</v>
      </c>
      <c r="VG66">
        <v>7.6299999999999996E-3</v>
      </c>
      <c r="VH66">
        <v>4.1799999999999997E-3</v>
      </c>
      <c r="VI66">
        <v>4.7999999999999996E-3</v>
      </c>
    </row>
    <row r="67" spans="1:581" x14ac:dyDescent="0.25">
      <c r="A67">
        <v>2400000</v>
      </c>
      <c r="B67">
        <v>4.8399999999999997E-3</v>
      </c>
      <c r="C67">
        <v>5.0800000000000003E-3</v>
      </c>
      <c r="D67">
        <v>5.2500000000000003E-3</v>
      </c>
      <c r="F67">
        <v>6.2100000000000002E-3</v>
      </c>
      <c r="G67">
        <v>6.3299999999999997E-3</v>
      </c>
      <c r="H67">
        <v>5.0400000000000002E-3</v>
      </c>
      <c r="I67">
        <v>5.0299999999999997E-3</v>
      </c>
      <c r="J67">
        <v>5.13E-3</v>
      </c>
      <c r="K67">
        <v>5.0099999999999997E-3</v>
      </c>
      <c r="L67">
        <v>4.9399999999999999E-3</v>
      </c>
      <c r="M67">
        <v>4.9199999999999999E-3</v>
      </c>
      <c r="N67">
        <v>4.96E-3</v>
      </c>
      <c r="O67">
        <v>4.3400000000000001E-3</v>
      </c>
      <c r="P67">
        <v>4.2700000000000004E-3</v>
      </c>
      <c r="Q67">
        <v>4.3200000000000001E-3</v>
      </c>
      <c r="R67">
        <v>4.2599999999999999E-3</v>
      </c>
      <c r="S67">
        <v>4.8799999999999998E-3</v>
      </c>
      <c r="T67">
        <v>4.9899999999999996E-3</v>
      </c>
      <c r="U67">
        <v>5.7800000000000004E-3</v>
      </c>
      <c r="V67">
        <v>4.9100000000000003E-3</v>
      </c>
      <c r="W67">
        <v>5.5799999999999999E-3</v>
      </c>
      <c r="X67">
        <v>4.8399999999999997E-3</v>
      </c>
      <c r="Z67">
        <v>4.6800000000000001E-3</v>
      </c>
      <c r="AA67">
        <v>4.0899999999999999E-3</v>
      </c>
      <c r="AB67">
        <v>6.6800000000000002E-3</v>
      </c>
      <c r="AC67">
        <v>6.5900000000000004E-3</v>
      </c>
      <c r="AD67">
        <v>4.8399999999999997E-3</v>
      </c>
      <c r="AE67">
        <v>5.3400000000000001E-3</v>
      </c>
      <c r="AF67">
        <v>5.5700000000000003E-3</v>
      </c>
      <c r="AG67">
        <v>4.1700000000000001E-3</v>
      </c>
      <c r="AH67">
        <v>3.9699999999999996E-3</v>
      </c>
      <c r="AI67">
        <v>3.8600000000000001E-3</v>
      </c>
      <c r="AJ67">
        <v>4.2199999999999998E-3</v>
      </c>
      <c r="AK67">
        <v>5.6699999999999997E-3</v>
      </c>
      <c r="AL67">
        <v>6.7799999999999996E-3</v>
      </c>
      <c r="AM67">
        <v>4.1000000000000003E-3</v>
      </c>
      <c r="AN67">
        <v>4.3299999999999996E-3</v>
      </c>
      <c r="AO67">
        <v>9.1900000000000003E-3</v>
      </c>
      <c r="AP67">
        <v>4.6600000000000001E-3</v>
      </c>
      <c r="AQ67">
        <v>4.4000000000000003E-3</v>
      </c>
      <c r="AR67">
        <v>4.5100000000000001E-3</v>
      </c>
      <c r="AS67">
        <v>4.5700000000000003E-3</v>
      </c>
      <c r="AT67">
        <v>3.5999999999999999E-3</v>
      </c>
      <c r="AU67">
        <v>4.0400000000000002E-3</v>
      </c>
      <c r="AV67">
        <v>3.6600000000000001E-3</v>
      </c>
      <c r="AW67">
        <v>4.2300000000000003E-3</v>
      </c>
      <c r="AY67">
        <v>5.3600000000000002E-3</v>
      </c>
      <c r="AZ67">
        <v>5.5399999999999998E-3</v>
      </c>
      <c r="BA67">
        <v>3.81E-3</v>
      </c>
      <c r="BB67">
        <v>5.5799999999999999E-3</v>
      </c>
      <c r="BC67">
        <v>5.9300000000000004E-3</v>
      </c>
      <c r="BD67">
        <v>6.0699999999999999E-3</v>
      </c>
      <c r="BE67">
        <v>7.0499999999999998E-3</v>
      </c>
      <c r="BF67">
        <v>8.5400000000000007E-3</v>
      </c>
      <c r="BG67">
        <v>5.6899999999999997E-3</v>
      </c>
      <c r="BH67">
        <v>4.3299999999999996E-3</v>
      </c>
      <c r="BI67">
        <v>8.2900000000000005E-3</v>
      </c>
      <c r="BJ67">
        <v>5.7600000000000004E-3</v>
      </c>
      <c r="BK67">
        <v>6.1199999999999996E-3</v>
      </c>
      <c r="BL67">
        <v>6.2100000000000002E-3</v>
      </c>
      <c r="BM67">
        <v>5.9500000000000004E-3</v>
      </c>
      <c r="BN67">
        <v>6.6699999999999997E-3</v>
      </c>
      <c r="BO67">
        <v>6.9300000000000004E-3</v>
      </c>
      <c r="BP67">
        <v>6.3499999999999997E-3</v>
      </c>
      <c r="BQ67">
        <v>5.79E-3</v>
      </c>
      <c r="BR67">
        <v>3.4399999999999999E-3</v>
      </c>
      <c r="BT67">
        <v>5.8300000000000001E-3</v>
      </c>
      <c r="BU67">
        <v>7.77E-3</v>
      </c>
      <c r="BV67">
        <v>7.7400000000000004E-3</v>
      </c>
      <c r="BW67">
        <v>7.5199999999999998E-3</v>
      </c>
      <c r="BX67">
        <v>7.3400000000000002E-3</v>
      </c>
      <c r="BY67">
        <v>7.4000000000000003E-3</v>
      </c>
      <c r="BZ67">
        <v>6.43E-3</v>
      </c>
      <c r="CA67">
        <v>6.6400000000000001E-3</v>
      </c>
      <c r="CB67">
        <v>5.7000000000000002E-3</v>
      </c>
      <c r="CC67">
        <v>6.0000000000000001E-3</v>
      </c>
      <c r="CD67">
        <v>4.7600000000000003E-3</v>
      </c>
      <c r="CF67">
        <v>5.0099999999999997E-3</v>
      </c>
      <c r="CG67">
        <v>4.8500000000000001E-3</v>
      </c>
      <c r="CI67">
        <v>4.5900000000000003E-3</v>
      </c>
      <c r="CJ67">
        <v>4.4200000000000003E-3</v>
      </c>
      <c r="CK67">
        <v>4.6600000000000001E-3</v>
      </c>
      <c r="CL67">
        <v>5.1599999999999997E-3</v>
      </c>
      <c r="CM67">
        <v>5.1200000000000004E-3</v>
      </c>
      <c r="CO67">
        <v>5.1500000000000001E-3</v>
      </c>
      <c r="CQ67">
        <v>5.3499999999999997E-3</v>
      </c>
      <c r="CR67">
        <v>5.2500000000000003E-3</v>
      </c>
      <c r="CS67">
        <v>5.4900000000000001E-3</v>
      </c>
      <c r="CT67">
        <v>5.8300000000000001E-3</v>
      </c>
      <c r="CU67">
        <v>4.8300000000000001E-3</v>
      </c>
      <c r="CV67">
        <v>4.9199999999999999E-3</v>
      </c>
      <c r="CW67">
        <v>4.9899999999999996E-3</v>
      </c>
      <c r="CX67">
        <v>5.2199999999999998E-3</v>
      </c>
      <c r="CY67">
        <v>4.5900000000000003E-3</v>
      </c>
      <c r="CZ67">
        <v>4.7699999999999999E-3</v>
      </c>
      <c r="DC67">
        <v>4.5999999999999999E-3</v>
      </c>
      <c r="DD67">
        <v>4.5999999999999999E-3</v>
      </c>
      <c r="DE67">
        <v>4.6100000000000004E-3</v>
      </c>
      <c r="DF67">
        <v>5.0800000000000003E-3</v>
      </c>
      <c r="DG67">
        <v>3.7200000000000002E-3</v>
      </c>
      <c r="DI67">
        <v>4.8199999999999996E-3</v>
      </c>
      <c r="DJ67">
        <v>4.9500000000000004E-3</v>
      </c>
      <c r="DK67">
        <v>5.0499999999999998E-3</v>
      </c>
      <c r="DM67">
        <v>7.1900000000000002E-3</v>
      </c>
      <c r="DN67">
        <v>6.8100000000000001E-3</v>
      </c>
      <c r="DO67">
        <v>7.2899999999999996E-3</v>
      </c>
      <c r="DP67">
        <v>7.4700000000000001E-3</v>
      </c>
      <c r="DQ67">
        <v>7.3800000000000003E-3</v>
      </c>
      <c r="DR67">
        <v>7.4700000000000001E-3</v>
      </c>
      <c r="DS67">
        <v>6.0000000000000001E-3</v>
      </c>
      <c r="DT67">
        <v>7.2899999999999996E-3</v>
      </c>
      <c r="DU67">
        <v>7.5599999999999999E-3</v>
      </c>
      <c r="DV67">
        <v>7.77E-3</v>
      </c>
      <c r="DX67">
        <v>7.7400000000000004E-3</v>
      </c>
      <c r="DY67">
        <v>8.1300000000000001E-3</v>
      </c>
      <c r="DZ67">
        <v>7.8899999999999994E-3</v>
      </c>
      <c r="EA67">
        <v>4.4299999999999999E-3</v>
      </c>
      <c r="EB67">
        <v>4.4299999999999999E-3</v>
      </c>
      <c r="EC67">
        <v>4.1900000000000001E-3</v>
      </c>
      <c r="EI67">
        <v>5.4999999999999997E-3</v>
      </c>
      <c r="EJ67">
        <v>5.1999999999999998E-3</v>
      </c>
      <c r="EK67">
        <v>4.9800000000000001E-3</v>
      </c>
      <c r="EL67">
        <v>5.1200000000000004E-3</v>
      </c>
      <c r="EM67">
        <v>5.4099999999999999E-3</v>
      </c>
      <c r="EN67">
        <v>5.5100000000000001E-3</v>
      </c>
      <c r="EO67">
        <v>5.4799999999999996E-3</v>
      </c>
      <c r="EP67">
        <v>5.8500000000000002E-3</v>
      </c>
      <c r="EQ67">
        <v>5.8799999999999998E-3</v>
      </c>
      <c r="ER67">
        <v>4.0699999999999998E-3</v>
      </c>
      <c r="ES67">
        <v>4.1399999999999996E-3</v>
      </c>
      <c r="ET67">
        <v>3.9199999999999999E-3</v>
      </c>
      <c r="EU67">
        <v>8.3599999999999994E-3</v>
      </c>
      <c r="EV67">
        <v>7.7400000000000004E-3</v>
      </c>
      <c r="EW67">
        <v>7.3800000000000003E-3</v>
      </c>
      <c r="EX67">
        <v>7.4599999999999996E-3</v>
      </c>
      <c r="EY67">
        <v>6.7400000000000003E-3</v>
      </c>
      <c r="EZ67">
        <v>6.6100000000000004E-3</v>
      </c>
      <c r="FA67">
        <v>4.7699999999999999E-3</v>
      </c>
      <c r="FB67">
        <v>5.2300000000000003E-3</v>
      </c>
      <c r="FC67">
        <v>4.4000000000000003E-3</v>
      </c>
      <c r="FD67">
        <v>4.4200000000000003E-3</v>
      </c>
      <c r="FE67">
        <v>5.1500000000000001E-3</v>
      </c>
      <c r="FF67">
        <v>4.2100000000000002E-3</v>
      </c>
      <c r="FG67">
        <v>7.5399999999999998E-3</v>
      </c>
      <c r="FH67">
        <v>7.5500000000000003E-3</v>
      </c>
      <c r="FI67">
        <v>7.45E-3</v>
      </c>
      <c r="FJ67">
        <v>7.5700000000000003E-3</v>
      </c>
      <c r="FK67">
        <v>6.6299999999999996E-3</v>
      </c>
      <c r="FL67">
        <v>4.5199999999999997E-3</v>
      </c>
      <c r="FN67">
        <v>4.5999999999999999E-3</v>
      </c>
      <c r="FO67">
        <v>4.4000000000000003E-3</v>
      </c>
      <c r="FP67">
        <v>4.0499999999999998E-3</v>
      </c>
      <c r="FQ67">
        <v>4.8999999999999998E-3</v>
      </c>
      <c r="FR67">
        <v>8.2100000000000003E-3</v>
      </c>
      <c r="FS67">
        <v>5.1999999999999998E-3</v>
      </c>
      <c r="FT67">
        <v>5.1700000000000001E-3</v>
      </c>
      <c r="FU67">
        <v>5.2399999999999999E-3</v>
      </c>
      <c r="FV67">
        <v>5.5100000000000001E-3</v>
      </c>
      <c r="FW67">
        <v>5.2399999999999999E-3</v>
      </c>
      <c r="FX67">
        <v>5.4000000000000003E-3</v>
      </c>
      <c r="FY67">
        <v>5.7099999999999998E-3</v>
      </c>
      <c r="FZ67">
        <v>5.7200000000000003E-3</v>
      </c>
      <c r="GA67">
        <v>5.9800000000000001E-3</v>
      </c>
      <c r="GB67">
        <v>5.9500000000000004E-3</v>
      </c>
      <c r="GC67">
        <v>6.2399999999999999E-3</v>
      </c>
      <c r="GD67">
        <v>5.9899999999999997E-3</v>
      </c>
      <c r="GE67">
        <v>6.3899999999999998E-3</v>
      </c>
      <c r="GF67">
        <v>5.7000000000000002E-3</v>
      </c>
      <c r="GG67">
        <v>5.8199999999999997E-3</v>
      </c>
      <c r="GH67">
        <v>5.8700000000000002E-3</v>
      </c>
      <c r="GI67">
        <v>6.6E-3</v>
      </c>
      <c r="GJ67">
        <v>6.7299999999999999E-3</v>
      </c>
      <c r="GK67">
        <v>6.8799999999999998E-3</v>
      </c>
      <c r="GL67">
        <v>7.0299999999999998E-3</v>
      </c>
      <c r="GM67">
        <v>6.3299999999999997E-3</v>
      </c>
      <c r="GO67">
        <v>5.7800000000000004E-3</v>
      </c>
      <c r="GP67">
        <v>4.7000000000000002E-3</v>
      </c>
      <c r="GQ67">
        <v>5.0000000000000001E-3</v>
      </c>
      <c r="GR67">
        <v>4.9199999999999999E-3</v>
      </c>
      <c r="GS67">
        <v>4.7000000000000002E-3</v>
      </c>
      <c r="GT67">
        <v>5.13E-3</v>
      </c>
      <c r="GU67">
        <v>6.9499999999999996E-3</v>
      </c>
      <c r="GV67">
        <v>7.3499999999999998E-3</v>
      </c>
      <c r="GW67">
        <v>6.7499999999999999E-3</v>
      </c>
      <c r="GX67">
        <v>6.5500000000000003E-3</v>
      </c>
      <c r="GY67">
        <v>5.5199999999999997E-3</v>
      </c>
      <c r="GZ67">
        <v>5.3299999999999997E-3</v>
      </c>
      <c r="HA67">
        <v>4.8199999999999996E-3</v>
      </c>
      <c r="HB67">
        <v>4.62E-3</v>
      </c>
      <c r="HC67">
        <v>7.26E-3</v>
      </c>
      <c r="HD67">
        <v>3.8400000000000001E-3</v>
      </c>
      <c r="HE67">
        <v>6.9699999999999996E-3</v>
      </c>
      <c r="HF67">
        <v>7.3200000000000001E-3</v>
      </c>
      <c r="HG67">
        <v>7.5100000000000002E-3</v>
      </c>
      <c r="HH67">
        <v>7.4999999999999997E-3</v>
      </c>
      <c r="HI67">
        <v>7.5900000000000004E-3</v>
      </c>
      <c r="HJ67">
        <v>4.3400000000000001E-3</v>
      </c>
      <c r="HK67">
        <v>4.5599999999999998E-3</v>
      </c>
      <c r="HL67">
        <v>5.1700000000000001E-3</v>
      </c>
      <c r="HM67">
        <v>4.9699999999999996E-3</v>
      </c>
      <c r="HN67">
        <v>5.5300000000000002E-3</v>
      </c>
      <c r="HO67">
        <v>4.62E-3</v>
      </c>
      <c r="HP67">
        <v>4.6699999999999997E-3</v>
      </c>
      <c r="HQ67">
        <v>4.7200000000000002E-3</v>
      </c>
      <c r="HR67">
        <v>4.6899999999999997E-3</v>
      </c>
      <c r="HS67">
        <v>8.2900000000000005E-3</v>
      </c>
      <c r="HU67">
        <v>4.7299999999999998E-3</v>
      </c>
      <c r="HV67">
        <v>5.5999999999999999E-3</v>
      </c>
      <c r="HW67">
        <v>4.8399999999999997E-3</v>
      </c>
      <c r="HX67">
        <v>4.3400000000000001E-3</v>
      </c>
      <c r="HY67">
        <v>4.8399999999999997E-3</v>
      </c>
      <c r="HZ67">
        <v>4.0200000000000001E-3</v>
      </c>
      <c r="IA67">
        <v>5.6899999999999997E-3</v>
      </c>
      <c r="IB67">
        <v>7.3000000000000001E-3</v>
      </c>
      <c r="IC67">
        <v>6.5199999999999998E-3</v>
      </c>
      <c r="ID67">
        <v>4.1999999999999997E-3</v>
      </c>
      <c r="IE67">
        <v>3.9500000000000004E-3</v>
      </c>
      <c r="IF67">
        <v>3.98E-3</v>
      </c>
      <c r="IG67">
        <v>4.8399999999999997E-3</v>
      </c>
      <c r="IH67">
        <v>5.0699999999999999E-3</v>
      </c>
      <c r="II67">
        <v>3.8700000000000002E-3</v>
      </c>
      <c r="IK67">
        <v>5.4200000000000003E-3</v>
      </c>
      <c r="IL67">
        <v>6.0000000000000001E-3</v>
      </c>
      <c r="IM67">
        <v>8.0199999999999994E-3</v>
      </c>
      <c r="IN67">
        <v>7.1599999999999997E-3</v>
      </c>
      <c r="IO67">
        <v>7.8700000000000003E-3</v>
      </c>
      <c r="IP67">
        <v>8.8100000000000001E-3</v>
      </c>
      <c r="IQ67">
        <v>9.2899999999999996E-3</v>
      </c>
      <c r="IR67">
        <v>1.001E-2</v>
      </c>
      <c r="IS67">
        <v>5.0000000000000001E-3</v>
      </c>
      <c r="IT67">
        <v>3.29E-3</v>
      </c>
      <c r="IU67">
        <v>3.5000000000000001E-3</v>
      </c>
      <c r="IV67">
        <v>4.1700000000000001E-3</v>
      </c>
      <c r="IW67">
        <v>4.5500000000000002E-3</v>
      </c>
      <c r="IX67">
        <v>4.0000000000000001E-3</v>
      </c>
      <c r="IY67">
        <v>4.3400000000000001E-3</v>
      </c>
      <c r="IZ67">
        <v>3.9100000000000003E-3</v>
      </c>
      <c r="JA67">
        <v>4.3400000000000001E-3</v>
      </c>
      <c r="JB67">
        <v>4.4299999999999999E-3</v>
      </c>
      <c r="JC67">
        <v>4.8500000000000001E-3</v>
      </c>
      <c r="JD67">
        <v>4.9899999999999996E-3</v>
      </c>
      <c r="JE67">
        <v>4.5399999999999998E-3</v>
      </c>
      <c r="JF67">
        <v>7.0400000000000003E-3</v>
      </c>
      <c r="JG67">
        <v>9.2599999999999991E-3</v>
      </c>
      <c r="JH67">
        <v>8.4399999999999996E-3</v>
      </c>
      <c r="JI67">
        <v>4.9100000000000003E-3</v>
      </c>
      <c r="JJ67">
        <v>4.8900000000000002E-3</v>
      </c>
      <c r="JK67">
        <v>7.5599999999999999E-3</v>
      </c>
      <c r="JL67">
        <v>6.8300000000000001E-3</v>
      </c>
      <c r="JM67">
        <v>5.11E-3</v>
      </c>
      <c r="JN67">
        <v>5.3600000000000002E-3</v>
      </c>
      <c r="JP67">
        <v>6.4900000000000001E-3</v>
      </c>
      <c r="JQ67">
        <v>5.7499999999999999E-3</v>
      </c>
      <c r="JR67">
        <v>5.2100000000000002E-3</v>
      </c>
      <c r="JS67">
        <v>4.8599999999999997E-3</v>
      </c>
      <c r="JT67">
        <v>5.7600000000000004E-3</v>
      </c>
      <c r="JU67">
        <v>7.4999999999999997E-3</v>
      </c>
      <c r="JV67">
        <v>8.1300000000000001E-3</v>
      </c>
      <c r="JW67">
        <v>4.96E-3</v>
      </c>
      <c r="JY67">
        <v>6.0499999999999998E-3</v>
      </c>
      <c r="JZ67">
        <v>5.5599999999999998E-3</v>
      </c>
      <c r="KA67">
        <v>5.3200000000000001E-3</v>
      </c>
      <c r="KB67">
        <v>5.1799999999999997E-3</v>
      </c>
      <c r="KC67">
        <v>5.3299999999999997E-3</v>
      </c>
      <c r="KD67">
        <v>5.5999999999999999E-3</v>
      </c>
      <c r="KE67">
        <v>8.5400000000000007E-3</v>
      </c>
      <c r="KF67">
        <v>9.8799999999999999E-3</v>
      </c>
      <c r="KG67">
        <v>1.042E-2</v>
      </c>
      <c r="KH67">
        <v>1.0580000000000001E-2</v>
      </c>
      <c r="KI67">
        <v>5.9199999999999999E-3</v>
      </c>
      <c r="KJ67">
        <v>6.0600000000000003E-3</v>
      </c>
      <c r="KK67">
        <v>5.9899999999999997E-3</v>
      </c>
      <c r="KL67">
        <v>6.3499999999999997E-3</v>
      </c>
      <c r="KM67">
        <v>6.4799999999999996E-3</v>
      </c>
      <c r="KN67">
        <v>6.7299999999999999E-3</v>
      </c>
      <c r="KO67">
        <v>6.5300000000000002E-3</v>
      </c>
      <c r="KP67">
        <v>5.9699999999999996E-3</v>
      </c>
      <c r="KQ67">
        <v>6.11E-3</v>
      </c>
      <c r="KR67">
        <v>6.0899999999999999E-3</v>
      </c>
      <c r="KS67">
        <v>6.4799999999999996E-3</v>
      </c>
      <c r="KT67">
        <v>6.77E-3</v>
      </c>
      <c r="KU67">
        <v>6.7799999999999996E-3</v>
      </c>
      <c r="KV67">
        <v>6.0600000000000003E-3</v>
      </c>
      <c r="KX67">
        <v>9.8200000000000006E-3</v>
      </c>
      <c r="KY67">
        <v>7.4200000000000004E-3</v>
      </c>
      <c r="KZ67">
        <v>8.26E-3</v>
      </c>
      <c r="LA67">
        <v>4.9899999999999996E-3</v>
      </c>
      <c r="LB67">
        <v>4.96E-3</v>
      </c>
      <c r="LC67">
        <v>4.9300000000000004E-3</v>
      </c>
      <c r="LD67">
        <v>4.9300000000000004E-3</v>
      </c>
      <c r="LE67">
        <v>7.77E-3</v>
      </c>
      <c r="LF67">
        <v>6.8700000000000002E-3</v>
      </c>
      <c r="LG67">
        <v>5.1799999999999997E-3</v>
      </c>
      <c r="LI67">
        <v>7.8399999999999997E-3</v>
      </c>
      <c r="LJ67">
        <v>8.1899999999999994E-3</v>
      </c>
      <c r="LK67">
        <v>8.2699999999999996E-3</v>
      </c>
      <c r="LL67">
        <v>5.0200000000000002E-3</v>
      </c>
      <c r="LM67">
        <v>3.7200000000000002E-3</v>
      </c>
      <c r="LN67">
        <v>4.2599999999999999E-3</v>
      </c>
      <c r="LO67">
        <v>4.5199999999999997E-3</v>
      </c>
      <c r="LP67">
        <v>4.0499999999999998E-3</v>
      </c>
      <c r="LR67">
        <v>7.6099999999999996E-3</v>
      </c>
      <c r="LS67">
        <v>8.4499999999999992E-3</v>
      </c>
      <c r="LT67">
        <v>4.4400000000000004E-3</v>
      </c>
      <c r="LU67">
        <v>4.9399999999999999E-3</v>
      </c>
      <c r="LV67">
        <v>5.1399999999999996E-3</v>
      </c>
      <c r="LW67">
        <v>4.9399999999999999E-3</v>
      </c>
      <c r="LX67">
        <v>5.5399999999999998E-3</v>
      </c>
      <c r="LZ67">
        <v>5.8900000000000003E-3</v>
      </c>
      <c r="MA67">
        <v>6.3200000000000001E-3</v>
      </c>
      <c r="MB67">
        <v>4.7400000000000003E-3</v>
      </c>
      <c r="MC67">
        <v>7.45E-3</v>
      </c>
      <c r="MD67">
        <v>8.3199999999999993E-3</v>
      </c>
      <c r="ME67">
        <v>1.0279999999999999E-2</v>
      </c>
      <c r="MF67">
        <v>1.2449999999999999E-2</v>
      </c>
      <c r="MG67">
        <v>1.3270000000000001E-2</v>
      </c>
      <c r="MH67">
        <v>4.4099999999999999E-3</v>
      </c>
      <c r="MI67">
        <v>4.28E-3</v>
      </c>
      <c r="MJ67">
        <v>4.4400000000000004E-3</v>
      </c>
      <c r="MK67">
        <v>4.2100000000000002E-3</v>
      </c>
      <c r="ML67">
        <v>4.9399999999999999E-3</v>
      </c>
      <c r="MM67">
        <v>4.0400000000000002E-3</v>
      </c>
      <c r="MN67">
        <v>4.62E-3</v>
      </c>
      <c r="MO67">
        <v>4.8700000000000002E-3</v>
      </c>
      <c r="MP67">
        <v>6.1700000000000001E-3</v>
      </c>
      <c r="MQ67">
        <v>3.64E-3</v>
      </c>
      <c r="MR67">
        <v>4.9300000000000004E-3</v>
      </c>
      <c r="MS67">
        <v>4.9500000000000004E-3</v>
      </c>
      <c r="MT67">
        <v>6.3600000000000002E-3</v>
      </c>
      <c r="MU67">
        <v>4.8799999999999998E-3</v>
      </c>
      <c r="MV67">
        <v>5.0400000000000002E-3</v>
      </c>
      <c r="MW67">
        <v>5.1500000000000001E-3</v>
      </c>
      <c r="MX67">
        <v>5.1500000000000001E-3</v>
      </c>
      <c r="MY67">
        <v>5.4799999999999996E-3</v>
      </c>
      <c r="MZ67">
        <v>6.0899999999999999E-3</v>
      </c>
      <c r="NA67">
        <v>5.45E-3</v>
      </c>
      <c r="NB67">
        <v>5.0800000000000003E-3</v>
      </c>
      <c r="NC67">
        <v>3.14E-3</v>
      </c>
      <c r="ND67">
        <v>1.1299999999999999E-2</v>
      </c>
      <c r="NE67">
        <v>5.4000000000000003E-3</v>
      </c>
      <c r="NF67">
        <v>7.0200000000000002E-3</v>
      </c>
      <c r="NG67">
        <v>4.15E-3</v>
      </c>
      <c r="NH67">
        <v>3.6800000000000001E-3</v>
      </c>
      <c r="NI67">
        <v>3.8899999999999998E-3</v>
      </c>
      <c r="NJ67">
        <v>4.1799999999999997E-3</v>
      </c>
      <c r="NK67">
        <v>3.8800000000000002E-3</v>
      </c>
      <c r="NM67">
        <v>4.2100000000000002E-3</v>
      </c>
      <c r="NN67">
        <v>4.3499999999999997E-3</v>
      </c>
      <c r="NP67">
        <v>4.81E-3</v>
      </c>
      <c r="NQ67">
        <v>3.9100000000000003E-3</v>
      </c>
      <c r="NR67">
        <v>4.13E-3</v>
      </c>
      <c r="NS67">
        <v>4.28E-3</v>
      </c>
      <c r="NT67">
        <v>4.5399999999999998E-3</v>
      </c>
      <c r="NU67">
        <v>4.0400000000000002E-3</v>
      </c>
      <c r="NW67">
        <v>4.3400000000000001E-3</v>
      </c>
      <c r="NX67">
        <v>4.1200000000000004E-3</v>
      </c>
      <c r="NY67">
        <v>4.3600000000000002E-3</v>
      </c>
      <c r="NZ67">
        <v>4.3800000000000002E-3</v>
      </c>
      <c r="OA67">
        <v>4.5399999999999998E-3</v>
      </c>
      <c r="OB67">
        <v>4.5999999999999999E-3</v>
      </c>
      <c r="OC67">
        <v>4.1799999999999997E-3</v>
      </c>
      <c r="OD67">
        <v>4.1599999999999996E-3</v>
      </c>
      <c r="OE67">
        <v>4.1599999999999996E-3</v>
      </c>
      <c r="OG67">
        <v>4.4200000000000003E-3</v>
      </c>
      <c r="OH67">
        <v>4.5599999999999998E-3</v>
      </c>
      <c r="OI67">
        <v>4.6499999999999996E-3</v>
      </c>
      <c r="OK67">
        <v>4.8599999999999997E-3</v>
      </c>
      <c r="OL67">
        <v>4.96E-3</v>
      </c>
      <c r="ON67">
        <v>5.6600000000000001E-3</v>
      </c>
      <c r="OO67">
        <v>4.4999999999999997E-3</v>
      </c>
      <c r="OP67">
        <v>4.7299999999999998E-3</v>
      </c>
      <c r="OQ67">
        <v>4.8599999999999997E-3</v>
      </c>
      <c r="OR67">
        <v>5.1999999999999998E-3</v>
      </c>
      <c r="OS67">
        <v>5.62E-3</v>
      </c>
      <c r="OT67">
        <v>5.5599999999999998E-3</v>
      </c>
      <c r="OU67">
        <v>5.7600000000000004E-3</v>
      </c>
      <c r="OV67">
        <v>5.2199999999999998E-3</v>
      </c>
      <c r="OW67">
        <v>4.79E-3</v>
      </c>
      <c r="OX67">
        <v>5.4200000000000003E-3</v>
      </c>
      <c r="OY67">
        <v>5.6699999999999997E-3</v>
      </c>
      <c r="OZ67">
        <v>5.3499999999999997E-3</v>
      </c>
      <c r="PA67">
        <v>7.4599999999999996E-3</v>
      </c>
      <c r="PB67">
        <v>7.8200000000000006E-3</v>
      </c>
      <c r="PD67">
        <v>6.0899999999999999E-3</v>
      </c>
      <c r="PE67">
        <v>5.7999999999999996E-3</v>
      </c>
      <c r="PF67">
        <v>5.8300000000000001E-3</v>
      </c>
      <c r="PH67">
        <v>5.3200000000000001E-3</v>
      </c>
      <c r="PI67">
        <v>6.3E-3</v>
      </c>
      <c r="PJ67">
        <v>5.9199999999999999E-3</v>
      </c>
      <c r="PK67">
        <v>5.5300000000000002E-3</v>
      </c>
      <c r="PL67">
        <v>6.0000000000000001E-3</v>
      </c>
      <c r="PM67">
        <v>5.0299999999999997E-3</v>
      </c>
      <c r="PN67">
        <v>4.7200000000000002E-3</v>
      </c>
      <c r="PP67">
        <v>4.0200000000000001E-3</v>
      </c>
      <c r="PQ67">
        <v>5.0499999999999998E-3</v>
      </c>
      <c r="PR67">
        <v>4.5700000000000003E-3</v>
      </c>
      <c r="PS67">
        <v>4.13E-3</v>
      </c>
      <c r="PT67">
        <v>5.3699999999999998E-3</v>
      </c>
      <c r="PU67">
        <v>4.8599999999999997E-3</v>
      </c>
      <c r="PV67">
        <v>2.8300000000000001E-3</v>
      </c>
      <c r="PW67">
        <v>2.9199999999999999E-3</v>
      </c>
      <c r="PX67">
        <v>2.9399999999999999E-3</v>
      </c>
      <c r="PY67">
        <v>2.99E-3</v>
      </c>
      <c r="PZ67">
        <v>3.1099999999999999E-3</v>
      </c>
      <c r="QA67">
        <v>4.0699999999999998E-3</v>
      </c>
      <c r="QB67">
        <v>4.3800000000000002E-3</v>
      </c>
      <c r="QC67">
        <v>5.0600000000000003E-3</v>
      </c>
      <c r="QD67">
        <v>5.5199999999999997E-3</v>
      </c>
      <c r="QF67">
        <v>4.8999999999999998E-3</v>
      </c>
      <c r="QG67">
        <v>6.6400000000000001E-3</v>
      </c>
      <c r="QH67">
        <v>4.7699999999999999E-3</v>
      </c>
      <c r="QI67">
        <v>4.96E-3</v>
      </c>
      <c r="QJ67">
        <v>4.7099999999999998E-3</v>
      </c>
      <c r="QK67">
        <v>4.8199999999999996E-3</v>
      </c>
      <c r="QL67">
        <v>4.7099999999999998E-3</v>
      </c>
      <c r="QM67">
        <v>5.1900000000000002E-3</v>
      </c>
      <c r="QN67">
        <v>8.1700000000000002E-3</v>
      </c>
      <c r="QO67">
        <v>6.3899999999999998E-3</v>
      </c>
      <c r="QP67">
        <v>7.2100000000000003E-3</v>
      </c>
      <c r="QQ67">
        <v>7.2500000000000004E-3</v>
      </c>
      <c r="QR67">
        <v>7.2700000000000004E-3</v>
      </c>
      <c r="QS67">
        <v>7.2399999999999999E-3</v>
      </c>
      <c r="QT67">
        <v>5.3899999999999998E-3</v>
      </c>
      <c r="QU67">
        <v>5.3800000000000002E-3</v>
      </c>
      <c r="QV67">
        <v>5.3499999999999997E-3</v>
      </c>
      <c r="QW67">
        <v>5.6699999999999997E-3</v>
      </c>
      <c r="QX67">
        <v>5.0000000000000001E-3</v>
      </c>
      <c r="QY67">
        <v>4.8999999999999998E-3</v>
      </c>
      <c r="QZ67">
        <v>5.1500000000000001E-3</v>
      </c>
      <c r="RA67">
        <v>4.9899999999999996E-3</v>
      </c>
      <c r="RB67">
        <v>5.5199999999999997E-3</v>
      </c>
      <c r="RC67">
        <v>4.96E-3</v>
      </c>
      <c r="RD67">
        <v>5.8700000000000002E-3</v>
      </c>
      <c r="RE67">
        <v>5.0699999999999999E-3</v>
      </c>
      <c r="RF67">
        <v>5.8199999999999997E-3</v>
      </c>
      <c r="RG67">
        <v>4.45E-3</v>
      </c>
      <c r="RH67">
        <v>4.8399999999999997E-3</v>
      </c>
      <c r="RI67">
        <v>6.7200000000000003E-3</v>
      </c>
      <c r="RJ67">
        <v>5.1700000000000001E-3</v>
      </c>
      <c r="RK67">
        <v>5.2399999999999999E-3</v>
      </c>
      <c r="RL67">
        <v>4.9699999999999996E-3</v>
      </c>
      <c r="RM67">
        <v>4.0800000000000003E-3</v>
      </c>
      <c r="RP67">
        <v>3.9500000000000004E-3</v>
      </c>
      <c r="RQ67">
        <v>4.4299999999999999E-3</v>
      </c>
      <c r="RR67">
        <v>4.13E-3</v>
      </c>
      <c r="RS67">
        <v>4.2900000000000004E-3</v>
      </c>
      <c r="RT67">
        <v>3.5899999999999999E-3</v>
      </c>
      <c r="RU67">
        <v>4.8799999999999998E-3</v>
      </c>
      <c r="RV67">
        <v>4.5700000000000003E-3</v>
      </c>
      <c r="RW67">
        <v>5.0099999999999997E-3</v>
      </c>
      <c r="RX67">
        <v>4.7099999999999998E-3</v>
      </c>
      <c r="RY67">
        <v>4.7099999999999998E-3</v>
      </c>
      <c r="RZ67">
        <v>3.7299999999999998E-3</v>
      </c>
      <c r="SA67">
        <v>4.3800000000000002E-3</v>
      </c>
      <c r="SB67">
        <v>4.0699999999999998E-3</v>
      </c>
      <c r="SC67">
        <v>5.5100000000000001E-3</v>
      </c>
      <c r="SD67">
        <v>6.0099999999999997E-3</v>
      </c>
      <c r="SE67">
        <v>5.5100000000000001E-3</v>
      </c>
      <c r="SF67">
        <v>6.1500000000000001E-3</v>
      </c>
      <c r="SG67">
        <v>7.6099999999999996E-3</v>
      </c>
      <c r="SH67">
        <v>9.8700000000000003E-3</v>
      </c>
      <c r="SI67">
        <v>5.3899999999999998E-3</v>
      </c>
      <c r="SJ67">
        <v>4.5300000000000002E-3</v>
      </c>
      <c r="SK67">
        <v>3.96E-3</v>
      </c>
      <c r="SM67">
        <v>3.5899999999999999E-3</v>
      </c>
      <c r="SN67">
        <v>4.1599999999999996E-3</v>
      </c>
      <c r="SO67">
        <v>4.1000000000000003E-3</v>
      </c>
      <c r="SP67">
        <v>5.6699999999999997E-3</v>
      </c>
      <c r="SQ67">
        <v>4.5300000000000002E-3</v>
      </c>
      <c r="SR67">
        <v>5.3099999999999996E-3</v>
      </c>
      <c r="SS67">
        <v>4.7699999999999999E-3</v>
      </c>
      <c r="ST67">
        <v>4.6699999999999997E-3</v>
      </c>
      <c r="SU67">
        <v>4.9899999999999996E-3</v>
      </c>
      <c r="SV67">
        <v>4.7800000000000004E-3</v>
      </c>
      <c r="SW67">
        <v>5.1200000000000004E-3</v>
      </c>
      <c r="SX67">
        <v>4.7499999999999999E-3</v>
      </c>
      <c r="SZ67">
        <v>5.2100000000000002E-3</v>
      </c>
      <c r="TA67">
        <v>4.9199999999999999E-3</v>
      </c>
      <c r="TB67">
        <v>5.8700000000000002E-3</v>
      </c>
      <c r="TC67">
        <v>4.8700000000000002E-3</v>
      </c>
      <c r="TD67">
        <v>4.45E-3</v>
      </c>
      <c r="TE67">
        <v>6.2899999999999996E-3</v>
      </c>
      <c r="TF67">
        <v>4.9500000000000004E-3</v>
      </c>
      <c r="TH67">
        <v>6.2899999999999996E-3</v>
      </c>
      <c r="TI67">
        <v>5.13E-3</v>
      </c>
      <c r="TJ67">
        <v>6.4000000000000003E-3</v>
      </c>
      <c r="TK67">
        <v>4.1200000000000004E-3</v>
      </c>
      <c r="TL67">
        <v>4.0099999999999997E-3</v>
      </c>
      <c r="TM67">
        <v>3.9699999999999996E-3</v>
      </c>
      <c r="TN67">
        <v>4.5700000000000003E-3</v>
      </c>
      <c r="TO67">
        <v>5.3400000000000001E-3</v>
      </c>
      <c r="TP67">
        <v>4.4200000000000003E-3</v>
      </c>
      <c r="TQ67">
        <v>5.1900000000000002E-3</v>
      </c>
      <c r="TR67">
        <v>5.5399999999999998E-3</v>
      </c>
      <c r="TS67">
        <v>5.0600000000000003E-3</v>
      </c>
      <c r="TT67">
        <v>5.1599999999999997E-3</v>
      </c>
      <c r="TU67">
        <v>4.8900000000000002E-3</v>
      </c>
      <c r="TV67">
        <v>4.0699999999999998E-3</v>
      </c>
      <c r="TW67">
        <v>4.5599999999999998E-3</v>
      </c>
      <c r="TX67">
        <v>5.0200000000000002E-3</v>
      </c>
      <c r="TY67">
        <v>5.0699999999999999E-3</v>
      </c>
      <c r="TZ67">
        <v>5.1399999999999996E-3</v>
      </c>
      <c r="UA67">
        <v>5.1799999999999997E-3</v>
      </c>
      <c r="UB67">
        <v>5.0000000000000001E-3</v>
      </c>
      <c r="UC67">
        <v>4.6299999999999996E-3</v>
      </c>
      <c r="UD67">
        <v>4.7400000000000003E-3</v>
      </c>
      <c r="UE67">
        <v>4.96E-3</v>
      </c>
      <c r="UF67">
        <v>3.64E-3</v>
      </c>
      <c r="UG67">
        <v>4.2900000000000004E-3</v>
      </c>
      <c r="UH67">
        <v>5.13E-3</v>
      </c>
      <c r="UI67">
        <v>4.1200000000000004E-3</v>
      </c>
      <c r="UJ67">
        <v>5.11E-3</v>
      </c>
      <c r="UK67">
        <v>5.1200000000000004E-3</v>
      </c>
      <c r="UL67">
        <v>5.11E-3</v>
      </c>
      <c r="UM67">
        <v>5.6100000000000004E-3</v>
      </c>
      <c r="UN67">
        <v>4.9300000000000004E-3</v>
      </c>
      <c r="UO67">
        <v>4.8199999999999996E-3</v>
      </c>
      <c r="UP67">
        <v>6.0099999999999997E-3</v>
      </c>
      <c r="UQ67">
        <v>4.7499999999999999E-3</v>
      </c>
      <c r="UR67">
        <v>4.7400000000000003E-3</v>
      </c>
      <c r="US67">
        <v>5.0400000000000002E-3</v>
      </c>
      <c r="UT67">
        <v>4.6800000000000001E-3</v>
      </c>
      <c r="UU67">
        <v>4.7699999999999999E-3</v>
      </c>
      <c r="UV67">
        <v>5.0400000000000002E-3</v>
      </c>
      <c r="UW67">
        <v>5.1999999999999998E-3</v>
      </c>
      <c r="UX67">
        <v>3.9399999999999999E-3</v>
      </c>
      <c r="UY67">
        <v>4.3499999999999997E-3</v>
      </c>
      <c r="UZ67">
        <v>5.1200000000000004E-3</v>
      </c>
      <c r="VA67">
        <v>6.1799999999999997E-3</v>
      </c>
      <c r="VB67">
        <v>5.45E-3</v>
      </c>
      <c r="VC67">
        <v>5.1500000000000001E-3</v>
      </c>
      <c r="VD67">
        <v>4.3499999999999997E-3</v>
      </c>
      <c r="VE67">
        <v>4.1399999999999996E-3</v>
      </c>
      <c r="VF67">
        <v>4.9800000000000001E-3</v>
      </c>
      <c r="VG67">
        <v>7.5799999999999999E-3</v>
      </c>
      <c r="VH67">
        <v>4.15E-3</v>
      </c>
      <c r="VI67">
        <v>4.7499999999999999E-3</v>
      </c>
    </row>
    <row r="68" spans="1:581" x14ac:dyDescent="0.25">
      <c r="A68">
        <v>2500000</v>
      </c>
      <c r="B68">
        <v>4.8799999999999998E-3</v>
      </c>
      <c r="C68">
        <v>5.0800000000000003E-3</v>
      </c>
      <c r="D68">
        <v>5.2599999999999999E-3</v>
      </c>
      <c r="E68">
        <v>5.7400000000000003E-3</v>
      </c>
      <c r="F68">
        <v>6.2100000000000002E-3</v>
      </c>
      <c r="G68">
        <v>6.3099999999999996E-3</v>
      </c>
      <c r="H68">
        <v>5.0499999999999998E-3</v>
      </c>
      <c r="I68">
        <v>5.0299999999999997E-3</v>
      </c>
      <c r="J68">
        <v>5.1399999999999996E-3</v>
      </c>
      <c r="K68">
        <v>5.0000000000000001E-3</v>
      </c>
      <c r="L68">
        <v>4.9500000000000004E-3</v>
      </c>
      <c r="M68">
        <v>4.9300000000000004E-3</v>
      </c>
      <c r="N68">
        <v>4.9800000000000001E-3</v>
      </c>
      <c r="O68">
        <v>4.3099999999999996E-3</v>
      </c>
      <c r="P68">
        <v>4.2300000000000003E-3</v>
      </c>
      <c r="Q68">
        <v>4.2900000000000004E-3</v>
      </c>
      <c r="R68">
        <v>4.2199999999999998E-3</v>
      </c>
      <c r="S68">
        <v>4.8999999999999998E-3</v>
      </c>
      <c r="T68">
        <v>5.0099999999999997E-3</v>
      </c>
      <c r="U68">
        <v>5.7600000000000004E-3</v>
      </c>
      <c r="V68">
        <v>4.9300000000000004E-3</v>
      </c>
      <c r="W68">
        <v>5.5599999999999998E-3</v>
      </c>
      <c r="X68">
        <v>4.8599999999999997E-3</v>
      </c>
      <c r="Y68">
        <v>5.47E-3</v>
      </c>
      <c r="Z68">
        <v>4.7299999999999998E-3</v>
      </c>
      <c r="AA68">
        <v>4.0299999999999997E-3</v>
      </c>
      <c r="AB68">
        <v>6.6800000000000002E-3</v>
      </c>
      <c r="AD68">
        <v>4.8300000000000001E-3</v>
      </c>
      <c r="AE68">
        <v>5.3E-3</v>
      </c>
      <c r="AF68">
        <v>5.5300000000000002E-3</v>
      </c>
      <c r="AG68">
        <v>4.1700000000000001E-3</v>
      </c>
      <c r="AH68">
        <v>3.9300000000000003E-3</v>
      </c>
      <c r="AI68">
        <v>3.8E-3</v>
      </c>
      <c r="AJ68">
        <v>4.2300000000000003E-3</v>
      </c>
      <c r="AK68">
        <v>5.6800000000000002E-3</v>
      </c>
      <c r="AL68">
        <v>6.7200000000000003E-3</v>
      </c>
      <c r="AM68">
        <v>4.1200000000000004E-3</v>
      </c>
      <c r="AN68">
        <v>4.3099999999999996E-3</v>
      </c>
      <c r="AO68">
        <v>9.0900000000000009E-3</v>
      </c>
      <c r="AP68">
        <v>4.5799999999999999E-3</v>
      </c>
      <c r="AQ68">
        <v>4.3099999999999996E-3</v>
      </c>
      <c r="AR68">
        <v>4.45E-3</v>
      </c>
      <c r="AS68">
        <v>4.4999999999999997E-3</v>
      </c>
      <c r="AT68">
        <v>3.5300000000000002E-3</v>
      </c>
      <c r="AU68">
        <v>3.9699999999999996E-3</v>
      </c>
      <c r="AV68">
        <v>3.6600000000000001E-3</v>
      </c>
      <c r="AW68">
        <v>4.1599999999999996E-3</v>
      </c>
      <c r="AX68">
        <v>4.2300000000000003E-3</v>
      </c>
      <c r="AY68">
        <v>5.3600000000000002E-3</v>
      </c>
      <c r="BA68">
        <v>3.8300000000000001E-3</v>
      </c>
      <c r="BB68">
        <v>5.5399999999999998E-3</v>
      </c>
      <c r="BC68">
        <v>5.8900000000000003E-3</v>
      </c>
      <c r="BD68">
        <v>6.0200000000000002E-3</v>
      </c>
      <c r="BE68">
        <v>6.9899999999999997E-3</v>
      </c>
      <c r="BF68">
        <v>8.4600000000000005E-3</v>
      </c>
      <c r="BG68">
        <v>5.6600000000000001E-3</v>
      </c>
      <c r="BH68">
        <v>4.2500000000000003E-3</v>
      </c>
      <c r="BI68">
        <v>8.2199999999999999E-3</v>
      </c>
      <c r="BJ68">
        <v>5.7400000000000003E-3</v>
      </c>
      <c r="BK68">
        <v>6.0699999999999999E-3</v>
      </c>
      <c r="BL68">
        <v>6.1700000000000001E-3</v>
      </c>
      <c r="BM68">
        <v>5.9100000000000003E-3</v>
      </c>
      <c r="BN68">
        <v>6.7299999999999999E-3</v>
      </c>
      <c r="BO68">
        <v>6.8700000000000002E-3</v>
      </c>
      <c r="BP68">
        <v>6.3499999999999997E-3</v>
      </c>
      <c r="BQ68">
        <v>5.77E-3</v>
      </c>
      <c r="BR68">
        <v>3.3500000000000001E-3</v>
      </c>
      <c r="BT68">
        <v>5.7400000000000003E-3</v>
      </c>
      <c r="BU68">
        <v>7.7200000000000003E-3</v>
      </c>
      <c r="BV68">
        <v>7.6800000000000002E-3</v>
      </c>
      <c r="BW68">
        <v>7.4599999999999996E-3</v>
      </c>
      <c r="BX68">
        <v>7.2700000000000004E-3</v>
      </c>
      <c r="BY68">
        <v>7.3400000000000002E-3</v>
      </c>
      <c r="BZ68">
        <v>6.3800000000000003E-3</v>
      </c>
      <c r="CA68">
        <v>6.5799999999999999E-3</v>
      </c>
      <c r="CB68">
        <v>5.6699999999999997E-3</v>
      </c>
      <c r="CC68">
        <v>5.9500000000000004E-3</v>
      </c>
      <c r="CD68">
        <v>4.7299999999999998E-3</v>
      </c>
      <c r="CE68">
        <v>5.1599999999999997E-3</v>
      </c>
      <c r="CG68">
        <v>4.8500000000000001E-3</v>
      </c>
      <c r="CH68">
        <v>4.6899999999999997E-3</v>
      </c>
      <c r="CI68">
        <v>4.6100000000000004E-3</v>
      </c>
      <c r="CJ68">
        <v>4.4400000000000004E-3</v>
      </c>
      <c r="CK68">
        <v>4.6800000000000001E-3</v>
      </c>
      <c r="CL68">
        <v>5.1599999999999997E-3</v>
      </c>
      <c r="CM68">
        <v>5.0800000000000003E-3</v>
      </c>
      <c r="CN68">
        <v>5.2100000000000002E-3</v>
      </c>
      <c r="CO68">
        <v>5.11E-3</v>
      </c>
      <c r="CP68">
        <v>5.3099999999999996E-3</v>
      </c>
      <c r="CQ68">
        <v>5.3299999999999997E-3</v>
      </c>
      <c r="CS68">
        <v>5.4400000000000004E-3</v>
      </c>
      <c r="CT68">
        <v>5.7800000000000004E-3</v>
      </c>
      <c r="CU68">
        <v>4.7999999999999996E-3</v>
      </c>
      <c r="CV68">
        <v>4.9100000000000003E-3</v>
      </c>
      <c r="CW68">
        <v>4.9500000000000004E-3</v>
      </c>
      <c r="CX68">
        <v>5.1999999999999998E-3</v>
      </c>
      <c r="CZ68">
        <v>4.7800000000000004E-3</v>
      </c>
      <c r="DA68">
        <v>4.6800000000000001E-3</v>
      </c>
      <c r="DB68">
        <v>4.62E-3</v>
      </c>
      <c r="DC68">
        <v>4.5999999999999999E-3</v>
      </c>
      <c r="DD68">
        <v>4.5999999999999999E-3</v>
      </c>
      <c r="DE68">
        <v>4.6100000000000004E-3</v>
      </c>
      <c r="DF68">
        <v>5.0099999999999997E-3</v>
      </c>
      <c r="DG68">
        <v>3.6700000000000001E-3</v>
      </c>
      <c r="DH68">
        <v>4.7200000000000002E-3</v>
      </c>
      <c r="DI68">
        <v>4.7800000000000004E-3</v>
      </c>
      <c r="DJ68">
        <v>4.8999999999999998E-3</v>
      </c>
      <c r="DK68">
        <v>5.0099999999999997E-3</v>
      </c>
      <c r="DM68">
        <v>7.1399999999999996E-3</v>
      </c>
      <c r="DN68">
        <v>6.8300000000000001E-3</v>
      </c>
      <c r="DO68">
        <v>7.2700000000000004E-3</v>
      </c>
      <c r="DP68">
        <v>7.4200000000000004E-3</v>
      </c>
      <c r="DQ68">
        <v>7.3299999999999997E-3</v>
      </c>
      <c r="DR68">
        <v>7.4599999999999996E-3</v>
      </c>
      <c r="DS68">
        <v>6.1199999999999996E-3</v>
      </c>
      <c r="DU68">
        <v>7.5300000000000002E-3</v>
      </c>
      <c r="DV68">
        <v>7.7200000000000003E-3</v>
      </c>
      <c r="DW68">
        <v>7.62E-3</v>
      </c>
      <c r="DX68">
        <v>7.7099999999999998E-3</v>
      </c>
      <c r="DY68">
        <v>8.0700000000000008E-3</v>
      </c>
      <c r="DZ68">
        <v>7.8300000000000002E-3</v>
      </c>
      <c r="EA68">
        <v>4.4099999999999999E-3</v>
      </c>
      <c r="EB68">
        <v>4.4000000000000003E-3</v>
      </c>
      <c r="EC68">
        <v>4.1799999999999997E-3</v>
      </c>
      <c r="EF68">
        <v>9.2700000000000005E-3</v>
      </c>
      <c r="EI68">
        <v>5.4599999999999996E-3</v>
      </c>
      <c r="EJ68">
        <v>5.1799999999999997E-3</v>
      </c>
      <c r="EK68">
        <v>4.9500000000000004E-3</v>
      </c>
      <c r="EL68">
        <v>5.0899999999999999E-3</v>
      </c>
      <c r="EM68">
        <v>5.3600000000000002E-3</v>
      </c>
      <c r="EN68">
        <v>5.45E-3</v>
      </c>
      <c r="EO68">
        <v>5.45E-3</v>
      </c>
      <c r="EP68">
        <v>5.8100000000000001E-3</v>
      </c>
      <c r="ER68">
        <v>4.0200000000000001E-3</v>
      </c>
      <c r="ES68">
        <v>4.1000000000000003E-3</v>
      </c>
      <c r="ET68">
        <v>3.8600000000000001E-3</v>
      </c>
      <c r="EU68">
        <v>8.2699999999999996E-3</v>
      </c>
      <c r="EV68">
        <v>7.6699999999999997E-3</v>
      </c>
      <c r="EW68">
        <v>7.3200000000000001E-3</v>
      </c>
      <c r="EX68">
        <v>7.4000000000000003E-3</v>
      </c>
      <c r="EY68">
        <v>6.7400000000000003E-3</v>
      </c>
      <c r="EZ68">
        <v>6.6100000000000004E-3</v>
      </c>
      <c r="FA68">
        <v>4.7099999999999998E-3</v>
      </c>
      <c r="FB68">
        <v>5.1700000000000001E-3</v>
      </c>
      <c r="FC68">
        <v>4.3600000000000002E-3</v>
      </c>
      <c r="FE68">
        <v>5.0899999999999999E-3</v>
      </c>
      <c r="FF68">
        <v>4.2100000000000002E-3</v>
      </c>
      <c r="FG68">
        <v>7.4900000000000001E-3</v>
      </c>
      <c r="FH68">
        <v>7.4799999999999997E-3</v>
      </c>
      <c r="FI68">
        <v>7.4099999999999999E-3</v>
      </c>
      <c r="FJ68">
        <v>7.5199999999999998E-3</v>
      </c>
      <c r="FK68">
        <v>6.5799999999999999E-3</v>
      </c>
      <c r="FL68">
        <v>4.5100000000000001E-3</v>
      </c>
      <c r="FN68">
        <v>4.5199999999999997E-3</v>
      </c>
      <c r="FO68">
        <v>4.3499999999999997E-3</v>
      </c>
      <c r="FP68">
        <v>4.0099999999999997E-3</v>
      </c>
      <c r="FQ68">
        <v>4.8500000000000001E-3</v>
      </c>
      <c r="FR68">
        <v>8.1499999999999993E-3</v>
      </c>
      <c r="FS68">
        <v>5.11E-3</v>
      </c>
      <c r="FU68">
        <v>5.1700000000000001E-3</v>
      </c>
      <c r="FV68">
        <v>5.4599999999999996E-3</v>
      </c>
      <c r="FW68">
        <v>5.1799999999999997E-3</v>
      </c>
      <c r="FX68">
        <v>5.3600000000000002E-3</v>
      </c>
      <c r="FY68">
        <v>5.6600000000000001E-3</v>
      </c>
      <c r="FZ68">
        <v>5.6499999999999996E-3</v>
      </c>
      <c r="GA68">
        <v>5.9100000000000003E-3</v>
      </c>
      <c r="GB68">
        <v>5.8799999999999998E-3</v>
      </c>
      <c r="GC68">
        <v>6.1700000000000001E-3</v>
      </c>
      <c r="GD68">
        <v>5.94E-3</v>
      </c>
      <c r="GE68">
        <v>6.3299999999999997E-3</v>
      </c>
      <c r="GF68">
        <v>5.6499999999999996E-3</v>
      </c>
      <c r="GG68">
        <v>5.7999999999999996E-3</v>
      </c>
      <c r="GH68">
        <v>5.8100000000000001E-3</v>
      </c>
      <c r="GI68">
        <v>6.5500000000000003E-3</v>
      </c>
      <c r="GJ68">
        <v>6.6800000000000002E-3</v>
      </c>
      <c r="GK68">
        <v>6.8399999999999997E-3</v>
      </c>
      <c r="GL68">
        <v>6.9899999999999997E-3</v>
      </c>
      <c r="GM68">
        <v>6.2899999999999996E-3</v>
      </c>
      <c r="GO68">
        <v>5.7200000000000003E-3</v>
      </c>
      <c r="GP68">
        <v>4.62E-3</v>
      </c>
      <c r="GQ68">
        <v>4.9399999999999999E-3</v>
      </c>
      <c r="GR68">
        <v>4.8500000000000001E-3</v>
      </c>
      <c r="GS68">
        <v>4.6499999999999996E-3</v>
      </c>
      <c r="GT68">
        <v>5.0800000000000003E-3</v>
      </c>
      <c r="GU68">
        <v>6.9699999999999996E-3</v>
      </c>
      <c r="GW68">
        <v>6.7000000000000002E-3</v>
      </c>
      <c r="GX68">
        <v>6.4999999999999997E-3</v>
      </c>
      <c r="GY68">
        <v>5.4299999999999999E-3</v>
      </c>
      <c r="GZ68">
        <v>5.2900000000000004E-3</v>
      </c>
      <c r="HA68">
        <v>4.7999999999999996E-3</v>
      </c>
      <c r="HB68">
        <v>4.62E-3</v>
      </c>
      <c r="HC68">
        <v>7.2300000000000003E-3</v>
      </c>
      <c r="HD68">
        <v>3.8899999999999998E-3</v>
      </c>
      <c r="HE68">
        <v>6.9699999999999996E-3</v>
      </c>
      <c r="HF68">
        <v>7.2700000000000004E-3</v>
      </c>
      <c r="HG68">
        <v>7.45E-3</v>
      </c>
      <c r="HH68">
        <v>7.45E-3</v>
      </c>
      <c r="HI68">
        <v>7.5199999999999998E-3</v>
      </c>
      <c r="HJ68">
        <v>4.3499999999999997E-3</v>
      </c>
      <c r="HK68">
        <v>4.47E-3</v>
      </c>
      <c r="HL68">
        <v>5.1000000000000004E-3</v>
      </c>
      <c r="HM68">
        <v>4.9100000000000003E-3</v>
      </c>
      <c r="HN68">
        <v>5.5300000000000002E-3</v>
      </c>
      <c r="HO68">
        <v>4.5700000000000003E-3</v>
      </c>
      <c r="HQ68">
        <v>4.7400000000000003E-3</v>
      </c>
      <c r="HR68">
        <v>4.5900000000000003E-3</v>
      </c>
      <c r="HS68">
        <v>8.2199999999999999E-3</v>
      </c>
      <c r="HT68">
        <v>4.2100000000000002E-3</v>
      </c>
      <c r="HU68">
        <v>4.7200000000000002E-3</v>
      </c>
      <c r="HV68">
        <v>5.5500000000000002E-3</v>
      </c>
      <c r="HW68">
        <v>4.7999999999999996E-3</v>
      </c>
      <c r="HX68">
        <v>4.2399999999999998E-3</v>
      </c>
      <c r="HY68">
        <v>4.7699999999999999E-3</v>
      </c>
      <c r="HZ68">
        <v>4.0400000000000002E-3</v>
      </c>
      <c r="IA68">
        <v>5.62E-3</v>
      </c>
      <c r="IB68">
        <v>7.2199999999999999E-3</v>
      </c>
      <c r="IC68">
        <v>6.4700000000000001E-3</v>
      </c>
      <c r="ID68">
        <v>4.15E-3</v>
      </c>
      <c r="IE68">
        <v>3.9100000000000003E-3</v>
      </c>
      <c r="IF68">
        <v>3.9399999999999999E-3</v>
      </c>
      <c r="IG68">
        <v>4.79E-3</v>
      </c>
      <c r="IH68">
        <v>5.0299999999999997E-3</v>
      </c>
      <c r="II68">
        <v>3.8400000000000001E-3</v>
      </c>
      <c r="IJ68">
        <v>4.79E-3</v>
      </c>
      <c r="IK68">
        <v>5.3800000000000002E-3</v>
      </c>
      <c r="IL68">
        <v>5.9500000000000004E-3</v>
      </c>
      <c r="IM68">
        <v>7.9500000000000005E-3</v>
      </c>
      <c r="IN68">
        <v>7.0899999999999999E-3</v>
      </c>
      <c r="IO68">
        <v>7.8100000000000001E-3</v>
      </c>
      <c r="IP68">
        <v>8.7200000000000003E-3</v>
      </c>
      <c r="IQ68">
        <v>9.1800000000000007E-3</v>
      </c>
      <c r="IR68">
        <v>9.8899999999999995E-3</v>
      </c>
      <c r="IS68">
        <v>5.0000000000000001E-3</v>
      </c>
      <c r="IT68">
        <v>3.2299999999999998E-3</v>
      </c>
      <c r="IU68">
        <v>3.4499999999999999E-3</v>
      </c>
      <c r="IV68">
        <v>4.1799999999999997E-3</v>
      </c>
      <c r="IW68">
        <v>4.5300000000000002E-3</v>
      </c>
      <c r="IX68">
        <v>4.1599999999999996E-3</v>
      </c>
      <c r="IY68">
        <v>4.3299999999999996E-3</v>
      </c>
      <c r="IZ68">
        <v>3.9199999999999999E-3</v>
      </c>
      <c r="JA68">
        <v>4.3400000000000001E-3</v>
      </c>
      <c r="JB68">
        <v>4.4299999999999999E-3</v>
      </c>
      <c r="JC68">
        <v>4.8799999999999998E-3</v>
      </c>
      <c r="JD68">
        <v>4.9800000000000001E-3</v>
      </c>
      <c r="JE68">
        <v>4.6100000000000004E-3</v>
      </c>
      <c r="JF68">
        <v>7.0000000000000001E-3</v>
      </c>
      <c r="JG68">
        <v>9.1900000000000003E-3</v>
      </c>
      <c r="JH68">
        <v>8.2900000000000005E-3</v>
      </c>
      <c r="JI68">
        <v>4.8399999999999997E-3</v>
      </c>
      <c r="JJ68">
        <v>4.8599999999999997E-3</v>
      </c>
      <c r="JK68">
        <v>7.45E-3</v>
      </c>
      <c r="JL68">
        <v>6.7799999999999996E-3</v>
      </c>
      <c r="JM68">
        <v>5.11E-3</v>
      </c>
      <c r="JN68">
        <v>5.3E-3</v>
      </c>
      <c r="JP68">
        <v>6.6899999999999998E-3</v>
      </c>
      <c r="JQ68">
        <v>5.77E-3</v>
      </c>
      <c r="JR68">
        <v>5.1900000000000002E-3</v>
      </c>
      <c r="JT68">
        <v>5.7400000000000003E-3</v>
      </c>
      <c r="JU68">
        <v>7.4799999999999997E-3</v>
      </c>
      <c r="JV68">
        <v>8.1600000000000006E-3</v>
      </c>
      <c r="JW68">
        <v>4.9100000000000003E-3</v>
      </c>
      <c r="JX68">
        <v>7.0899999999999999E-3</v>
      </c>
      <c r="JY68">
        <v>6.0600000000000003E-3</v>
      </c>
      <c r="JZ68">
        <v>5.4900000000000001E-3</v>
      </c>
      <c r="KA68">
        <v>5.2599999999999999E-3</v>
      </c>
      <c r="KB68">
        <v>5.1599999999999997E-3</v>
      </c>
      <c r="KC68">
        <v>5.3099999999999996E-3</v>
      </c>
      <c r="KD68">
        <v>5.5700000000000003E-3</v>
      </c>
      <c r="KE68">
        <v>8.5599999999999999E-3</v>
      </c>
      <c r="KF68">
        <v>9.8099999999999993E-3</v>
      </c>
      <c r="KG68">
        <v>1.0330000000000001E-2</v>
      </c>
      <c r="KH68">
        <v>1.0500000000000001E-2</v>
      </c>
      <c r="KI68">
        <v>5.8599999999999998E-3</v>
      </c>
      <c r="KJ68">
        <v>5.9899999999999997E-3</v>
      </c>
      <c r="KK68">
        <v>5.9300000000000004E-3</v>
      </c>
      <c r="KL68">
        <v>6.2700000000000004E-3</v>
      </c>
      <c r="KM68">
        <v>6.4400000000000004E-3</v>
      </c>
      <c r="KN68">
        <v>6.7099999999999998E-3</v>
      </c>
      <c r="KO68">
        <v>6.4900000000000001E-3</v>
      </c>
      <c r="KP68">
        <v>5.8999999999999999E-3</v>
      </c>
      <c r="KQ68">
        <v>6.0400000000000002E-3</v>
      </c>
      <c r="KR68">
        <v>6.0200000000000002E-3</v>
      </c>
      <c r="KS68">
        <v>6.43E-3</v>
      </c>
      <c r="KT68">
        <v>6.7000000000000002E-3</v>
      </c>
      <c r="KU68">
        <v>6.77E-3</v>
      </c>
      <c r="KV68">
        <v>6.0699999999999999E-3</v>
      </c>
      <c r="KW68">
        <v>5.47E-3</v>
      </c>
      <c r="KX68">
        <v>9.7599999999999996E-3</v>
      </c>
      <c r="KY68">
        <v>7.4200000000000004E-3</v>
      </c>
      <c r="KZ68">
        <v>8.3099999999999997E-3</v>
      </c>
      <c r="LA68">
        <v>4.9500000000000004E-3</v>
      </c>
      <c r="LB68">
        <v>4.8999999999999998E-3</v>
      </c>
      <c r="LC68">
        <v>4.8999999999999998E-3</v>
      </c>
      <c r="LD68">
        <v>4.8999999999999998E-3</v>
      </c>
      <c r="LE68">
        <v>7.7000000000000002E-3</v>
      </c>
      <c r="LF68">
        <v>6.79E-3</v>
      </c>
      <c r="LG68">
        <v>5.0800000000000003E-3</v>
      </c>
      <c r="LI68">
        <v>7.7600000000000004E-3</v>
      </c>
      <c r="LJ68">
        <v>8.1099999999999992E-3</v>
      </c>
      <c r="LK68">
        <v>8.2199999999999999E-3</v>
      </c>
      <c r="LL68">
        <v>4.9699999999999996E-3</v>
      </c>
      <c r="LM68">
        <v>3.6800000000000001E-3</v>
      </c>
      <c r="LN68">
        <v>4.1599999999999996E-3</v>
      </c>
      <c r="LO68">
        <v>4.4299999999999999E-3</v>
      </c>
      <c r="LP68">
        <v>3.9899999999999996E-3</v>
      </c>
      <c r="LR68">
        <v>7.5399999999999998E-3</v>
      </c>
      <c r="LS68">
        <v>8.3599999999999994E-3</v>
      </c>
      <c r="LT68">
        <v>4.3899999999999998E-3</v>
      </c>
      <c r="LU68">
        <v>4.8399999999999997E-3</v>
      </c>
      <c r="LV68">
        <v>5.0099999999999997E-3</v>
      </c>
      <c r="LW68">
        <v>4.9500000000000004E-3</v>
      </c>
      <c r="LX68">
        <v>5.5399999999999998E-3</v>
      </c>
      <c r="LY68">
        <v>5.77E-3</v>
      </c>
      <c r="MA68">
        <v>6.3E-3</v>
      </c>
      <c r="MB68">
        <v>4.7699999999999999E-3</v>
      </c>
      <c r="MC68">
        <v>7.3699999999999998E-3</v>
      </c>
      <c r="MD68">
        <v>8.2500000000000004E-3</v>
      </c>
      <c r="ME68">
        <v>1.017E-2</v>
      </c>
      <c r="MF68">
        <v>1.239E-2</v>
      </c>
      <c r="MG68">
        <v>1.3180000000000001E-2</v>
      </c>
      <c r="MH68">
        <v>4.4000000000000003E-3</v>
      </c>
      <c r="MI68">
        <v>4.1999999999999997E-3</v>
      </c>
      <c r="MJ68">
        <v>4.3800000000000002E-3</v>
      </c>
      <c r="MK68">
        <v>4.1799999999999997E-3</v>
      </c>
      <c r="ML68">
        <v>4.8399999999999997E-3</v>
      </c>
      <c r="MM68">
        <v>3.96E-3</v>
      </c>
      <c r="MN68">
        <v>4.5999999999999999E-3</v>
      </c>
      <c r="MO68">
        <v>4.8300000000000001E-3</v>
      </c>
      <c r="MP68">
        <v>6.1599999999999997E-3</v>
      </c>
      <c r="MQ68">
        <v>3.6099999999999999E-3</v>
      </c>
      <c r="MR68">
        <v>4.8799999999999998E-3</v>
      </c>
      <c r="MS68">
        <v>4.8900000000000002E-3</v>
      </c>
      <c r="MT68">
        <v>6.3E-3</v>
      </c>
      <c r="MU68">
        <v>4.8999999999999998E-3</v>
      </c>
      <c r="MV68">
        <v>5.0400000000000002E-3</v>
      </c>
      <c r="MX68">
        <v>5.1399999999999996E-3</v>
      </c>
      <c r="MY68">
        <v>5.47E-3</v>
      </c>
      <c r="MZ68">
        <v>6.0499999999999998E-3</v>
      </c>
      <c r="NA68">
        <v>5.3899999999999998E-3</v>
      </c>
      <c r="NB68">
        <v>5.0200000000000002E-3</v>
      </c>
      <c r="NC68">
        <v>3.1099999999999999E-3</v>
      </c>
      <c r="ND68">
        <v>1.1220000000000001E-2</v>
      </c>
      <c r="NE68">
        <v>5.3400000000000001E-3</v>
      </c>
      <c r="NF68">
        <v>7.1000000000000004E-3</v>
      </c>
      <c r="NG68">
        <v>4.1200000000000004E-3</v>
      </c>
      <c r="NH68">
        <v>3.6600000000000001E-3</v>
      </c>
      <c r="NI68">
        <v>3.8600000000000001E-3</v>
      </c>
      <c r="NJ68">
        <v>4.1599999999999996E-3</v>
      </c>
      <c r="NK68">
        <v>3.8600000000000001E-3</v>
      </c>
      <c r="NL68">
        <v>4.0200000000000001E-3</v>
      </c>
      <c r="NM68">
        <v>4.1999999999999997E-3</v>
      </c>
      <c r="NO68">
        <v>4.47E-3</v>
      </c>
      <c r="NP68">
        <v>4.8799999999999998E-3</v>
      </c>
      <c r="NQ68">
        <v>3.8999999999999998E-3</v>
      </c>
      <c r="NR68">
        <v>4.1099999999999999E-3</v>
      </c>
      <c r="NS68">
        <v>4.2599999999999999E-3</v>
      </c>
      <c r="NT68">
        <v>4.5100000000000001E-3</v>
      </c>
      <c r="NU68">
        <v>4.0299999999999997E-3</v>
      </c>
      <c r="NV68">
        <v>4.1599999999999996E-3</v>
      </c>
      <c r="NW68">
        <v>4.3400000000000001E-3</v>
      </c>
      <c r="NX68">
        <v>4.0899999999999999E-3</v>
      </c>
      <c r="NY68">
        <v>4.3499999999999997E-3</v>
      </c>
      <c r="NZ68">
        <v>4.3499999999999997E-3</v>
      </c>
      <c r="OB68">
        <v>4.6899999999999997E-3</v>
      </c>
      <c r="OC68">
        <v>4.1599999999999996E-3</v>
      </c>
      <c r="OD68">
        <v>4.1399999999999996E-3</v>
      </c>
      <c r="OE68">
        <v>4.1399999999999996E-3</v>
      </c>
      <c r="OF68">
        <v>7.1900000000000002E-3</v>
      </c>
      <c r="OG68">
        <v>4.4000000000000003E-3</v>
      </c>
      <c r="OH68">
        <v>4.5500000000000002E-3</v>
      </c>
      <c r="OI68">
        <v>4.5999999999999999E-3</v>
      </c>
      <c r="OJ68">
        <v>4.7699999999999999E-3</v>
      </c>
      <c r="OK68">
        <v>4.8300000000000001E-3</v>
      </c>
      <c r="OL68">
        <v>4.9300000000000004E-3</v>
      </c>
      <c r="OM68">
        <v>5.5199999999999997E-3</v>
      </c>
      <c r="ON68">
        <v>5.64E-3</v>
      </c>
      <c r="OO68">
        <v>4.4900000000000001E-3</v>
      </c>
      <c r="OP68">
        <v>4.7099999999999998E-3</v>
      </c>
      <c r="OQ68">
        <v>4.8399999999999997E-3</v>
      </c>
      <c r="OR68">
        <v>5.1999999999999998E-3</v>
      </c>
      <c r="OS68">
        <v>5.5900000000000004E-3</v>
      </c>
      <c r="OT68">
        <v>5.5199999999999997E-3</v>
      </c>
      <c r="OU68">
        <v>5.7200000000000003E-3</v>
      </c>
      <c r="OV68">
        <v>5.2599999999999999E-3</v>
      </c>
      <c r="OW68">
        <v>4.8500000000000001E-3</v>
      </c>
      <c r="OX68">
        <v>5.4099999999999999E-3</v>
      </c>
      <c r="OZ68">
        <v>5.3600000000000002E-3</v>
      </c>
      <c r="PA68">
        <v>7.4000000000000003E-3</v>
      </c>
      <c r="PB68">
        <v>7.7400000000000004E-3</v>
      </c>
      <c r="PC68">
        <v>6.7499999999999999E-3</v>
      </c>
      <c r="PD68">
        <v>6.0499999999999998E-3</v>
      </c>
      <c r="PE68">
        <v>5.7800000000000004E-3</v>
      </c>
      <c r="PF68">
        <v>5.8199999999999997E-3</v>
      </c>
      <c r="PG68">
        <v>5.1700000000000001E-3</v>
      </c>
      <c r="PH68">
        <v>5.3099999999999996E-3</v>
      </c>
      <c r="PI68">
        <v>6.28E-3</v>
      </c>
      <c r="PJ68">
        <v>5.8900000000000003E-3</v>
      </c>
      <c r="PK68">
        <v>5.4999999999999997E-3</v>
      </c>
      <c r="PL68">
        <v>5.96E-3</v>
      </c>
      <c r="PM68">
        <v>5.0099999999999997E-3</v>
      </c>
      <c r="PN68">
        <v>4.7099999999999998E-3</v>
      </c>
      <c r="PO68">
        <v>3.8800000000000002E-3</v>
      </c>
      <c r="PP68">
        <v>3.98E-3</v>
      </c>
      <c r="PQ68">
        <v>5.0699999999999999E-3</v>
      </c>
      <c r="PR68">
        <v>4.5900000000000003E-3</v>
      </c>
      <c r="PS68">
        <v>4.1000000000000003E-3</v>
      </c>
      <c r="PT68">
        <v>5.4900000000000001E-3</v>
      </c>
      <c r="PU68">
        <v>4.8799999999999998E-3</v>
      </c>
      <c r="PV68">
        <v>2.8600000000000001E-3</v>
      </c>
      <c r="PW68">
        <v>2.8999999999999998E-3</v>
      </c>
      <c r="PX68">
        <v>2.9099999999999998E-3</v>
      </c>
      <c r="PY68">
        <v>2.9499999999999999E-3</v>
      </c>
      <c r="PZ68">
        <v>3.0500000000000002E-3</v>
      </c>
      <c r="QA68">
        <v>4.0899999999999999E-3</v>
      </c>
      <c r="QB68">
        <v>4.3899999999999998E-3</v>
      </c>
      <c r="QC68">
        <v>5.0400000000000002E-3</v>
      </c>
      <c r="QD68">
        <v>5.5399999999999998E-3</v>
      </c>
      <c r="QE68">
        <v>4.4200000000000003E-3</v>
      </c>
      <c r="QF68">
        <v>4.8900000000000002E-3</v>
      </c>
      <c r="QG68">
        <v>6.6E-3</v>
      </c>
      <c r="QH68">
        <v>4.7699999999999999E-3</v>
      </c>
      <c r="QI68">
        <v>4.96E-3</v>
      </c>
      <c r="QK68">
        <v>4.81E-3</v>
      </c>
      <c r="QL68">
        <v>4.7000000000000002E-3</v>
      </c>
      <c r="QN68">
        <v>8.1600000000000006E-3</v>
      </c>
      <c r="QO68">
        <v>6.4099999999999999E-3</v>
      </c>
      <c r="QP68">
        <v>7.1799999999999998E-3</v>
      </c>
      <c r="QQ68">
        <v>7.2100000000000003E-3</v>
      </c>
      <c r="QR68">
        <v>7.2199999999999999E-3</v>
      </c>
      <c r="QS68">
        <v>7.1999999999999998E-3</v>
      </c>
      <c r="QT68">
        <v>5.3699999999999998E-3</v>
      </c>
      <c r="QU68">
        <v>5.3499999999999997E-3</v>
      </c>
      <c r="QV68">
        <v>5.3400000000000001E-3</v>
      </c>
      <c r="QW68">
        <v>5.6600000000000001E-3</v>
      </c>
      <c r="QX68">
        <v>4.9899999999999996E-3</v>
      </c>
      <c r="QY68">
        <v>4.8999999999999998E-3</v>
      </c>
      <c r="QZ68">
        <v>5.13E-3</v>
      </c>
      <c r="RA68">
        <v>4.9199999999999999E-3</v>
      </c>
      <c r="RB68">
        <v>5.4299999999999999E-3</v>
      </c>
      <c r="RC68">
        <v>4.8999999999999998E-3</v>
      </c>
      <c r="RD68">
        <v>5.8100000000000001E-3</v>
      </c>
      <c r="RE68">
        <v>4.9199999999999999E-3</v>
      </c>
      <c r="RF68">
        <v>5.7600000000000004E-3</v>
      </c>
      <c r="RG68">
        <v>4.4200000000000003E-3</v>
      </c>
      <c r="RH68">
        <v>4.8700000000000002E-3</v>
      </c>
      <c r="RI68">
        <v>6.6699999999999997E-3</v>
      </c>
      <c r="RJ68">
        <v>5.13E-3</v>
      </c>
      <c r="RK68">
        <v>5.1700000000000001E-3</v>
      </c>
      <c r="RL68">
        <v>4.8999999999999998E-3</v>
      </c>
      <c r="RM68">
        <v>4.0699999999999998E-3</v>
      </c>
      <c r="RN68">
        <v>4.1599999999999996E-3</v>
      </c>
      <c r="RO68">
        <v>4.1599999999999996E-3</v>
      </c>
      <c r="RP68">
        <v>3.9500000000000004E-3</v>
      </c>
      <c r="RQ68">
        <v>4.45E-3</v>
      </c>
      <c r="RR68">
        <v>4.1599999999999996E-3</v>
      </c>
      <c r="RS68">
        <v>4.3200000000000001E-3</v>
      </c>
      <c r="RT68">
        <v>3.5999999999999999E-3</v>
      </c>
      <c r="RU68">
        <v>4.9199999999999999E-3</v>
      </c>
      <c r="RV68">
        <v>4.5500000000000002E-3</v>
      </c>
      <c r="RW68">
        <v>4.9899999999999996E-3</v>
      </c>
      <c r="RX68">
        <v>4.7000000000000002E-3</v>
      </c>
      <c r="RY68">
        <v>4.81E-3</v>
      </c>
      <c r="RZ68">
        <v>3.6800000000000001E-3</v>
      </c>
      <c r="SA68">
        <v>4.2900000000000004E-3</v>
      </c>
      <c r="SB68">
        <v>3.98E-3</v>
      </c>
      <c r="SC68">
        <v>5.47E-3</v>
      </c>
      <c r="SD68">
        <v>5.9699999999999996E-3</v>
      </c>
      <c r="SE68">
        <v>5.4900000000000001E-3</v>
      </c>
      <c r="SF68">
        <v>6.1000000000000004E-3</v>
      </c>
      <c r="SG68">
        <v>7.5500000000000003E-3</v>
      </c>
      <c r="SH68">
        <v>9.8099999999999993E-3</v>
      </c>
      <c r="SJ68">
        <v>4.5100000000000001E-3</v>
      </c>
      <c r="SK68">
        <v>3.9399999999999999E-3</v>
      </c>
      <c r="SL68">
        <v>4.3699999999999998E-3</v>
      </c>
      <c r="SM68">
        <v>3.5899999999999999E-3</v>
      </c>
      <c r="SN68">
        <v>4.1799999999999997E-3</v>
      </c>
      <c r="SO68">
        <v>4.1200000000000004E-3</v>
      </c>
      <c r="SP68">
        <v>5.64E-3</v>
      </c>
      <c r="SQ68">
        <v>4.5399999999999998E-3</v>
      </c>
      <c r="SR68">
        <v>5.3099999999999996E-3</v>
      </c>
      <c r="SS68">
        <v>4.7800000000000004E-3</v>
      </c>
      <c r="ST68">
        <v>4.6699999999999997E-3</v>
      </c>
      <c r="SU68">
        <v>5.0000000000000001E-3</v>
      </c>
      <c r="SV68">
        <v>4.79E-3</v>
      </c>
      <c r="SW68">
        <v>5.11E-3</v>
      </c>
      <c r="SX68">
        <v>4.7200000000000002E-3</v>
      </c>
      <c r="SY68">
        <v>4.5700000000000003E-3</v>
      </c>
      <c r="SZ68">
        <v>5.1799999999999997E-3</v>
      </c>
      <c r="TA68">
        <v>4.8900000000000002E-3</v>
      </c>
      <c r="TB68">
        <v>5.8500000000000002E-3</v>
      </c>
      <c r="TC68">
        <v>4.8799999999999998E-3</v>
      </c>
      <c r="TD68">
        <v>4.4299999999999999E-3</v>
      </c>
      <c r="TE68">
        <v>6.2700000000000004E-3</v>
      </c>
      <c r="TF68">
        <v>4.9100000000000003E-3</v>
      </c>
      <c r="TG68">
        <v>5.77E-3</v>
      </c>
      <c r="TI68">
        <v>5.1500000000000001E-3</v>
      </c>
      <c r="TJ68">
        <v>6.3699999999999998E-3</v>
      </c>
      <c r="TK68">
        <v>4.13E-3</v>
      </c>
      <c r="TL68">
        <v>4.0299999999999997E-3</v>
      </c>
      <c r="TM68">
        <v>3.9899999999999996E-3</v>
      </c>
      <c r="TN68">
        <v>4.5599999999999998E-3</v>
      </c>
      <c r="TO68">
        <v>5.3299999999999997E-3</v>
      </c>
      <c r="TP68">
        <v>4.45E-3</v>
      </c>
      <c r="TQ68">
        <v>5.1799999999999997E-3</v>
      </c>
      <c r="TR68">
        <v>5.5199999999999997E-3</v>
      </c>
      <c r="TS68">
        <v>5.0299999999999997E-3</v>
      </c>
      <c r="TT68">
        <v>5.1200000000000004E-3</v>
      </c>
      <c r="TU68">
        <v>4.8500000000000001E-3</v>
      </c>
      <c r="TV68">
        <v>4.0600000000000002E-3</v>
      </c>
      <c r="TW68">
        <v>4.5799999999999999E-3</v>
      </c>
      <c r="TX68">
        <v>5.0200000000000002E-3</v>
      </c>
      <c r="TY68">
        <v>5.0800000000000003E-3</v>
      </c>
      <c r="TZ68">
        <v>5.1399999999999996E-3</v>
      </c>
      <c r="UA68">
        <v>5.1799999999999997E-3</v>
      </c>
      <c r="UB68">
        <v>5.0099999999999997E-3</v>
      </c>
      <c r="UC68">
        <v>4.64E-3</v>
      </c>
      <c r="UD68">
        <v>4.7400000000000003E-3</v>
      </c>
      <c r="UE68">
        <v>4.9500000000000004E-3</v>
      </c>
      <c r="UF68">
        <v>3.6600000000000001E-3</v>
      </c>
      <c r="UG68">
        <v>4.2900000000000004E-3</v>
      </c>
      <c r="UH68">
        <v>5.13E-3</v>
      </c>
      <c r="UI68">
        <v>4.1000000000000003E-3</v>
      </c>
      <c r="UJ68">
        <v>5.0899999999999999E-3</v>
      </c>
      <c r="UK68">
        <v>5.1200000000000004E-3</v>
      </c>
      <c r="UL68">
        <v>5.1000000000000004E-3</v>
      </c>
      <c r="UN68">
        <v>4.9399999999999999E-3</v>
      </c>
      <c r="UO68">
        <v>4.8199999999999996E-3</v>
      </c>
      <c r="UP68">
        <v>5.9800000000000001E-3</v>
      </c>
      <c r="UR68">
        <v>4.7600000000000003E-3</v>
      </c>
      <c r="US68">
        <v>5.0499999999999998E-3</v>
      </c>
      <c r="UT68">
        <v>4.6899999999999997E-3</v>
      </c>
      <c r="UU68">
        <v>4.7699999999999999E-3</v>
      </c>
      <c r="UW68">
        <v>5.1599999999999997E-3</v>
      </c>
      <c r="UX68">
        <v>3.9300000000000003E-3</v>
      </c>
      <c r="UY68">
        <v>4.3499999999999997E-3</v>
      </c>
      <c r="UZ68">
        <v>5.1200000000000004E-3</v>
      </c>
      <c r="VA68">
        <v>6.13E-3</v>
      </c>
      <c r="VB68">
        <v>5.4099999999999999E-3</v>
      </c>
      <c r="VC68">
        <v>5.1000000000000004E-3</v>
      </c>
      <c r="VD68">
        <v>4.2100000000000002E-3</v>
      </c>
      <c r="VE68">
        <v>4.2100000000000002E-3</v>
      </c>
      <c r="VF68">
        <v>4.8399999999999997E-3</v>
      </c>
      <c r="VG68">
        <v>7.5399999999999998E-3</v>
      </c>
      <c r="VH68">
        <v>4.0899999999999999E-3</v>
      </c>
      <c r="VI68">
        <v>4.7299999999999998E-3</v>
      </c>
    </row>
    <row r="69" spans="1:581" x14ac:dyDescent="0.25">
      <c r="A69">
        <v>2600000</v>
      </c>
      <c r="B69">
        <v>4.9199999999999999E-3</v>
      </c>
      <c r="C69">
        <v>5.0899999999999999E-3</v>
      </c>
      <c r="D69">
        <v>5.28E-3</v>
      </c>
      <c r="E69">
        <v>5.7299999999999999E-3</v>
      </c>
      <c r="F69">
        <v>6.1999999999999998E-3</v>
      </c>
      <c r="G69">
        <v>6.2899999999999996E-3</v>
      </c>
      <c r="H69">
        <v>5.0400000000000002E-3</v>
      </c>
      <c r="I69">
        <v>5.0299999999999997E-3</v>
      </c>
      <c r="J69">
        <v>5.1500000000000001E-3</v>
      </c>
      <c r="L69">
        <v>4.9500000000000004E-3</v>
      </c>
      <c r="M69">
        <v>4.9399999999999999E-3</v>
      </c>
      <c r="N69">
        <v>4.9800000000000001E-3</v>
      </c>
      <c r="O69">
        <v>4.28E-3</v>
      </c>
      <c r="P69">
        <v>4.1999999999999997E-3</v>
      </c>
      <c r="Q69">
        <v>4.2500000000000003E-3</v>
      </c>
      <c r="R69">
        <v>4.1900000000000001E-3</v>
      </c>
      <c r="S69">
        <v>4.9100000000000003E-3</v>
      </c>
      <c r="T69">
        <v>5.0299999999999997E-3</v>
      </c>
      <c r="U69">
        <v>5.7499999999999999E-3</v>
      </c>
      <c r="V69">
        <v>4.9399999999999999E-3</v>
      </c>
      <c r="W69">
        <v>5.5399999999999998E-3</v>
      </c>
      <c r="X69">
        <v>4.8900000000000002E-3</v>
      </c>
      <c r="Z69">
        <v>4.7600000000000003E-3</v>
      </c>
      <c r="AA69">
        <v>3.9699999999999996E-3</v>
      </c>
      <c r="AB69">
        <v>6.6699999999999997E-3</v>
      </c>
      <c r="AC69">
        <v>6.8100000000000001E-3</v>
      </c>
      <c r="AD69">
        <v>4.7999999999999996E-3</v>
      </c>
      <c r="AE69">
        <v>5.28E-3</v>
      </c>
      <c r="AF69">
        <v>5.4799999999999996E-3</v>
      </c>
      <c r="AG69">
        <v>4.1799999999999997E-3</v>
      </c>
      <c r="AH69">
        <v>3.8899999999999998E-3</v>
      </c>
      <c r="AI69">
        <v>3.7499999999999999E-3</v>
      </c>
      <c r="AJ69">
        <v>4.2500000000000003E-3</v>
      </c>
      <c r="AK69">
        <v>5.6899999999999997E-3</v>
      </c>
      <c r="AL69">
        <v>6.6800000000000002E-3</v>
      </c>
      <c r="AM69">
        <v>4.1399999999999996E-3</v>
      </c>
      <c r="AN69">
        <v>4.28E-3</v>
      </c>
      <c r="AO69">
        <v>8.9999999999999993E-3</v>
      </c>
      <c r="AP69">
        <v>4.4999999999999997E-3</v>
      </c>
      <c r="AQ69">
        <v>4.1999999999999997E-3</v>
      </c>
      <c r="AR69">
        <v>4.4099999999999999E-3</v>
      </c>
      <c r="AS69">
        <v>4.4299999999999999E-3</v>
      </c>
      <c r="AT69">
        <v>3.46E-3</v>
      </c>
      <c r="AU69">
        <v>3.8999999999999998E-3</v>
      </c>
      <c r="AV69">
        <v>3.6900000000000001E-3</v>
      </c>
      <c r="AW69">
        <v>4.1099999999999999E-3</v>
      </c>
      <c r="AX69">
        <v>4.1700000000000001E-3</v>
      </c>
      <c r="AY69">
        <v>5.3600000000000002E-3</v>
      </c>
      <c r="AZ69">
        <v>5.5100000000000001E-3</v>
      </c>
      <c r="BA69">
        <v>3.8800000000000002E-3</v>
      </c>
      <c r="BB69">
        <v>5.5199999999999997E-3</v>
      </c>
      <c r="BC69">
        <v>5.8500000000000002E-3</v>
      </c>
      <c r="BD69">
        <v>5.9699999999999996E-3</v>
      </c>
      <c r="BE69">
        <v>6.94E-3</v>
      </c>
      <c r="BF69">
        <v>8.3899999999999999E-3</v>
      </c>
      <c r="BG69">
        <v>5.62E-3</v>
      </c>
      <c r="BH69">
        <v>4.1900000000000001E-3</v>
      </c>
      <c r="BI69">
        <v>8.1600000000000006E-3</v>
      </c>
      <c r="BJ69">
        <v>5.7200000000000003E-3</v>
      </c>
      <c r="BK69">
        <v>6.0200000000000002E-3</v>
      </c>
      <c r="BL69">
        <v>6.1199999999999996E-3</v>
      </c>
      <c r="BM69">
        <v>5.8599999999999998E-3</v>
      </c>
      <c r="BN69">
        <v>6.79E-3</v>
      </c>
      <c r="BO69">
        <v>6.8199999999999997E-3</v>
      </c>
      <c r="BP69">
        <v>6.3699999999999998E-3</v>
      </c>
      <c r="BQ69">
        <v>5.7600000000000004E-3</v>
      </c>
      <c r="BR69">
        <v>3.2799999999999999E-3</v>
      </c>
      <c r="BT69">
        <v>5.6699999999999997E-3</v>
      </c>
      <c r="BU69">
        <v>7.6800000000000002E-3</v>
      </c>
      <c r="BV69">
        <v>7.62E-3</v>
      </c>
      <c r="BW69">
        <v>7.4000000000000003E-3</v>
      </c>
      <c r="BX69">
        <v>7.2199999999999999E-3</v>
      </c>
      <c r="BY69">
        <v>7.2899999999999996E-3</v>
      </c>
      <c r="BZ69">
        <v>6.3499999999999997E-3</v>
      </c>
      <c r="CA69">
        <v>6.5300000000000002E-3</v>
      </c>
      <c r="CB69">
        <v>5.6499999999999996E-3</v>
      </c>
      <c r="CC69">
        <v>5.9100000000000003E-3</v>
      </c>
      <c r="CD69">
        <v>4.7000000000000002E-3</v>
      </c>
      <c r="CE69">
        <v>5.13E-3</v>
      </c>
      <c r="CF69">
        <v>4.9899999999999996E-3</v>
      </c>
      <c r="CG69">
        <v>4.8399999999999997E-3</v>
      </c>
      <c r="CH69">
        <v>4.7000000000000002E-3</v>
      </c>
      <c r="CI69">
        <v>4.6299999999999996E-3</v>
      </c>
      <c r="CJ69">
        <v>4.47E-3</v>
      </c>
      <c r="CK69">
        <v>4.7099999999999998E-3</v>
      </c>
      <c r="CL69">
        <v>5.1500000000000001E-3</v>
      </c>
      <c r="CM69">
        <v>5.0499999999999998E-3</v>
      </c>
      <c r="CN69">
        <v>5.1700000000000001E-3</v>
      </c>
      <c r="CO69">
        <v>5.0699999999999999E-3</v>
      </c>
      <c r="CP69">
        <v>5.2700000000000004E-3</v>
      </c>
      <c r="CQ69">
        <v>5.3200000000000001E-3</v>
      </c>
      <c r="CR69">
        <v>5.1999999999999998E-3</v>
      </c>
      <c r="CS69">
        <v>5.3899999999999998E-3</v>
      </c>
      <c r="CT69">
        <v>5.7299999999999999E-3</v>
      </c>
      <c r="CU69">
        <v>4.7800000000000004E-3</v>
      </c>
      <c r="CV69">
        <v>4.9100000000000003E-3</v>
      </c>
      <c r="CW69">
        <v>4.9199999999999999E-3</v>
      </c>
      <c r="CX69">
        <v>5.1999999999999998E-3</v>
      </c>
      <c r="CY69">
        <v>4.6100000000000004E-3</v>
      </c>
      <c r="CZ69">
        <v>4.79E-3</v>
      </c>
      <c r="DA69">
        <v>4.6800000000000001E-3</v>
      </c>
      <c r="DB69">
        <v>4.6100000000000004E-3</v>
      </c>
      <c r="DC69">
        <v>4.5999999999999999E-3</v>
      </c>
      <c r="DD69">
        <v>4.5900000000000003E-3</v>
      </c>
      <c r="DE69">
        <v>4.6100000000000004E-3</v>
      </c>
      <c r="DF69">
        <v>4.9199999999999999E-3</v>
      </c>
      <c r="DG69">
        <v>3.63E-3</v>
      </c>
      <c r="DH69">
        <v>4.6499999999999996E-3</v>
      </c>
      <c r="DI69">
        <v>4.7400000000000003E-3</v>
      </c>
      <c r="DJ69">
        <v>4.8500000000000001E-3</v>
      </c>
      <c r="DK69">
        <v>4.9800000000000001E-3</v>
      </c>
      <c r="DL69">
        <v>6.7999999999999996E-3</v>
      </c>
      <c r="DM69">
        <v>7.0899999999999999E-3</v>
      </c>
      <c r="DN69">
        <v>6.8300000000000001E-3</v>
      </c>
      <c r="DO69">
        <v>7.2300000000000003E-3</v>
      </c>
      <c r="DP69">
        <v>7.3699999999999998E-3</v>
      </c>
      <c r="DQ69">
        <v>7.2899999999999996E-3</v>
      </c>
      <c r="DR69">
        <v>7.4400000000000004E-3</v>
      </c>
      <c r="DS69">
        <v>6.2199999999999998E-3</v>
      </c>
      <c r="DT69">
        <v>7.28E-3</v>
      </c>
      <c r="DU69">
        <v>7.4900000000000001E-3</v>
      </c>
      <c r="DV69">
        <v>7.6800000000000002E-3</v>
      </c>
      <c r="DW69">
        <v>7.6E-3</v>
      </c>
      <c r="DX69">
        <v>7.6800000000000002E-3</v>
      </c>
      <c r="DY69">
        <v>8.0099999999999998E-3</v>
      </c>
      <c r="DZ69">
        <v>7.77E-3</v>
      </c>
      <c r="EA69">
        <v>4.3800000000000002E-3</v>
      </c>
      <c r="EB69">
        <v>4.3800000000000002E-3</v>
      </c>
      <c r="EC69">
        <v>4.1700000000000001E-3</v>
      </c>
      <c r="EF69">
        <v>9.1599999999999997E-3</v>
      </c>
      <c r="EI69">
        <v>5.4299999999999999E-3</v>
      </c>
      <c r="EJ69">
        <v>5.1599999999999997E-3</v>
      </c>
      <c r="EK69">
        <v>4.9399999999999999E-3</v>
      </c>
      <c r="EL69">
        <v>5.0499999999999998E-3</v>
      </c>
      <c r="EM69">
        <v>5.3099999999999996E-3</v>
      </c>
      <c r="EN69">
        <v>5.4099999999999999E-3</v>
      </c>
      <c r="EO69">
        <v>5.4099999999999999E-3</v>
      </c>
      <c r="EP69">
        <v>5.77E-3</v>
      </c>
      <c r="EQ69">
        <v>5.79E-3</v>
      </c>
      <c r="ES69">
        <v>4.0699999999999998E-3</v>
      </c>
      <c r="ET69">
        <v>3.81E-3</v>
      </c>
      <c r="EU69">
        <v>8.2000000000000007E-3</v>
      </c>
      <c r="EV69">
        <v>7.6E-3</v>
      </c>
      <c r="EW69">
        <v>7.26E-3</v>
      </c>
      <c r="EX69">
        <v>7.3099999999999997E-3</v>
      </c>
      <c r="EY69">
        <v>6.7499999999999999E-3</v>
      </c>
      <c r="EZ69">
        <v>6.5900000000000004E-3</v>
      </c>
      <c r="FA69">
        <v>4.6600000000000001E-3</v>
      </c>
      <c r="FB69">
        <v>5.1200000000000004E-3</v>
      </c>
      <c r="FC69">
        <v>4.3200000000000001E-3</v>
      </c>
      <c r="FD69">
        <v>4.3600000000000002E-3</v>
      </c>
      <c r="FE69">
        <v>5.0299999999999997E-3</v>
      </c>
      <c r="FF69">
        <v>4.1999999999999997E-3</v>
      </c>
      <c r="FG69">
        <v>7.43E-3</v>
      </c>
      <c r="FH69">
        <v>7.4200000000000004E-3</v>
      </c>
      <c r="FI69">
        <v>7.3699999999999998E-3</v>
      </c>
      <c r="FJ69">
        <v>7.4799999999999997E-3</v>
      </c>
      <c r="FK69">
        <v>6.5399999999999998E-3</v>
      </c>
      <c r="FL69">
        <v>4.5199999999999997E-3</v>
      </c>
      <c r="FN69">
        <v>4.45E-3</v>
      </c>
      <c r="FO69">
        <v>4.2900000000000004E-3</v>
      </c>
      <c r="FP69">
        <v>3.9699999999999996E-3</v>
      </c>
      <c r="FQ69">
        <v>4.7800000000000004E-3</v>
      </c>
      <c r="FR69">
        <v>8.09E-3</v>
      </c>
      <c r="FS69">
        <v>5.0200000000000002E-3</v>
      </c>
      <c r="FT69">
        <v>5.0200000000000002E-3</v>
      </c>
      <c r="FV69">
        <v>5.3899999999999998E-3</v>
      </c>
      <c r="FW69">
        <v>5.1200000000000004E-3</v>
      </c>
      <c r="FX69">
        <v>5.3099999999999996E-3</v>
      </c>
      <c r="FY69">
        <v>5.5999999999999999E-3</v>
      </c>
      <c r="FZ69">
        <v>5.5799999999999999E-3</v>
      </c>
      <c r="GA69">
        <v>5.8500000000000002E-3</v>
      </c>
      <c r="GB69">
        <v>5.8199999999999997E-3</v>
      </c>
      <c r="GC69">
        <v>6.1000000000000004E-3</v>
      </c>
      <c r="GD69">
        <v>5.8999999999999999E-3</v>
      </c>
      <c r="GE69">
        <v>6.2700000000000004E-3</v>
      </c>
      <c r="GF69">
        <v>5.6100000000000004E-3</v>
      </c>
      <c r="GG69">
        <v>5.7499999999999999E-3</v>
      </c>
      <c r="GH69">
        <v>5.77E-3</v>
      </c>
      <c r="GI69">
        <v>6.5100000000000002E-3</v>
      </c>
      <c r="GJ69">
        <v>6.6299999999999996E-3</v>
      </c>
      <c r="GK69">
        <v>6.7999999999999996E-3</v>
      </c>
      <c r="GL69">
        <v>6.9499999999999996E-3</v>
      </c>
      <c r="GO69">
        <v>5.6699999999999997E-3</v>
      </c>
      <c r="GP69">
        <v>4.5599999999999998E-3</v>
      </c>
      <c r="GQ69">
        <v>4.8700000000000002E-3</v>
      </c>
      <c r="GR69">
        <v>4.79E-3</v>
      </c>
      <c r="GS69">
        <v>4.5900000000000003E-3</v>
      </c>
      <c r="GT69">
        <v>5.0200000000000002E-3</v>
      </c>
      <c r="GU69">
        <v>7.0000000000000001E-3</v>
      </c>
      <c r="GV69">
        <v>7.26E-3</v>
      </c>
      <c r="GW69">
        <v>6.6499999999999997E-3</v>
      </c>
      <c r="GX69">
        <v>6.45E-3</v>
      </c>
      <c r="GY69">
        <v>5.3499999999999997E-3</v>
      </c>
      <c r="GZ69">
        <v>5.2300000000000003E-3</v>
      </c>
      <c r="HA69">
        <v>4.7800000000000004E-3</v>
      </c>
      <c r="HB69">
        <v>4.6100000000000004E-3</v>
      </c>
      <c r="HC69">
        <v>7.2199999999999999E-3</v>
      </c>
      <c r="HD69">
        <v>3.9399999999999999E-3</v>
      </c>
      <c r="HE69">
        <v>6.9699999999999996E-3</v>
      </c>
      <c r="HF69">
        <v>7.2300000000000003E-3</v>
      </c>
      <c r="HG69">
        <v>7.4000000000000003E-3</v>
      </c>
      <c r="HH69">
        <v>7.4099999999999999E-3</v>
      </c>
      <c r="HI69">
        <v>7.4599999999999996E-3</v>
      </c>
      <c r="HJ69">
        <v>4.3499999999999997E-3</v>
      </c>
      <c r="HK69">
        <v>4.3899999999999998E-3</v>
      </c>
      <c r="HL69">
        <v>5.0400000000000002E-3</v>
      </c>
      <c r="HM69">
        <v>4.8700000000000002E-3</v>
      </c>
      <c r="HN69">
        <v>5.5300000000000002E-3</v>
      </c>
      <c r="HO69">
        <v>4.5300000000000002E-3</v>
      </c>
      <c r="HP69">
        <v>4.64E-3</v>
      </c>
      <c r="HQ69">
        <v>4.7600000000000003E-3</v>
      </c>
      <c r="HR69">
        <v>4.5100000000000001E-3</v>
      </c>
      <c r="HS69">
        <v>8.1600000000000006E-3</v>
      </c>
      <c r="HT69">
        <v>4.2300000000000003E-3</v>
      </c>
      <c r="HU69">
        <v>4.7000000000000002E-3</v>
      </c>
      <c r="HV69">
        <v>5.5100000000000001E-3</v>
      </c>
      <c r="HW69">
        <v>4.7800000000000004E-3</v>
      </c>
      <c r="HX69">
        <v>4.15E-3</v>
      </c>
      <c r="HY69">
        <v>4.7099999999999998E-3</v>
      </c>
      <c r="HZ69">
        <v>4.0600000000000002E-3</v>
      </c>
      <c r="IA69">
        <v>5.5500000000000002E-3</v>
      </c>
      <c r="IB69">
        <v>7.1500000000000001E-3</v>
      </c>
      <c r="IC69">
        <v>6.43E-3</v>
      </c>
      <c r="ID69">
        <v>4.1000000000000003E-3</v>
      </c>
      <c r="IE69">
        <v>3.8800000000000002E-3</v>
      </c>
      <c r="IF69">
        <v>3.9100000000000003E-3</v>
      </c>
      <c r="IG69">
        <v>4.7499999999999999E-3</v>
      </c>
      <c r="IH69">
        <v>4.96E-3</v>
      </c>
      <c r="II69">
        <v>3.81E-3</v>
      </c>
      <c r="IJ69">
        <v>4.7400000000000003E-3</v>
      </c>
      <c r="IK69">
        <v>5.3400000000000001E-3</v>
      </c>
      <c r="IL69">
        <v>5.8999999999999999E-3</v>
      </c>
      <c r="IM69">
        <v>7.8799999999999999E-3</v>
      </c>
      <c r="IN69">
        <v>7.0200000000000002E-3</v>
      </c>
      <c r="IO69">
        <v>7.7499999999999999E-3</v>
      </c>
      <c r="IP69">
        <v>8.6199999999999992E-3</v>
      </c>
      <c r="IQ69">
        <v>9.0799999999999995E-3</v>
      </c>
      <c r="IR69">
        <v>9.7900000000000001E-3</v>
      </c>
      <c r="IS69">
        <v>5.0000000000000001E-3</v>
      </c>
      <c r="IT69">
        <v>3.1800000000000001E-3</v>
      </c>
      <c r="IU69">
        <v>3.4199999999999999E-3</v>
      </c>
      <c r="IV69">
        <v>4.1799999999999997E-3</v>
      </c>
      <c r="IW69">
        <v>4.4900000000000001E-3</v>
      </c>
      <c r="IX69">
        <v>4.3200000000000001E-3</v>
      </c>
      <c r="IY69">
        <v>4.3400000000000001E-3</v>
      </c>
      <c r="IZ69">
        <v>3.9300000000000003E-3</v>
      </c>
      <c r="JA69">
        <v>4.3299999999999996E-3</v>
      </c>
      <c r="JB69">
        <v>4.4400000000000004E-3</v>
      </c>
      <c r="JC69">
        <v>4.9100000000000003E-3</v>
      </c>
      <c r="JD69">
        <v>4.9800000000000001E-3</v>
      </c>
      <c r="JE69">
        <v>4.6699999999999997E-3</v>
      </c>
      <c r="JF69">
        <v>6.9699999999999996E-3</v>
      </c>
      <c r="JG69">
        <v>9.1400000000000006E-3</v>
      </c>
      <c r="JH69">
        <v>8.1499999999999993E-3</v>
      </c>
      <c r="JI69">
        <v>4.7800000000000004E-3</v>
      </c>
      <c r="JJ69">
        <v>4.8399999999999997E-3</v>
      </c>
      <c r="JK69">
        <v>7.3499999999999998E-3</v>
      </c>
      <c r="JL69">
        <v>6.6899999999999998E-3</v>
      </c>
      <c r="JM69">
        <v>5.1200000000000004E-3</v>
      </c>
      <c r="JN69">
        <v>5.2700000000000004E-3</v>
      </c>
      <c r="JP69">
        <v>6.8100000000000001E-3</v>
      </c>
      <c r="JQ69">
        <v>5.7999999999999996E-3</v>
      </c>
      <c r="JR69">
        <v>5.1700000000000001E-3</v>
      </c>
      <c r="JS69">
        <v>4.8300000000000001E-3</v>
      </c>
      <c r="JT69">
        <v>5.7400000000000003E-3</v>
      </c>
      <c r="JU69">
        <v>7.4900000000000001E-3</v>
      </c>
      <c r="JV69">
        <v>8.1700000000000002E-3</v>
      </c>
      <c r="JW69">
        <v>4.8700000000000002E-3</v>
      </c>
      <c r="JX69">
        <v>7.0800000000000004E-3</v>
      </c>
      <c r="JY69">
        <v>6.0600000000000003E-3</v>
      </c>
      <c r="JZ69">
        <v>5.4299999999999999E-3</v>
      </c>
      <c r="KA69">
        <v>5.2100000000000002E-3</v>
      </c>
      <c r="KB69">
        <v>5.1599999999999997E-3</v>
      </c>
      <c r="KC69">
        <v>5.28E-3</v>
      </c>
      <c r="KD69">
        <v>5.5300000000000002E-3</v>
      </c>
      <c r="KE69">
        <v>8.5400000000000007E-3</v>
      </c>
      <c r="KF69">
        <v>9.8600000000000007E-3</v>
      </c>
      <c r="KG69">
        <v>1.025E-2</v>
      </c>
      <c r="KH69">
        <v>1.043E-2</v>
      </c>
      <c r="KI69">
        <v>5.8100000000000001E-3</v>
      </c>
      <c r="KJ69">
        <v>5.9199999999999999E-3</v>
      </c>
      <c r="KK69">
        <v>5.8399999999999997E-3</v>
      </c>
      <c r="KL69">
        <v>6.1900000000000002E-3</v>
      </c>
      <c r="KM69">
        <v>6.3899999999999998E-3</v>
      </c>
      <c r="KN69">
        <v>6.6800000000000002E-3</v>
      </c>
      <c r="KO69">
        <v>6.4599999999999996E-3</v>
      </c>
      <c r="KP69">
        <v>5.8399999999999997E-3</v>
      </c>
      <c r="KQ69">
        <v>5.9899999999999997E-3</v>
      </c>
      <c r="KR69">
        <v>5.9500000000000004E-3</v>
      </c>
      <c r="KS69">
        <v>6.3699999999999998E-3</v>
      </c>
      <c r="KT69">
        <v>6.6299999999999996E-3</v>
      </c>
      <c r="KU69">
        <v>6.7499999999999999E-3</v>
      </c>
      <c r="KW69">
        <v>5.4999999999999997E-3</v>
      </c>
      <c r="KX69">
        <v>9.7099999999999999E-3</v>
      </c>
      <c r="KY69">
        <v>7.4400000000000004E-3</v>
      </c>
      <c r="KZ69">
        <v>8.3099999999999997E-3</v>
      </c>
      <c r="LA69">
        <v>4.9100000000000003E-3</v>
      </c>
      <c r="LB69">
        <v>4.8599999999999997E-3</v>
      </c>
      <c r="LC69">
        <v>4.8799999999999998E-3</v>
      </c>
      <c r="LD69">
        <v>4.8799999999999998E-3</v>
      </c>
      <c r="LE69">
        <v>7.6299999999999996E-3</v>
      </c>
      <c r="LF69">
        <v>6.7099999999999998E-3</v>
      </c>
      <c r="LG69">
        <v>4.9899999999999996E-3</v>
      </c>
      <c r="LI69">
        <v>7.6899999999999998E-3</v>
      </c>
      <c r="LJ69">
        <v>8.0300000000000007E-3</v>
      </c>
      <c r="LK69">
        <v>8.1700000000000002E-3</v>
      </c>
      <c r="LL69">
        <v>4.9300000000000004E-3</v>
      </c>
      <c r="LM69">
        <v>3.6600000000000001E-3</v>
      </c>
      <c r="LN69">
        <v>4.0800000000000003E-3</v>
      </c>
      <c r="LO69">
        <v>4.3299999999999996E-3</v>
      </c>
      <c r="LP69">
        <v>3.9300000000000003E-3</v>
      </c>
      <c r="LR69">
        <v>7.4599999999999996E-3</v>
      </c>
      <c r="LS69">
        <v>8.2900000000000005E-3</v>
      </c>
      <c r="LT69">
        <v>4.3499999999999997E-3</v>
      </c>
      <c r="LU69">
        <v>4.7499999999999999E-3</v>
      </c>
      <c r="LV69">
        <v>4.8799999999999998E-3</v>
      </c>
      <c r="LW69">
        <v>4.9699999999999996E-3</v>
      </c>
      <c r="LY69">
        <v>5.7099999999999998E-3</v>
      </c>
      <c r="LZ69">
        <v>5.79E-3</v>
      </c>
      <c r="MA69">
        <v>6.2899999999999996E-3</v>
      </c>
      <c r="MB69">
        <v>4.7999999999999996E-3</v>
      </c>
      <c r="MC69">
        <v>7.3000000000000001E-3</v>
      </c>
      <c r="MD69">
        <v>8.1899999999999994E-3</v>
      </c>
      <c r="ME69">
        <v>1.0059999999999999E-2</v>
      </c>
      <c r="MF69">
        <v>1.2330000000000001E-2</v>
      </c>
      <c r="MG69">
        <v>1.3169999999999999E-2</v>
      </c>
      <c r="MH69">
        <v>4.4000000000000003E-3</v>
      </c>
      <c r="MJ69">
        <v>4.3200000000000001E-3</v>
      </c>
      <c r="MK69">
        <v>4.15E-3</v>
      </c>
      <c r="ML69">
        <v>4.7699999999999999E-3</v>
      </c>
      <c r="MM69">
        <v>3.8899999999999998E-3</v>
      </c>
      <c r="MN69">
        <v>4.5799999999999999E-3</v>
      </c>
      <c r="MO69">
        <v>4.7999999999999996E-3</v>
      </c>
      <c r="MP69">
        <v>6.1399999999999996E-3</v>
      </c>
      <c r="MQ69">
        <v>3.5999999999999999E-3</v>
      </c>
      <c r="MR69">
        <v>4.8300000000000001E-3</v>
      </c>
      <c r="MS69">
        <v>4.8399999999999997E-3</v>
      </c>
      <c r="MT69">
        <v>6.2599999999999999E-3</v>
      </c>
      <c r="MU69">
        <v>4.9100000000000003E-3</v>
      </c>
      <c r="MV69">
        <v>5.0400000000000002E-3</v>
      </c>
      <c r="MW69">
        <v>5.1500000000000001E-3</v>
      </c>
      <c r="MY69">
        <v>5.45E-3</v>
      </c>
      <c r="MZ69">
        <v>6.0000000000000001E-3</v>
      </c>
      <c r="NA69">
        <v>5.3299999999999997E-3</v>
      </c>
      <c r="NB69">
        <v>4.96E-3</v>
      </c>
      <c r="NC69">
        <v>3.0999999999999999E-3</v>
      </c>
      <c r="ND69">
        <v>1.1140000000000001E-2</v>
      </c>
      <c r="NE69">
        <v>5.28E-3</v>
      </c>
      <c r="NF69">
        <v>7.0899999999999999E-3</v>
      </c>
      <c r="NG69">
        <v>4.1000000000000003E-3</v>
      </c>
      <c r="NH69">
        <v>3.65E-3</v>
      </c>
      <c r="NI69">
        <v>3.8300000000000001E-3</v>
      </c>
      <c r="NJ69">
        <v>4.13E-3</v>
      </c>
      <c r="NK69">
        <v>3.8400000000000001E-3</v>
      </c>
      <c r="NL69">
        <v>4.0000000000000001E-3</v>
      </c>
      <c r="NM69">
        <v>4.1799999999999997E-3</v>
      </c>
      <c r="NN69">
        <v>4.2900000000000004E-3</v>
      </c>
      <c r="NO69">
        <v>4.4400000000000004E-3</v>
      </c>
      <c r="NP69">
        <v>4.9500000000000004E-3</v>
      </c>
      <c r="NQ69">
        <v>3.8800000000000002E-3</v>
      </c>
      <c r="NR69">
        <v>4.1000000000000003E-3</v>
      </c>
      <c r="NS69">
        <v>4.2399999999999998E-3</v>
      </c>
      <c r="NT69">
        <v>4.4900000000000001E-3</v>
      </c>
      <c r="NU69">
        <v>4.0099999999999997E-3</v>
      </c>
      <c r="NV69">
        <v>4.1399999999999996E-3</v>
      </c>
      <c r="NX69">
        <v>4.0800000000000003E-3</v>
      </c>
      <c r="NY69">
        <v>4.3299999999999996E-3</v>
      </c>
      <c r="NZ69">
        <v>4.3400000000000001E-3</v>
      </c>
      <c r="OA69">
        <v>4.4999999999999997E-3</v>
      </c>
      <c r="OB69">
        <v>4.7699999999999999E-3</v>
      </c>
      <c r="OC69">
        <v>4.1399999999999996E-3</v>
      </c>
      <c r="OD69">
        <v>4.13E-3</v>
      </c>
      <c r="OE69">
        <v>4.13E-3</v>
      </c>
      <c r="OF69">
        <v>7.1199999999999996E-3</v>
      </c>
      <c r="OG69">
        <v>4.3899999999999998E-3</v>
      </c>
      <c r="OH69">
        <v>4.5199999999999997E-3</v>
      </c>
      <c r="OI69">
        <v>4.5700000000000003E-3</v>
      </c>
      <c r="OJ69">
        <v>4.7299999999999998E-3</v>
      </c>
      <c r="OK69">
        <v>4.7999999999999996E-3</v>
      </c>
      <c r="OL69">
        <v>4.8900000000000002E-3</v>
      </c>
      <c r="OM69">
        <v>5.4900000000000001E-3</v>
      </c>
      <c r="ON69">
        <v>5.6100000000000004E-3</v>
      </c>
      <c r="OO69">
        <v>4.4600000000000004E-3</v>
      </c>
      <c r="OP69">
        <v>4.6800000000000001E-3</v>
      </c>
      <c r="OQ69">
        <v>4.7999999999999996E-3</v>
      </c>
      <c r="OR69">
        <v>5.1700000000000001E-3</v>
      </c>
      <c r="OS69">
        <v>5.5799999999999999E-3</v>
      </c>
      <c r="OT69">
        <v>5.4999999999999997E-3</v>
      </c>
      <c r="OU69">
        <v>5.7000000000000002E-3</v>
      </c>
      <c r="OV69">
        <v>5.3E-3</v>
      </c>
      <c r="OW69">
        <v>4.9100000000000003E-3</v>
      </c>
      <c r="OX69">
        <v>5.4200000000000003E-3</v>
      </c>
      <c r="OY69">
        <v>5.6899999999999997E-3</v>
      </c>
      <c r="OZ69">
        <v>5.3699999999999998E-3</v>
      </c>
      <c r="PA69">
        <v>7.3400000000000002E-3</v>
      </c>
      <c r="PB69">
        <v>7.6600000000000001E-3</v>
      </c>
      <c r="PC69">
        <v>6.7099999999999998E-3</v>
      </c>
      <c r="PD69">
        <v>6.0099999999999997E-3</v>
      </c>
      <c r="PE69">
        <v>5.7400000000000003E-3</v>
      </c>
      <c r="PF69">
        <v>5.7999999999999996E-3</v>
      </c>
      <c r="PG69">
        <v>5.1700000000000001E-3</v>
      </c>
      <c r="PH69">
        <v>5.3099999999999996E-3</v>
      </c>
      <c r="PI69">
        <v>6.2599999999999999E-3</v>
      </c>
      <c r="PJ69">
        <v>5.8700000000000002E-3</v>
      </c>
      <c r="PK69">
        <v>5.4599999999999996E-3</v>
      </c>
      <c r="PL69">
        <v>5.9100000000000003E-3</v>
      </c>
      <c r="PM69">
        <v>4.9899999999999996E-3</v>
      </c>
      <c r="PN69">
        <v>4.7099999999999998E-3</v>
      </c>
      <c r="PO69">
        <v>3.8300000000000001E-3</v>
      </c>
      <c r="PP69">
        <v>3.9500000000000004E-3</v>
      </c>
      <c r="PQ69">
        <v>5.1000000000000004E-3</v>
      </c>
      <c r="PR69">
        <v>4.6100000000000004E-3</v>
      </c>
      <c r="PS69">
        <v>4.0600000000000002E-3</v>
      </c>
      <c r="PT69">
        <v>5.5999999999999999E-3</v>
      </c>
      <c r="PU69">
        <v>4.8900000000000002E-3</v>
      </c>
      <c r="PV69">
        <v>2.8900000000000002E-3</v>
      </c>
      <c r="PW69">
        <v>2.8999999999999998E-3</v>
      </c>
      <c r="PX69">
        <v>2.8800000000000002E-3</v>
      </c>
      <c r="PY69">
        <v>2.8999999999999998E-3</v>
      </c>
      <c r="PZ69">
        <v>2.99E-3</v>
      </c>
      <c r="QA69">
        <v>4.1099999999999999E-3</v>
      </c>
      <c r="QB69">
        <v>4.4000000000000003E-3</v>
      </c>
      <c r="QC69">
        <v>5.0200000000000002E-3</v>
      </c>
      <c r="QD69">
        <v>5.5599999999999998E-3</v>
      </c>
      <c r="QE69">
        <v>4.4200000000000003E-3</v>
      </c>
      <c r="QF69">
        <v>4.8900000000000002E-3</v>
      </c>
      <c r="QG69">
        <v>6.5599999999999999E-3</v>
      </c>
      <c r="QI69">
        <v>4.9500000000000004E-3</v>
      </c>
      <c r="QJ69">
        <v>4.6800000000000001E-3</v>
      </c>
      <c r="QK69">
        <v>4.81E-3</v>
      </c>
      <c r="QL69">
        <v>4.6899999999999997E-3</v>
      </c>
      <c r="QM69">
        <v>5.1799999999999997E-3</v>
      </c>
      <c r="QN69">
        <v>8.1499999999999993E-3</v>
      </c>
      <c r="QO69">
        <v>6.43E-3</v>
      </c>
      <c r="QP69">
        <v>7.1599999999999997E-3</v>
      </c>
      <c r="QQ69">
        <v>7.1700000000000002E-3</v>
      </c>
      <c r="QR69">
        <v>7.1799999999999998E-3</v>
      </c>
      <c r="QS69">
        <v>7.1599999999999997E-3</v>
      </c>
      <c r="QU69">
        <v>5.3299999999999997E-3</v>
      </c>
      <c r="QV69">
        <v>5.3200000000000001E-3</v>
      </c>
      <c r="QW69">
        <v>5.64E-3</v>
      </c>
      <c r="QX69">
        <v>4.9699999999999996E-3</v>
      </c>
      <c r="QY69">
        <v>4.8999999999999998E-3</v>
      </c>
      <c r="QZ69">
        <v>5.11E-3</v>
      </c>
      <c r="RA69">
        <v>4.8700000000000002E-3</v>
      </c>
      <c r="RB69">
        <v>5.3400000000000001E-3</v>
      </c>
      <c r="RC69">
        <v>4.8599999999999997E-3</v>
      </c>
      <c r="RD69">
        <v>5.5700000000000003E-3</v>
      </c>
      <c r="RE69">
        <v>4.7999999999999996E-3</v>
      </c>
      <c r="RF69">
        <v>5.7200000000000003E-3</v>
      </c>
      <c r="RG69">
        <v>4.3899999999999998E-3</v>
      </c>
      <c r="RH69">
        <v>4.9300000000000004E-3</v>
      </c>
      <c r="RI69">
        <v>6.62E-3</v>
      </c>
      <c r="RJ69">
        <v>5.0699999999999999E-3</v>
      </c>
      <c r="RK69">
        <v>5.1200000000000004E-3</v>
      </c>
      <c r="RL69">
        <v>4.8399999999999997E-3</v>
      </c>
      <c r="RM69">
        <v>4.0499999999999998E-3</v>
      </c>
      <c r="RN69">
        <v>4.1399999999999996E-3</v>
      </c>
      <c r="RO69">
        <v>4.15E-3</v>
      </c>
      <c r="RP69">
        <v>3.98E-3</v>
      </c>
      <c r="RQ69">
        <v>4.4799999999999996E-3</v>
      </c>
      <c r="RR69">
        <v>4.1999999999999997E-3</v>
      </c>
      <c r="RS69">
        <v>4.3499999999999997E-3</v>
      </c>
      <c r="RT69">
        <v>3.5999999999999999E-3</v>
      </c>
      <c r="RU69">
        <v>4.9699999999999996E-3</v>
      </c>
      <c r="RV69">
        <v>4.5300000000000002E-3</v>
      </c>
      <c r="RW69">
        <v>4.96E-3</v>
      </c>
      <c r="RX69">
        <v>4.6899999999999997E-3</v>
      </c>
      <c r="RY69">
        <v>4.9100000000000003E-3</v>
      </c>
      <c r="RZ69">
        <v>3.63E-3</v>
      </c>
      <c r="SA69">
        <v>4.1999999999999997E-3</v>
      </c>
      <c r="SB69">
        <v>3.9100000000000003E-3</v>
      </c>
      <c r="SC69">
        <v>5.4400000000000004E-3</v>
      </c>
      <c r="SD69">
        <v>5.9300000000000004E-3</v>
      </c>
      <c r="SE69">
        <v>5.45E-3</v>
      </c>
      <c r="SF69">
        <v>6.0499999999999998E-3</v>
      </c>
      <c r="SG69">
        <v>7.4900000000000001E-3</v>
      </c>
      <c r="SH69">
        <v>9.75E-3</v>
      </c>
      <c r="SI69">
        <v>5.3299999999999997E-3</v>
      </c>
      <c r="SK69">
        <v>3.9199999999999999E-3</v>
      </c>
      <c r="SL69">
        <v>4.3600000000000002E-3</v>
      </c>
      <c r="SM69">
        <v>3.5999999999999999E-3</v>
      </c>
      <c r="SN69">
        <v>4.2100000000000002E-3</v>
      </c>
      <c r="SO69">
        <v>4.15E-3</v>
      </c>
      <c r="SP69">
        <v>5.62E-3</v>
      </c>
      <c r="SQ69">
        <v>4.5500000000000002E-3</v>
      </c>
      <c r="SR69">
        <v>5.3E-3</v>
      </c>
      <c r="SS69">
        <v>4.7800000000000004E-3</v>
      </c>
      <c r="ST69">
        <v>4.6800000000000001E-3</v>
      </c>
      <c r="SU69">
        <v>5.0000000000000001E-3</v>
      </c>
      <c r="SV69">
        <v>4.7800000000000004E-3</v>
      </c>
      <c r="SX69">
        <v>4.7000000000000002E-3</v>
      </c>
      <c r="SY69">
        <v>4.5900000000000003E-3</v>
      </c>
      <c r="SZ69">
        <v>5.1599999999999997E-3</v>
      </c>
      <c r="TA69">
        <v>4.8599999999999997E-3</v>
      </c>
      <c r="TB69">
        <v>5.8300000000000001E-3</v>
      </c>
      <c r="TC69">
        <v>4.8700000000000002E-3</v>
      </c>
      <c r="TD69">
        <v>4.4099999999999999E-3</v>
      </c>
      <c r="TE69">
        <v>6.2300000000000003E-3</v>
      </c>
      <c r="TF69">
        <v>4.8900000000000002E-3</v>
      </c>
      <c r="TG69">
        <v>5.7600000000000004E-3</v>
      </c>
      <c r="TH69">
        <v>6.2100000000000002E-3</v>
      </c>
      <c r="TI69">
        <v>5.1599999999999997E-3</v>
      </c>
      <c r="TJ69">
        <v>6.3299999999999997E-3</v>
      </c>
      <c r="TK69">
        <v>4.1200000000000004E-3</v>
      </c>
      <c r="TL69">
        <v>4.0400000000000002E-3</v>
      </c>
      <c r="TM69">
        <v>4.0099999999999997E-3</v>
      </c>
      <c r="TN69">
        <v>4.5399999999999998E-3</v>
      </c>
      <c r="TO69">
        <v>5.3200000000000001E-3</v>
      </c>
      <c r="TP69">
        <v>4.4600000000000004E-3</v>
      </c>
      <c r="TQ69">
        <v>5.1799999999999997E-3</v>
      </c>
      <c r="TR69">
        <v>5.4900000000000001E-3</v>
      </c>
      <c r="TS69">
        <v>5.0000000000000001E-3</v>
      </c>
      <c r="TT69">
        <v>5.0699999999999999E-3</v>
      </c>
      <c r="TU69">
        <v>4.8300000000000001E-3</v>
      </c>
      <c r="TV69">
        <v>4.0600000000000002E-3</v>
      </c>
      <c r="TW69">
        <v>4.5999999999999999E-3</v>
      </c>
      <c r="TX69">
        <v>5.0299999999999997E-3</v>
      </c>
      <c r="TY69">
        <v>5.0899999999999999E-3</v>
      </c>
      <c r="TZ69">
        <v>5.1500000000000001E-3</v>
      </c>
      <c r="UA69">
        <v>5.1799999999999997E-3</v>
      </c>
      <c r="UB69">
        <v>5.0000000000000001E-3</v>
      </c>
      <c r="UC69">
        <v>4.64E-3</v>
      </c>
      <c r="UD69">
        <v>4.7499999999999999E-3</v>
      </c>
      <c r="UE69">
        <v>4.96E-3</v>
      </c>
      <c r="UF69">
        <v>3.6800000000000001E-3</v>
      </c>
      <c r="UG69">
        <v>4.2900000000000004E-3</v>
      </c>
      <c r="UH69">
        <v>5.11E-3</v>
      </c>
      <c r="UI69">
        <v>4.0899999999999999E-3</v>
      </c>
      <c r="UJ69">
        <v>5.0600000000000003E-3</v>
      </c>
      <c r="UK69">
        <v>5.13E-3</v>
      </c>
      <c r="UL69">
        <v>5.11E-3</v>
      </c>
      <c r="UM69">
        <v>5.5799999999999999E-3</v>
      </c>
      <c r="UN69">
        <v>4.96E-3</v>
      </c>
      <c r="UO69">
        <v>4.8199999999999996E-3</v>
      </c>
      <c r="UP69">
        <v>5.9699999999999996E-3</v>
      </c>
      <c r="UQ69">
        <v>4.7699999999999999E-3</v>
      </c>
      <c r="UR69">
        <v>4.7699999999999999E-3</v>
      </c>
      <c r="US69">
        <v>5.0600000000000003E-3</v>
      </c>
      <c r="UT69">
        <v>4.7099999999999998E-3</v>
      </c>
      <c r="UU69">
        <v>4.7800000000000004E-3</v>
      </c>
      <c r="UV69">
        <v>5.0600000000000003E-3</v>
      </c>
      <c r="UW69">
        <v>5.11E-3</v>
      </c>
      <c r="UX69">
        <v>3.9300000000000003E-3</v>
      </c>
      <c r="UY69">
        <v>4.3400000000000001E-3</v>
      </c>
      <c r="UZ69">
        <v>5.1000000000000004E-3</v>
      </c>
      <c r="VA69">
        <v>6.0800000000000003E-3</v>
      </c>
      <c r="VB69">
        <v>5.3800000000000002E-3</v>
      </c>
      <c r="VC69">
        <v>5.0600000000000003E-3</v>
      </c>
      <c r="VD69">
        <v>4.0899999999999999E-3</v>
      </c>
      <c r="VE69">
        <v>4.3099999999999996E-3</v>
      </c>
      <c r="VF69">
        <v>4.7200000000000002E-3</v>
      </c>
      <c r="VG69">
        <v>7.4900000000000001E-3</v>
      </c>
      <c r="VH69">
        <v>4.0299999999999997E-3</v>
      </c>
      <c r="VI69">
        <v>4.7000000000000002E-3</v>
      </c>
    </row>
    <row r="70" spans="1:581" x14ac:dyDescent="0.25">
      <c r="A70">
        <v>2700000</v>
      </c>
      <c r="B70">
        <v>4.96E-3</v>
      </c>
      <c r="C70">
        <v>5.0899999999999999E-3</v>
      </c>
      <c r="D70">
        <v>5.28E-3</v>
      </c>
      <c r="E70">
        <v>5.7400000000000003E-3</v>
      </c>
      <c r="F70">
        <v>6.1900000000000002E-3</v>
      </c>
      <c r="G70">
        <v>6.28E-3</v>
      </c>
      <c r="H70">
        <v>5.0499999999999998E-3</v>
      </c>
      <c r="I70">
        <v>5.0299999999999997E-3</v>
      </c>
      <c r="J70">
        <v>5.1599999999999997E-3</v>
      </c>
      <c r="K70">
        <v>4.9899999999999996E-3</v>
      </c>
      <c r="L70">
        <v>4.96E-3</v>
      </c>
      <c r="M70">
        <v>4.9399999999999999E-3</v>
      </c>
      <c r="N70">
        <v>5.0000000000000001E-3</v>
      </c>
      <c r="O70">
        <v>4.2500000000000003E-3</v>
      </c>
      <c r="P70">
        <v>4.1799999999999997E-3</v>
      </c>
      <c r="Q70">
        <v>4.2399999999999998E-3</v>
      </c>
      <c r="R70">
        <v>4.1700000000000001E-3</v>
      </c>
      <c r="S70">
        <v>4.9300000000000004E-3</v>
      </c>
      <c r="T70">
        <v>5.0400000000000002E-3</v>
      </c>
      <c r="U70">
        <v>5.7299999999999999E-3</v>
      </c>
      <c r="V70">
        <v>4.96E-3</v>
      </c>
      <c r="W70">
        <v>5.5199999999999997E-3</v>
      </c>
      <c r="X70">
        <v>4.9100000000000003E-3</v>
      </c>
      <c r="Y70">
        <v>5.4299999999999999E-3</v>
      </c>
      <c r="Z70">
        <v>4.7999999999999996E-3</v>
      </c>
      <c r="AA70">
        <v>3.9199999999999999E-3</v>
      </c>
      <c r="AB70">
        <v>6.6800000000000002E-3</v>
      </c>
      <c r="AC70">
        <v>6.8199999999999997E-3</v>
      </c>
      <c r="AD70">
        <v>4.7800000000000004E-3</v>
      </c>
      <c r="AE70">
        <v>5.2500000000000003E-3</v>
      </c>
      <c r="AF70">
        <v>5.45E-3</v>
      </c>
      <c r="AG70">
        <v>4.1900000000000001E-3</v>
      </c>
      <c r="AH70">
        <v>3.8600000000000001E-3</v>
      </c>
      <c r="AI70">
        <v>3.6900000000000001E-3</v>
      </c>
      <c r="AJ70">
        <v>4.2700000000000004E-3</v>
      </c>
      <c r="AK70">
        <v>5.7099999999999998E-3</v>
      </c>
      <c r="AL70">
        <v>6.6299999999999996E-3</v>
      </c>
      <c r="AM70">
        <v>4.1599999999999996E-3</v>
      </c>
      <c r="AN70">
        <v>4.2500000000000003E-3</v>
      </c>
      <c r="AO70">
        <v>8.9200000000000008E-3</v>
      </c>
      <c r="AP70">
        <v>4.4299999999999999E-3</v>
      </c>
      <c r="AQ70">
        <v>4.1099999999999999E-3</v>
      </c>
      <c r="AR70">
        <v>4.3800000000000002E-3</v>
      </c>
      <c r="AS70">
        <v>4.3699999999999998E-3</v>
      </c>
      <c r="AT70">
        <v>3.4099999999999998E-3</v>
      </c>
      <c r="AU70">
        <v>3.8400000000000001E-3</v>
      </c>
      <c r="AV70">
        <v>3.7299999999999998E-3</v>
      </c>
      <c r="AW70">
        <v>4.0499999999999998E-3</v>
      </c>
      <c r="AX70">
        <v>4.1200000000000004E-3</v>
      </c>
      <c r="AY70">
        <v>5.3600000000000002E-3</v>
      </c>
      <c r="AZ70">
        <v>5.4900000000000001E-3</v>
      </c>
      <c r="BA70">
        <v>3.9399999999999999E-3</v>
      </c>
      <c r="BB70">
        <v>5.4999999999999997E-3</v>
      </c>
      <c r="BC70">
        <v>5.8199999999999997E-3</v>
      </c>
      <c r="BD70">
        <v>5.9100000000000003E-3</v>
      </c>
      <c r="BE70">
        <v>6.8799999999999998E-3</v>
      </c>
      <c r="BF70">
        <v>8.3300000000000006E-3</v>
      </c>
      <c r="BG70">
        <v>5.5900000000000004E-3</v>
      </c>
      <c r="BH70">
        <v>4.13E-3</v>
      </c>
      <c r="BI70">
        <v>8.0999999999999996E-3</v>
      </c>
      <c r="BJ70">
        <v>5.7000000000000002E-3</v>
      </c>
      <c r="BK70">
        <v>5.9800000000000001E-3</v>
      </c>
      <c r="BL70">
        <v>6.0600000000000003E-3</v>
      </c>
      <c r="BO70">
        <v>6.7799999999999996E-3</v>
      </c>
      <c r="BP70">
        <v>6.4000000000000003E-3</v>
      </c>
      <c r="BQ70">
        <v>5.7600000000000004E-3</v>
      </c>
      <c r="BR70">
        <v>3.2100000000000002E-3</v>
      </c>
      <c r="BT70">
        <v>5.62E-3</v>
      </c>
      <c r="BU70">
        <v>7.6299999999999996E-3</v>
      </c>
      <c r="BV70">
        <v>7.5799999999999999E-3</v>
      </c>
      <c r="BW70">
        <v>7.3400000000000002E-3</v>
      </c>
      <c r="BX70">
        <v>7.1599999999999997E-3</v>
      </c>
      <c r="BY70">
        <v>7.2500000000000004E-3</v>
      </c>
      <c r="BZ70">
        <v>6.3099999999999996E-3</v>
      </c>
      <c r="CA70">
        <v>6.4799999999999996E-3</v>
      </c>
      <c r="CB70">
        <v>5.6299999999999996E-3</v>
      </c>
      <c r="CC70">
        <v>5.8799999999999998E-3</v>
      </c>
      <c r="CD70">
        <v>4.6699999999999997E-3</v>
      </c>
      <c r="CE70">
        <v>5.11E-3</v>
      </c>
      <c r="CF70">
        <v>4.9699999999999996E-3</v>
      </c>
      <c r="CG70">
        <v>4.8399999999999997E-3</v>
      </c>
      <c r="CH70">
        <v>4.7000000000000002E-3</v>
      </c>
      <c r="CI70">
        <v>4.64E-3</v>
      </c>
      <c r="CK70">
        <v>4.7299999999999998E-3</v>
      </c>
      <c r="CL70">
        <v>5.13E-3</v>
      </c>
      <c r="CM70">
        <v>5.0200000000000002E-3</v>
      </c>
      <c r="CN70">
        <v>5.13E-3</v>
      </c>
      <c r="CO70">
        <v>5.0299999999999997E-3</v>
      </c>
      <c r="CP70">
        <v>5.2300000000000003E-3</v>
      </c>
      <c r="CQ70">
        <v>5.3099999999999996E-3</v>
      </c>
      <c r="CR70">
        <v>5.1599999999999997E-3</v>
      </c>
      <c r="CS70">
        <v>5.3499999999999997E-3</v>
      </c>
      <c r="CT70">
        <v>5.6800000000000002E-3</v>
      </c>
      <c r="CU70">
        <v>4.7600000000000003E-3</v>
      </c>
      <c r="CV70">
        <v>4.8900000000000002E-3</v>
      </c>
      <c r="CW70">
        <v>4.8999999999999998E-3</v>
      </c>
      <c r="CX70">
        <v>5.1900000000000002E-3</v>
      </c>
      <c r="CY70">
        <v>4.62E-3</v>
      </c>
      <c r="CZ70">
        <v>4.79E-3</v>
      </c>
      <c r="DA70">
        <v>4.6699999999999997E-3</v>
      </c>
      <c r="DB70">
        <v>4.5999999999999999E-3</v>
      </c>
      <c r="DC70">
        <v>4.5799999999999999E-3</v>
      </c>
      <c r="DD70">
        <v>4.5900000000000003E-3</v>
      </c>
      <c r="DE70">
        <v>4.6100000000000004E-3</v>
      </c>
      <c r="DF70">
        <v>4.8500000000000001E-3</v>
      </c>
      <c r="DG70">
        <v>3.5999999999999999E-3</v>
      </c>
      <c r="DH70">
        <v>4.5999999999999999E-3</v>
      </c>
      <c r="DI70">
        <v>4.7000000000000002E-3</v>
      </c>
      <c r="DJ70">
        <v>4.81E-3</v>
      </c>
      <c r="DK70">
        <v>4.9500000000000004E-3</v>
      </c>
      <c r="DL70">
        <v>6.8900000000000003E-3</v>
      </c>
      <c r="DM70">
        <v>7.0499999999999998E-3</v>
      </c>
      <c r="DN70">
        <v>6.8300000000000001E-3</v>
      </c>
      <c r="DO70">
        <v>7.1999999999999998E-3</v>
      </c>
      <c r="DP70">
        <v>7.3200000000000001E-3</v>
      </c>
      <c r="DQ70">
        <v>7.2500000000000004E-3</v>
      </c>
      <c r="DR70">
        <v>7.4099999999999999E-3</v>
      </c>
      <c r="DS70">
        <v>6.3099999999999996E-3</v>
      </c>
      <c r="DT70">
        <v>7.2500000000000004E-3</v>
      </c>
      <c r="DU70">
        <v>7.4400000000000004E-3</v>
      </c>
      <c r="DV70">
        <v>7.62E-3</v>
      </c>
      <c r="DW70">
        <v>7.5700000000000003E-3</v>
      </c>
      <c r="DX70">
        <v>7.6499999999999997E-3</v>
      </c>
      <c r="DY70">
        <v>7.9600000000000001E-3</v>
      </c>
      <c r="DZ70">
        <v>7.7200000000000003E-3</v>
      </c>
      <c r="EA70">
        <v>4.3400000000000001E-3</v>
      </c>
      <c r="EB70">
        <v>4.3699999999999998E-3</v>
      </c>
      <c r="EC70">
        <v>4.1700000000000001E-3</v>
      </c>
      <c r="EF70">
        <v>9.0699999999999999E-3</v>
      </c>
      <c r="EI70">
        <v>5.4000000000000003E-3</v>
      </c>
      <c r="EJ70">
        <v>5.1399999999999996E-3</v>
      </c>
      <c r="EK70">
        <v>4.9199999999999999E-3</v>
      </c>
      <c r="EL70">
        <v>5.0200000000000002E-3</v>
      </c>
      <c r="EM70">
        <v>5.28E-3</v>
      </c>
      <c r="EN70">
        <v>5.3699999999999998E-3</v>
      </c>
      <c r="EO70">
        <v>5.3499999999999997E-3</v>
      </c>
      <c r="EP70">
        <v>5.7400000000000003E-3</v>
      </c>
      <c r="EQ70">
        <v>5.7499999999999999E-3</v>
      </c>
      <c r="ER70">
        <v>3.9300000000000003E-3</v>
      </c>
      <c r="ES70">
        <v>4.0299999999999997E-3</v>
      </c>
      <c r="ET70">
        <v>3.7699999999999999E-3</v>
      </c>
      <c r="EU70">
        <v>8.1300000000000001E-3</v>
      </c>
      <c r="EV70">
        <v>7.5399999999999998E-3</v>
      </c>
      <c r="EW70">
        <v>7.2100000000000003E-3</v>
      </c>
      <c r="EX70">
        <v>7.2399999999999999E-3</v>
      </c>
      <c r="EZ70">
        <v>6.5799999999999999E-3</v>
      </c>
      <c r="FA70">
        <v>4.6100000000000004E-3</v>
      </c>
      <c r="FB70">
        <v>5.0800000000000003E-3</v>
      </c>
      <c r="FC70">
        <v>4.2900000000000004E-3</v>
      </c>
      <c r="FD70">
        <v>4.3200000000000001E-3</v>
      </c>
      <c r="FE70">
        <v>4.9899999999999996E-3</v>
      </c>
      <c r="FF70">
        <v>4.1900000000000001E-3</v>
      </c>
      <c r="FG70">
        <v>7.3800000000000003E-3</v>
      </c>
      <c r="FH70">
        <v>7.3600000000000002E-3</v>
      </c>
      <c r="FI70">
        <v>7.3400000000000002E-3</v>
      </c>
      <c r="FJ70">
        <v>7.4400000000000004E-3</v>
      </c>
      <c r="FK70">
        <v>6.4999999999999997E-3</v>
      </c>
      <c r="FL70">
        <v>4.5399999999999998E-3</v>
      </c>
      <c r="FN70">
        <v>4.4000000000000003E-3</v>
      </c>
      <c r="FO70">
        <v>4.2399999999999998E-3</v>
      </c>
      <c r="FP70">
        <v>3.9500000000000004E-3</v>
      </c>
      <c r="FQ70">
        <v>4.7000000000000002E-3</v>
      </c>
      <c r="FR70">
        <v>8.0000000000000002E-3</v>
      </c>
      <c r="FS70">
        <v>4.9300000000000004E-3</v>
      </c>
      <c r="FT70">
        <v>4.9399999999999999E-3</v>
      </c>
      <c r="FU70">
        <v>5.0400000000000002E-3</v>
      </c>
      <c r="FV70">
        <v>5.3299999999999997E-3</v>
      </c>
      <c r="FW70">
        <v>5.0699999999999999E-3</v>
      </c>
      <c r="FX70">
        <v>5.2500000000000003E-3</v>
      </c>
      <c r="FY70">
        <v>5.5599999999999998E-3</v>
      </c>
      <c r="FZ70">
        <v>5.5300000000000002E-3</v>
      </c>
      <c r="GA70">
        <v>5.7999999999999996E-3</v>
      </c>
      <c r="GB70">
        <v>5.7600000000000004E-3</v>
      </c>
      <c r="GC70">
        <v>6.0400000000000002E-3</v>
      </c>
      <c r="GD70">
        <v>5.8599999999999998E-3</v>
      </c>
      <c r="GE70">
        <v>6.2300000000000003E-3</v>
      </c>
      <c r="GF70">
        <v>5.5700000000000003E-3</v>
      </c>
      <c r="GG70">
        <v>5.7099999999999998E-3</v>
      </c>
      <c r="GH70">
        <v>5.7400000000000003E-3</v>
      </c>
      <c r="GI70">
        <v>6.4799999999999996E-3</v>
      </c>
      <c r="GJ70">
        <v>6.6E-3</v>
      </c>
      <c r="GK70">
        <v>6.7499999999999999E-3</v>
      </c>
      <c r="GL70">
        <v>6.8900000000000003E-3</v>
      </c>
      <c r="GM70">
        <v>6.2199999999999998E-3</v>
      </c>
      <c r="GO70">
        <v>5.6299999999999996E-3</v>
      </c>
      <c r="GP70">
        <v>4.4999999999999997E-3</v>
      </c>
      <c r="GQ70">
        <v>4.8199999999999996E-3</v>
      </c>
      <c r="GR70">
        <v>4.7200000000000002E-3</v>
      </c>
      <c r="GS70">
        <v>4.5300000000000002E-3</v>
      </c>
      <c r="GT70">
        <v>4.9800000000000001E-3</v>
      </c>
      <c r="GU70">
        <v>7.3400000000000002E-3</v>
      </c>
      <c r="GV70">
        <v>7.2100000000000003E-3</v>
      </c>
      <c r="GW70">
        <v>6.6E-3</v>
      </c>
      <c r="GX70">
        <v>6.4000000000000003E-3</v>
      </c>
      <c r="GY70">
        <v>5.2900000000000004E-3</v>
      </c>
      <c r="GZ70">
        <v>5.1799999999999997E-3</v>
      </c>
      <c r="HA70">
        <v>4.7699999999999999E-3</v>
      </c>
      <c r="HB70">
        <v>4.5999999999999999E-3</v>
      </c>
      <c r="HD70">
        <v>3.9899999999999996E-3</v>
      </c>
      <c r="HE70">
        <v>6.96E-3</v>
      </c>
      <c r="HF70">
        <v>7.1799999999999998E-3</v>
      </c>
      <c r="HG70">
        <v>7.3600000000000002E-3</v>
      </c>
      <c r="HH70">
        <v>7.3600000000000002E-3</v>
      </c>
      <c r="HI70">
        <v>7.4000000000000003E-3</v>
      </c>
      <c r="HJ70">
        <v>4.3499999999999997E-3</v>
      </c>
      <c r="HK70">
        <v>4.3200000000000001E-3</v>
      </c>
      <c r="HL70">
        <v>4.9899999999999996E-3</v>
      </c>
      <c r="HM70">
        <v>4.8399999999999997E-3</v>
      </c>
      <c r="HN70">
        <v>5.5399999999999998E-3</v>
      </c>
      <c r="HO70">
        <v>4.4900000000000001E-3</v>
      </c>
      <c r="HP70">
        <v>4.64E-3</v>
      </c>
      <c r="HQ70">
        <v>4.7800000000000004E-3</v>
      </c>
      <c r="HR70">
        <v>4.4600000000000004E-3</v>
      </c>
      <c r="HS70">
        <v>8.1099999999999992E-3</v>
      </c>
      <c r="HT70">
        <v>4.2500000000000003E-3</v>
      </c>
      <c r="HU70">
        <v>4.6800000000000001E-3</v>
      </c>
      <c r="HV70">
        <v>5.4799999999999996E-3</v>
      </c>
      <c r="HW70">
        <v>4.7699999999999999E-3</v>
      </c>
      <c r="HX70">
        <v>4.0699999999999998E-3</v>
      </c>
      <c r="HY70">
        <v>4.6600000000000001E-3</v>
      </c>
      <c r="HZ70">
        <v>4.0800000000000003E-3</v>
      </c>
      <c r="IA70">
        <v>5.4900000000000001E-3</v>
      </c>
      <c r="IB70">
        <v>7.0899999999999999E-3</v>
      </c>
      <c r="IC70">
        <v>6.3899999999999998E-3</v>
      </c>
      <c r="ID70">
        <v>4.0600000000000002E-3</v>
      </c>
      <c r="IE70">
        <v>3.8600000000000001E-3</v>
      </c>
      <c r="IG70">
        <v>4.7200000000000002E-3</v>
      </c>
      <c r="IH70">
        <v>4.8900000000000002E-3</v>
      </c>
      <c r="II70">
        <v>3.7699999999999999E-3</v>
      </c>
      <c r="IJ70">
        <v>4.7000000000000002E-3</v>
      </c>
      <c r="IK70">
        <v>5.2900000000000004E-3</v>
      </c>
      <c r="IL70">
        <v>5.8399999999999997E-3</v>
      </c>
      <c r="IM70">
        <v>7.8100000000000001E-3</v>
      </c>
      <c r="IN70">
        <v>6.9699999999999996E-3</v>
      </c>
      <c r="IO70">
        <v>7.6800000000000002E-3</v>
      </c>
      <c r="IP70">
        <v>8.5199999999999998E-3</v>
      </c>
      <c r="IQ70">
        <v>8.9899999999999997E-3</v>
      </c>
      <c r="IR70">
        <v>9.7000000000000003E-3</v>
      </c>
      <c r="IS70">
        <v>5.0000000000000001E-3</v>
      </c>
      <c r="IT70">
        <v>3.14E-3</v>
      </c>
      <c r="IU70">
        <v>3.3800000000000002E-3</v>
      </c>
      <c r="IV70">
        <v>4.1900000000000001E-3</v>
      </c>
      <c r="IW70">
        <v>4.47E-3</v>
      </c>
      <c r="IX70">
        <v>4.45E-3</v>
      </c>
      <c r="IY70">
        <v>4.3299999999999996E-3</v>
      </c>
      <c r="IZ70">
        <v>3.9399999999999999E-3</v>
      </c>
      <c r="JA70">
        <v>4.3299999999999996E-3</v>
      </c>
      <c r="JC70">
        <v>4.9399999999999999E-3</v>
      </c>
      <c r="JD70">
        <v>5.0000000000000001E-3</v>
      </c>
      <c r="JF70">
        <v>6.94E-3</v>
      </c>
      <c r="JG70">
        <v>9.0799999999999995E-3</v>
      </c>
      <c r="JH70">
        <v>8.0300000000000007E-3</v>
      </c>
      <c r="JI70">
        <v>4.7200000000000002E-3</v>
      </c>
      <c r="JK70">
        <v>7.2500000000000004E-3</v>
      </c>
      <c r="JL70">
        <v>6.62E-3</v>
      </c>
      <c r="JM70">
        <v>5.13E-3</v>
      </c>
      <c r="JN70">
        <v>5.2500000000000003E-3</v>
      </c>
      <c r="JP70">
        <v>6.8999999999999999E-3</v>
      </c>
      <c r="JQ70">
        <v>5.8300000000000001E-3</v>
      </c>
      <c r="JR70">
        <v>5.1700000000000001E-3</v>
      </c>
      <c r="JT70">
        <v>5.7200000000000003E-3</v>
      </c>
      <c r="JU70">
        <v>7.4900000000000001E-3</v>
      </c>
      <c r="JV70">
        <v>8.1799999999999998E-3</v>
      </c>
      <c r="JW70">
        <v>4.8399999999999997E-3</v>
      </c>
      <c r="JX70">
        <v>7.0699999999999999E-3</v>
      </c>
      <c r="JY70">
        <v>6.0800000000000003E-3</v>
      </c>
      <c r="JZ70">
        <v>5.3699999999999998E-3</v>
      </c>
      <c r="KA70">
        <v>5.1700000000000001E-3</v>
      </c>
      <c r="KB70">
        <v>5.13E-3</v>
      </c>
      <c r="KC70">
        <v>5.2500000000000003E-3</v>
      </c>
      <c r="KD70">
        <v>5.4999999999999997E-3</v>
      </c>
      <c r="KE70">
        <v>8.5800000000000008E-3</v>
      </c>
      <c r="KF70">
        <v>9.75E-3</v>
      </c>
      <c r="KG70">
        <v>1.017E-2</v>
      </c>
      <c r="KH70">
        <v>1.0359999999999999E-2</v>
      </c>
      <c r="KI70">
        <v>5.7499999999999999E-3</v>
      </c>
      <c r="KJ70">
        <v>5.8500000000000002E-3</v>
      </c>
      <c r="KK70">
        <v>5.77E-3</v>
      </c>
      <c r="KL70">
        <v>6.1199999999999996E-3</v>
      </c>
      <c r="KM70">
        <v>6.3299999999999997E-3</v>
      </c>
      <c r="KN70">
        <v>6.6499999999999997E-3</v>
      </c>
      <c r="KO70">
        <v>6.43E-3</v>
      </c>
      <c r="KP70">
        <v>5.79E-3</v>
      </c>
      <c r="KQ70">
        <v>5.94E-3</v>
      </c>
      <c r="KR70">
        <v>5.8900000000000003E-3</v>
      </c>
      <c r="KS70">
        <v>6.3099999999999996E-3</v>
      </c>
      <c r="KT70">
        <v>6.5799999999999999E-3</v>
      </c>
      <c r="KU70">
        <v>6.7400000000000003E-3</v>
      </c>
      <c r="KV70">
        <v>6.0899999999999999E-3</v>
      </c>
      <c r="KW70">
        <v>5.5199999999999997E-3</v>
      </c>
      <c r="KX70">
        <v>9.6299999999999997E-3</v>
      </c>
      <c r="KY70">
        <v>7.43E-3</v>
      </c>
      <c r="KZ70">
        <v>8.3300000000000006E-3</v>
      </c>
      <c r="LA70">
        <v>4.8799999999999998E-3</v>
      </c>
      <c r="LB70">
        <v>4.8300000000000001E-3</v>
      </c>
      <c r="LC70">
        <v>4.8599999999999997E-3</v>
      </c>
      <c r="LD70">
        <v>4.8599999999999997E-3</v>
      </c>
      <c r="LE70">
        <v>7.5700000000000003E-3</v>
      </c>
      <c r="LF70">
        <v>6.6499999999999997E-3</v>
      </c>
      <c r="LG70">
        <v>4.9100000000000003E-3</v>
      </c>
      <c r="LI70">
        <v>7.62E-3</v>
      </c>
      <c r="LJ70">
        <v>7.9600000000000001E-3</v>
      </c>
      <c r="LK70">
        <v>8.1099999999999992E-3</v>
      </c>
      <c r="LL70">
        <v>4.8999999999999998E-3</v>
      </c>
      <c r="LM70">
        <v>3.7200000000000002E-3</v>
      </c>
      <c r="LN70">
        <v>4.0000000000000001E-3</v>
      </c>
      <c r="LO70">
        <v>4.2399999999999998E-3</v>
      </c>
      <c r="LP70">
        <v>3.8800000000000002E-3</v>
      </c>
      <c r="LR70">
        <v>7.3800000000000003E-3</v>
      </c>
      <c r="LS70">
        <v>8.2199999999999999E-3</v>
      </c>
      <c r="LT70">
        <v>4.3099999999999996E-3</v>
      </c>
      <c r="LU70">
        <v>4.6600000000000001E-3</v>
      </c>
      <c r="LV70">
        <v>4.7600000000000003E-3</v>
      </c>
      <c r="LW70">
        <v>4.9899999999999996E-3</v>
      </c>
      <c r="LX70">
        <v>5.5399999999999998E-3</v>
      </c>
      <c r="LY70">
        <v>5.6600000000000001E-3</v>
      </c>
      <c r="LZ70">
        <v>5.7499999999999999E-3</v>
      </c>
      <c r="MA70">
        <v>6.2500000000000003E-3</v>
      </c>
      <c r="MB70">
        <v>4.8199999999999996E-3</v>
      </c>
      <c r="MC70">
        <v>7.2300000000000003E-3</v>
      </c>
      <c r="MD70">
        <v>8.1399999999999997E-3</v>
      </c>
      <c r="ME70">
        <v>9.9699999999999997E-3</v>
      </c>
      <c r="MF70">
        <v>1.222E-2</v>
      </c>
      <c r="MG70">
        <v>1.3140000000000001E-2</v>
      </c>
      <c r="MH70">
        <v>4.4099999999999999E-3</v>
      </c>
      <c r="MI70">
        <v>4.0699999999999998E-3</v>
      </c>
      <c r="MJ70">
        <v>4.2900000000000004E-3</v>
      </c>
      <c r="MK70">
        <v>4.13E-3</v>
      </c>
      <c r="ML70">
        <v>4.7099999999999998E-3</v>
      </c>
      <c r="MM70">
        <v>3.82E-3</v>
      </c>
      <c r="MN70">
        <v>4.5399999999999998E-3</v>
      </c>
      <c r="MO70">
        <v>4.7800000000000004E-3</v>
      </c>
      <c r="MP70">
        <v>6.11E-3</v>
      </c>
      <c r="MQ70">
        <v>3.5699999999999998E-3</v>
      </c>
      <c r="MR70">
        <v>4.7800000000000004E-3</v>
      </c>
      <c r="MT70">
        <v>6.2300000000000003E-3</v>
      </c>
      <c r="MU70">
        <v>4.9199999999999999E-3</v>
      </c>
      <c r="MV70">
        <v>5.0499999999999998E-3</v>
      </c>
      <c r="MW70">
        <v>5.1399999999999996E-3</v>
      </c>
      <c r="MX70">
        <v>5.1200000000000004E-3</v>
      </c>
      <c r="MY70">
        <v>5.45E-3</v>
      </c>
      <c r="MZ70">
        <v>5.9699999999999996E-3</v>
      </c>
      <c r="NA70">
        <v>5.2900000000000004E-3</v>
      </c>
      <c r="NB70">
        <v>4.9199999999999999E-3</v>
      </c>
      <c r="NC70">
        <v>3.13E-3</v>
      </c>
      <c r="ND70">
        <v>1.107E-2</v>
      </c>
      <c r="NE70">
        <v>5.2399999999999999E-3</v>
      </c>
      <c r="NF70">
        <v>7.11E-3</v>
      </c>
      <c r="NG70">
        <v>4.0800000000000003E-3</v>
      </c>
      <c r="NH70">
        <v>3.62E-3</v>
      </c>
      <c r="NI70">
        <v>3.8E-3</v>
      </c>
      <c r="NJ70">
        <v>4.1000000000000003E-3</v>
      </c>
      <c r="NK70">
        <v>3.8400000000000001E-3</v>
      </c>
      <c r="NL70">
        <v>3.98E-3</v>
      </c>
      <c r="NM70">
        <v>4.15E-3</v>
      </c>
      <c r="NN70">
        <v>4.2700000000000004E-3</v>
      </c>
      <c r="NO70">
        <v>4.4099999999999999E-3</v>
      </c>
      <c r="NP70">
        <v>5.0000000000000001E-3</v>
      </c>
      <c r="NQ70">
        <v>3.8700000000000002E-3</v>
      </c>
      <c r="NR70">
        <v>4.0800000000000003E-3</v>
      </c>
      <c r="NS70">
        <v>4.2199999999999998E-3</v>
      </c>
      <c r="NT70">
        <v>4.4600000000000004E-3</v>
      </c>
      <c r="NU70">
        <v>4.0099999999999997E-3</v>
      </c>
      <c r="NV70">
        <v>4.1399999999999996E-3</v>
      </c>
      <c r="NW70">
        <v>4.3400000000000001E-3</v>
      </c>
      <c r="NX70">
        <v>4.0699999999999998E-3</v>
      </c>
      <c r="NY70">
        <v>4.3200000000000001E-3</v>
      </c>
      <c r="NZ70">
        <v>4.3099999999999996E-3</v>
      </c>
      <c r="OA70">
        <v>4.47E-3</v>
      </c>
      <c r="OB70">
        <v>4.8500000000000001E-3</v>
      </c>
      <c r="OD70">
        <v>4.13E-3</v>
      </c>
      <c r="OE70">
        <v>4.13E-3</v>
      </c>
      <c r="OF70">
        <v>7.0600000000000003E-3</v>
      </c>
      <c r="OG70">
        <v>4.3699999999999998E-3</v>
      </c>
      <c r="OH70">
        <v>4.4900000000000001E-3</v>
      </c>
      <c r="OI70">
        <v>4.5500000000000002E-3</v>
      </c>
      <c r="OJ70">
        <v>4.7200000000000002E-3</v>
      </c>
      <c r="OK70">
        <v>4.7800000000000004E-3</v>
      </c>
      <c r="OL70">
        <v>4.8500000000000001E-3</v>
      </c>
      <c r="ON70">
        <v>5.6100000000000004E-3</v>
      </c>
      <c r="OO70">
        <v>4.45E-3</v>
      </c>
      <c r="OP70">
        <v>4.6600000000000001E-3</v>
      </c>
      <c r="OQ70">
        <v>4.7699999999999999E-3</v>
      </c>
      <c r="OR70">
        <v>5.1599999999999997E-3</v>
      </c>
      <c r="OS70">
        <v>5.5599999999999998E-3</v>
      </c>
      <c r="OT70">
        <v>5.47E-3</v>
      </c>
      <c r="OU70">
        <v>5.6699999999999997E-3</v>
      </c>
      <c r="OV70">
        <v>5.3400000000000001E-3</v>
      </c>
      <c r="OW70">
        <v>4.96E-3</v>
      </c>
      <c r="OX70">
        <v>5.4200000000000003E-3</v>
      </c>
      <c r="OY70">
        <v>5.7099999999999998E-3</v>
      </c>
      <c r="OZ70">
        <v>5.3899999999999998E-3</v>
      </c>
      <c r="PA70">
        <v>7.2899999999999996E-3</v>
      </c>
      <c r="PB70">
        <v>7.6E-3</v>
      </c>
      <c r="PC70">
        <v>6.6499999999999997E-3</v>
      </c>
      <c r="PD70">
        <v>5.9699999999999996E-3</v>
      </c>
      <c r="PE70">
        <v>5.7099999999999998E-3</v>
      </c>
      <c r="PF70">
        <v>5.7800000000000004E-3</v>
      </c>
      <c r="PG70">
        <v>5.1700000000000001E-3</v>
      </c>
      <c r="PH70">
        <v>5.3099999999999996E-3</v>
      </c>
      <c r="PI70">
        <v>6.2300000000000003E-3</v>
      </c>
      <c r="PK70">
        <v>5.45E-3</v>
      </c>
      <c r="PL70">
        <v>5.8500000000000002E-3</v>
      </c>
      <c r="PM70">
        <v>4.9800000000000001E-3</v>
      </c>
      <c r="PN70">
        <v>4.7099999999999998E-3</v>
      </c>
      <c r="PO70">
        <v>3.8E-3</v>
      </c>
      <c r="PQ70">
        <v>5.1000000000000004E-3</v>
      </c>
      <c r="PR70">
        <v>4.6299999999999996E-3</v>
      </c>
      <c r="PS70">
        <v>4.0099999999999997E-3</v>
      </c>
      <c r="PT70">
        <v>5.7000000000000002E-3</v>
      </c>
      <c r="PU70">
        <v>4.8999999999999998E-3</v>
      </c>
      <c r="PV70">
        <v>2.9399999999999999E-3</v>
      </c>
      <c r="PW70">
        <v>2.8999999999999998E-3</v>
      </c>
      <c r="PX70">
        <v>2.8800000000000002E-3</v>
      </c>
      <c r="PY70">
        <v>2.8600000000000001E-3</v>
      </c>
      <c r="PZ70">
        <v>2.9399999999999999E-3</v>
      </c>
      <c r="QA70">
        <v>4.13E-3</v>
      </c>
      <c r="QB70">
        <v>4.4099999999999999E-3</v>
      </c>
      <c r="QD70">
        <v>5.5799999999999999E-3</v>
      </c>
      <c r="QE70">
        <v>4.4299999999999999E-3</v>
      </c>
      <c r="QF70">
        <v>4.8900000000000002E-3</v>
      </c>
      <c r="QG70">
        <v>6.5199999999999998E-3</v>
      </c>
      <c r="QH70">
        <v>4.7600000000000003E-3</v>
      </c>
      <c r="QI70">
        <v>4.9399999999999999E-3</v>
      </c>
      <c r="QJ70">
        <v>4.6600000000000001E-3</v>
      </c>
      <c r="QK70">
        <v>4.7999999999999996E-3</v>
      </c>
      <c r="QL70">
        <v>4.7000000000000002E-3</v>
      </c>
      <c r="QM70">
        <v>5.1700000000000001E-3</v>
      </c>
      <c r="QN70">
        <v>8.1300000000000001E-3</v>
      </c>
      <c r="QO70">
        <v>6.4400000000000004E-3</v>
      </c>
      <c r="QP70">
        <v>7.1300000000000001E-3</v>
      </c>
      <c r="QQ70">
        <v>7.1300000000000001E-3</v>
      </c>
      <c r="QR70">
        <v>7.1399999999999996E-3</v>
      </c>
      <c r="QS70">
        <v>7.1399999999999996E-3</v>
      </c>
      <c r="QT70">
        <v>5.3400000000000001E-3</v>
      </c>
      <c r="QU70">
        <v>5.3099999999999996E-3</v>
      </c>
      <c r="QW70">
        <v>5.6299999999999996E-3</v>
      </c>
      <c r="QX70">
        <v>4.96E-3</v>
      </c>
      <c r="QY70">
        <v>4.8799999999999998E-3</v>
      </c>
      <c r="QZ70">
        <v>5.0899999999999999E-3</v>
      </c>
      <c r="RA70">
        <v>4.8300000000000001E-3</v>
      </c>
      <c r="RB70">
        <v>5.2700000000000004E-3</v>
      </c>
      <c r="RC70">
        <v>4.81E-3</v>
      </c>
      <c r="RD70">
        <v>5.3600000000000002E-3</v>
      </c>
      <c r="RE70">
        <v>4.7000000000000002E-3</v>
      </c>
      <c r="RF70">
        <v>5.6600000000000001E-3</v>
      </c>
      <c r="RG70">
        <v>4.3600000000000002E-3</v>
      </c>
      <c r="RH70">
        <v>4.9899999999999996E-3</v>
      </c>
      <c r="RI70">
        <v>6.5799999999999999E-3</v>
      </c>
      <c r="RJ70">
        <v>4.9899999999999996E-3</v>
      </c>
      <c r="RK70">
        <v>5.0699999999999999E-3</v>
      </c>
      <c r="RL70">
        <v>4.7800000000000004E-3</v>
      </c>
      <c r="RM70">
        <v>4.0499999999999998E-3</v>
      </c>
      <c r="RN70">
        <v>4.13E-3</v>
      </c>
      <c r="RO70">
        <v>4.13E-3</v>
      </c>
      <c r="RP70">
        <v>4.0099999999999997E-3</v>
      </c>
      <c r="RQ70">
        <v>4.4999999999999997E-3</v>
      </c>
      <c r="RR70">
        <v>4.2199999999999998E-3</v>
      </c>
      <c r="RS70">
        <v>4.3800000000000002E-3</v>
      </c>
      <c r="RT70">
        <v>3.62E-3</v>
      </c>
      <c r="RU70">
        <v>5.0099999999999997E-3</v>
      </c>
      <c r="RV70">
        <v>4.5199999999999997E-3</v>
      </c>
      <c r="RW70">
        <v>4.9399999999999999E-3</v>
      </c>
      <c r="RX70">
        <v>4.6699999999999997E-3</v>
      </c>
      <c r="RY70">
        <v>4.9800000000000001E-3</v>
      </c>
      <c r="RZ70">
        <v>3.5899999999999999E-3</v>
      </c>
      <c r="SA70">
        <v>4.1099999999999999E-3</v>
      </c>
      <c r="SB70">
        <v>3.8400000000000001E-3</v>
      </c>
      <c r="SC70">
        <v>5.4000000000000003E-3</v>
      </c>
      <c r="SD70">
        <v>5.8900000000000003E-3</v>
      </c>
      <c r="SE70">
        <v>5.4099999999999999E-3</v>
      </c>
      <c r="SF70">
        <v>6.0299999999999998E-3</v>
      </c>
      <c r="SG70">
        <v>7.45E-3</v>
      </c>
      <c r="SH70">
        <v>9.7000000000000003E-3</v>
      </c>
      <c r="SI70">
        <v>5.3099999999999996E-3</v>
      </c>
      <c r="SJ70">
        <v>4.4999999999999997E-3</v>
      </c>
      <c r="SK70">
        <v>3.9199999999999999E-3</v>
      </c>
      <c r="SL70">
        <v>4.3499999999999997E-3</v>
      </c>
      <c r="SM70">
        <v>3.6099999999999999E-3</v>
      </c>
      <c r="SN70">
        <v>4.2300000000000003E-3</v>
      </c>
      <c r="SO70">
        <v>4.1700000000000001E-3</v>
      </c>
      <c r="SP70">
        <v>5.5999999999999999E-3</v>
      </c>
      <c r="SQ70">
        <v>4.5500000000000002E-3</v>
      </c>
      <c r="SR70">
        <v>5.2900000000000004E-3</v>
      </c>
      <c r="SS70">
        <v>4.79E-3</v>
      </c>
      <c r="ST70">
        <v>4.6800000000000001E-3</v>
      </c>
      <c r="SU70">
        <v>5.0099999999999997E-3</v>
      </c>
      <c r="SW70">
        <v>5.1000000000000004E-3</v>
      </c>
      <c r="SX70">
        <v>4.6699999999999997E-3</v>
      </c>
      <c r="SY70">
        <v>4.6100000000000004E-3</v>
      </c>
      <c r="SZ70">
        <v>5.1399999999999996E-3</v>
      </c>
      <c r="TA70">
        <v>4.8399999999999997E-3</v>
      </c>
      <c r="TB70">
        <v>5.8199999999999997E-3</v>
      </c>
      <c r="TC70">
        <v>4.8799999999999998E-3</v>
      </c>
      <c r="TD70">
        <v>4.3899999999999998E-3</v>
      </c>
      <c r="TE70">
        <v>6.1900000000000002E-3</v>
      </c>
      <c r="TF70">
        <v>4.8599999999999997E-3</v>
      </c>
      <c r="TG70">
        <v>5.7400000000000003E-3</v>
      </c>
      <c r="TH70">
        <v>6.1700000000000001E-3</v>
      </c>
      <c r="TI70">
        <v>5.1599999999999997E-3</v>
      </c>
      <c r="TJ70">
        <v>6.2899999999999996E-3</v>
      </c>
      <c r="TK70">
        <v>4.1200000000000004E-3</v>
      </c>
      <c r="TL70">
        <v>4.0499999999999998E-3</v>
      </c>
      <c r="TM70">
        <v>4.0299999999999997E-3</v>
      </c>
      <c r="TN70">
        <v>4.5199999999999997E-3</v>
      </c>
      <c r="TO70">
        <v>5.3099999999999996E-3</v>
      </c>
      <c r="TP70">
        <v>4.4799999999999996E-3</v>
      </c>
      <c r="TQ70">
        <v>5.1700000000000001E-3</v>
      </c>
      <c r="TR70">
        <v>5.47E-3</v>
      </c>
      <c r="TT70">
        <v>5.0299999999999997E-3</v>
      </c>
      <c r="TU70">
        <v>4.81E-3</v>
      </c>
      <c r="TV70">
        <v>4.0499999999999998E-3</v>
      </c>
      <c r="TW70">
        <v>4.6100000000000004E-3</v>
      </c>
      <c r="TX70">
        <v>5.0299999999999997E-3</v>
      </c>
      <c r="TY70">
        <v>5.1000000000000004E-3</v>
      </c>
      <c r="TZ70">
        <v>5.13E-3</v>
      </c>
      <c r="UA70">
        <v>5.1799999999999997E-3</v>
      </c>
      <c r="UB70">
        <v>5.0099999999999997E-3</v>
      </c>
      <c r="UC70">
        <v>4.6499999999999996E-3</v>
      </c>
      <c r="UD70">
        <v>4.7600000000000003E-3</v>
      </c>
      <c r="UE70">
        <v>4.96E-3</v>
      </c>
      <c r="UF70">
        <v>3.7200000000000002E-3</v>
      </c>
      <c r="UG70">
        <v>4.2900000000000004E-3</v>
      </c>
      <c r="UH70">
        <v>5.1000000000000004E-3</v>
      </c>
      <c r="UI70">
        <v>4.0699999999999998E-3</v>
      </c>
      <c r="UJ70">
        <v>5.0499999999999998E-3</v>
      </c>
      <c r="UK70">
        <v>5.1399999999999996E-3</v>
      </c>
      <c r="UL70">
        <v>5.11E-3</v>
      </c>
      <c r="UM70">
        <v>5.5599999999999998E-3</v>
      </c>
      <c r="UN70">
        <v>4.96E-3</v>
      </c>
      <c r="UO70">
        <v>4.8199999999999996E-3</v>
      </c>
      <c r="UP70">
        <v>5.9500000000000004E-3</v>
      </c>
      <c r="UQ70">
        <v>4.7800000000000004E-3</v>
      </c>
      <c r="UR70">
        <v>4.79E-3</v>
      </c>
      <c r="US70">
        <v>5.0699999999999999E-3</v>
      </c>
      <c r="UT70">
        <v>4.7200000000000002E-3</v>
      </c>
      <c r="UU70">
        <v>4.7800000000000004E-3</v>
      </c>
      <c r="UV70">
        <v>5.0600000000000003E-3</v>
      </c>
      <c r="UW70">
        <v>5.0699999999999999E-3</v>
      </c>
      <c r="UX70">
        <v>3.9199999999999999E-3</v>
      </c>
      <c r="UY70">
        <v>4.3499999999999997E-3</v>
      </c>
      <c r="UZ70">
        <v>5.0800000000000003E-3</v>
      </c>
      <c r="VA70">
        <v>6.0299999999999998E-3</v>
      </c>
      <c r="VB70">
        <v>5.3600000000000002E-3</v>
      </c>
      <c r="VC70">
        <v>5.0400000000000002E-3</v>
      </c>
      <c r="VD70">
        <v>3.98E-3</v>
      </c>
      <c r="VE70">
        <v>4.4099999999999999E-3</v>
      </c>
      <c r="VF70">
        <v>4.6100000000000004E-3</v>
      </c>
      <c r="VG70">
        <v>7.45E-3</v>
      </c>
      <c r="VH70">
        <v>3.9899999999999996E-3</v>
      </c>
      <c r="VI70">
        <v>4.64E-3</v>
      </c>
    </row>
    <row r="71" spans="1:581" x14ac:dyDescent="0.25">
      <c r="A71">
        <v>2800000</v>
      </c>
      <c r="B71">
        <v>4.9899999999999996E-3</v>
      </c>
      <c r="C71">
        <v>5.1000000000000004E-3</v>
      </c>
      <c r="D71">
        <v>5.2900000000000004E-3</v>
      </c>
      <c r="E71">
        <v>5.7299999999999999E-3</v>
      </c>
      <c r="F71">
        <v>6.1799999999999997E-3</v>
      </c>
      <c r="G71">
        <v>6.2599999999999999E-3</v>
      </c>
      <c r="H71">
        <v>5.0400000000000002E-3</v>
      </c>
      <c r="I71">
        <v>5.0299999999999997E-3</v>
      </c>
      <c r="J71">
        <v>5.1599999999999997E-3</v>
      </c>
      <c r="K71">
        <v>4.9899999999999996E-3</v>
      </c>
      <c r="L71">
        <v>4.96E-3</v>
      </c>
      <c r="M71">
        <v>4.9500000000000004E-3</v>
      </c>
      <c r="O71">
        <v>4.2300000000000003E-3</v>
      </c>
      <c r="P71">
        <v>4.1599999999999996E-3</v>
      </c>
      <c r="Q71">
        <v>4.2199999999999998E-3</v>
      </c>
      <c r="R71">
        <v>4.1599999999999996E-3</v>
      </c>
      <c r="S71">
        <v>4.9399999999999999E-3</v>
      </c>
      <c r="T71">
        <v>5.0600000000000003E-3</v>
      </c>
      <c r="U71">
        <v>5.7200000000000003E-3</v>
      </c>
      <c r="V71">
        <v>4.9699999999999996E-3</v>
      </c>
      <c r="W71">
        <v>5.5100000000000001E-3</v>
      </c>
      <c r="X71">
        <v>4.9300000000000004E-3</v>
      </c>
      <c r="Y71">
        <v>5.4099999999999999E-3</v>
      </c>
      <c r="Z71">
        <v>4.8199999999999996E-3</v>
      </c>
      <c r="AA71">
        <v>3.8800000000000002E-3</v>
      </c>
      <c r="AB71">
        <v>6.6800000000000002E-3</v>
      </c>
      <c r="AC71">
        <v>6.8500000000000002E-3</v>
      </c>
      <c r="AD71">
        <v>4.7699999999999999E-3</v>
      </c>
      <c r="AE71">
        <v>5.2399999999999999E-3</v>
      </c>
      <c r="AF71">
        <v>5.4200000000000003E-3</v>
      </c>
      <c r="AG71">
        <v>4.2100000000000002E-3</v>
      </c>
      <c r="AH71">
        <v>3.8300000000000001E-3</v>
      </c>
      <c r="AI71">
        <v>3.64E-3</v>
      </c>
      <c r="AJ71">
        <v>4.2900000000000004E-3</v>
      </c>
      <c r="AK71">
        <v>5.7200000000000003E-3</v>
      </c>
      <c r="AL71">
        <v>6.5900000000000004E-3</v>
      </c>
      <c r="AM71">
        <v>4.1700000000000001E-3</v>
      </c>
      <c r="AN71">
        <v>4.2300000000000003E-3</v>
      </c>
      <c r="AO71">
        <v>8.8400000000000006E-3</v>
      </c>
      <c r="AP71">
        <v>4.3699999999999998E-3</v>
      </c>
      <c r="AQ71">
        <v>4.0200000000000001E-3</v>
      </c>
      <c r="AR71">
        <v>4.3800000000000002E-3</v>
      </c>
      <c r="AS71">
        <v>4.3200000000000001E-3</v>
      </c>
      <c r="AT71">
        <v>3.3700000000000002E-3</v>
      </c>
      <c r="AU71">
        <v>3.8E-3</v>
      </c>
      <c r="AV71">
        <v>3.79E-3</v>
      </c>
      <c r="AW71">
        <v>4.0099999999999997E-3</v>
      </c>
      <c r="AX71">
        <v>4.0800000000000003E-3</v>
      </c>
      <c r="AY71">
        <v>5.3600000000000002E-3</v>
      </c>
      <c r="AZ71">
        <v>5.47E-3</v>
      </c>
      <c r="BA71">
        <v>4.0000000000000001E-3</v>
      </c>
      <c r="BB71">
        <v>5.4799999999999996E-3</v>
      </c>
      <c r="BC71">
        <v>5.7800000000000004E-3</v>
      </c>
      <c r="BD71">
        <v>5.8599999999999998E-3</v>
      </c>
      <c r="BE71">
        <v>6.8199999999999997E-3</v>
      </c>
      <c r="BF71">
        <v>8.2799999999999992E-3</v>
      </c>
      <c r="BG71">
        <v>5.5599999999999998E-3</v>
      </c>
      <c r="BH71">
        <v>4.0800000000000003E-3</v>
      </c>
      <c r="BI71">
        <v>8.0499999999999999E-3</v>
      </c>
      <c r="BJ71">
        <v>5.6899999999999997E-3</v>
      </c>
      <c r="BK71">
        <v>5.94E-3</v>
      </c>
      <c r="BL71">
        <v>6.0099999999999997E-3</v>
      </c>
      <c r="BM71">
        <v>5.77E-3</v>
      </c>
      <c r="BN71">
        <v>6.9199999999999999E-3</v>
      </c>
      <c r="BO71">
        <v>6.7499999999999999E-3</v>
      </c>
      <c r="BP71">
        <v>6.4400000000000004E-3</v>
      </c>
      <c r="BQ71">
        <v>5.7400000000000003E-3</v>
      </c>
      <c r="BR71">
        <v>3.14E-3</v>
      </c>
      <c r="BT71">
        <v>5.5799999999999999E-3</v>
      </c>
      <c r="BU71">
        <v>7.5900000000000004E-3</v>
      </c>
      <c r="BV71">
        <v>7.5399999999999998E-3</v>
      </c>
      <c r="BW71">
        <v>7.2899999999999996E-3</v>
      </c>
      <c r="BX71">
        <v>7.1199999999999996E-3</v>
      </c>
      <c r="BY71">
        <v>7.1999999999999998E-3</v>
      </c>
      <c r="BZ71">
        <v>6.28E-3</v>
      </c>
      <c r="CA71">
        <v>6.45E-3</v>
      </c>
      <c r="CB71">
        <v>5.5900000000000004E-3</v>
      </c>
      <c r="CC71">
        <v>5.8500000000000002E-3</v>
      </c>
      <c r="CD71">
        <v>4.62E-3</v>
      </c>
      <c r="CE71">
        <v>5.0899999999999999E-3</v>
      </c>
      <c r="CF71">
        <v>4.9500000000000004E-3</v>
      </c>
      <c r="CG71">
        <v>4.8500000000000001E-3</v>
      </c>
      <c r="CH71">
        <v>4.7099999999999998E-3</v>
      </c>
      <c r="CI71">
        <v>4.64E-3</v>
      </c>
      <c r="CJ71">
        <v>4.4999999999999997E-3</v>
      </c>
      <c r="CK71">
        <v>4.7499999999999999E-3</v>
      </c>
      <c r="CL71">
        <v>5.11E-3</v>
      </c>
      <c r="CM71">
        <v>5.0000000000000001E-3</v>
      </c>
      <c r="CN71">
        <v>5.0899999999999999E-3</v>
      </c>
      <c r="CO71">
        <v>5.0000000000000001E-3</v>
      </c>
      <c r="CP71">
        <v>5.1900000000000002E-3</v>
      </c>
      <c r="CQ71">
        <v>5.3E-3</v>
      </c>
      <c r="CS71">
        <v>5.3200000000000001E-3</v>
      </c>
      <c r="CT71">
        <v>5.6499999999999996E-3</v>
      </c>
      <c r="CU71">
        <v>4.7299999999999998E-3</v>
      </c>
      <c r="CV71">
        <v>4.8999999999999998E-3</v>
      </c>
      <c r="CW71">
        <v>4.8799999999999998E-3</v>
      </c>
      <c r="CX71">
        <v>5.1799999999999997E-3</v>
      </c>
      <c r="CY71">
        <v>4.62E-3</v>
      </c>
      <c r="CZ71">
        <v>4.7999999999999996E-3</v>
      </c>
      <c r="DA71">
        <v>4.6600000000000001E-3</v>
      </c>
      <c r="DB71">
        <v>4.5999999999999999E-3</v>
      </c>
      <c r="DC71">
        <v>4.5900000000000003E-3</v>
      </c>
      <c r="DD71">
        <v>4.5799999999999999E-3</v>
      </c>
      <c r="DE71">
        <v>4.6100000000000004E-3</v>
      </c>
      <c r="DF71">
        <v>4.79E-3</v>
      </c>
      <c r="DG71">
        <v>3.5699999999999998E-3</v>
      </c>
      <c r="DH71">
        <v>4.5599999999999998E-3</v>
      </c>
      <c r="DI71">
        <v>4.6800000000000001E-3</v>
      </c>
      <c r="DJ71">
        <v>4.7600000000000003E-3</v>
      </c>
      <c r="DK71">
        <v>4.9399999999999999E-3</v>
      </c>
      <c r="DL71">
        <v>6.9300000000000004E-3</v>
      </c>
      <c r="DM71">
        <v>7.0200000000000002E-3</v>
      </c>
      <c r="DN71">
        <v>6.8300000000000001E-3</v>
      </c>
      <c r="DO71">
        <v>7.1599999999999997E-3</v>
      </c>
      <c r="DP71">
        <v>7.2899999999999996E-3</v>
      </c>
      <c r="DR71">
        <v>7.3899999999999999E-3</v>
      </c>
      <c r="DS71">
        <v>6.3699999999999998E-3</v>
      </c>
      <c r="DU71">
        <v>7.4000000000000003E-3</v>
      </c>
      <c r="DV71">
        <v>7.5599999999999999E-3</v>
      </c>
      <c r="DW71">
        <v>7.5500000000000003E-3</v>
      </c>
      <c r="DX71">
        <v>7.6099999999999996E-3</v>
      </c>
      <c r="DY71">
        <v>7.92E-3</v>
      </c>
      <c r="DZ71">
        <v>7.6699999999999997E-3</v>
      </c>
      <c r="EA71">
        <v>4.3099999999999996E-3</v>
      </c>
      <c r="EB71">
        <v>4.3400000000000001E-3</v>
      </c>
      <c r="EC71">
        <v>4.1700000000000001E-3</v>
      </c>
      <c r="EF71">
        <v>8.9800000000000001E-3</v>
      </c>
      <c r="EI71">
        <v>5.3899999999999998E-3</v>
      </c>
      <c r="EJ71">
        <v>5.13E-3</v>
      </c>
      <c r="EK71">
        <v>4.8999999999999998E-3</v>
      </c>
      <c r="EL71">
        <v>4.9800000000000001E-3</v>
      </c>
      <c r="EM71">
        <v>5.2500000000000003E-3</v>
      </c>
      <c r="EN71">
        <v>5.3400000000000001E-3</v>
      </c>
      <c r="EO71">
        <v>5.3E-3</v>
      </c>
      <c r="EP71">
        <v>5.6899999999999997E-3</v>
      </c>
      <c r="ER71">
        <v>3.8899999999999998E-3</v>
      </c>
      <c r="ES71">
        <v>3.9899999999999996E-3</v>
      </c>
      <c r="ET71">
        <v>3.7399999999999998E-3</v>
      </c>
      <c r="EU71">
        <v>8.0700000000000008E-3</v>
      </c>
      <c r="EV71">
        <v>7.4900000000000001E-3</v>
      </c>
      <c r="EW71">
        <v>7.1700000000000002E-3</v>
      </c>
      <c r="EX71">
        <v>7.1700000000000002E-3</v>
      </c>
      <c r="EY71">
        <v>6.7600000000000004E-3</v>
      </c>
      <c r="EZ71">
        <v>6.5599999999999999E-3</v>
      </c>
      <c r="FA71">
        <v>4.5599999999999998E-3</v>
      </c>
      <c r="FB71">
        <v>5.0400000000000002E-3</v>
      </c>
      <c r="FC71">
        <v>4.2700000000000004E-3</v>
      </c>
      <c r="FD71">
        <v>4.2900000000000004E-3</v>
      </c>
      <c r="FE71">
        <v>4.9399999999999999E-3</v>
      </c>
      <c r="FF71">
        <v>4.1900000000000001E-3</v>
      </c>
      <c r="FG71">
        <v>7.3400000000000002E-3</v>
      </c>
      <c r="FH71">
        <v>7.3099999999999997E-3</v>
      </c>
      <c r="FI71">
        <v>7.2899999999999996E-3</v>
      </c>
      <c r="FJ71">
        <v>7.4099999999999999E-3</v>
      </c>
      <c r="FK71">
        <v>6.4700000000000001E-3</v>
      </c>
      <c r="FL71">
        <v>4.5399999999999998E-3</v>
      </c>
      <c r="FN71">
        <v>4.3600000000000002E-3</v>
      </c>
      <c r="FO71">
        <v>4.1999999999999997E-3</v>
      </c>
      <c r="FP71">
        <v>3.9300000000000003E-3</v>
      </c>
      <c r="FQ71">
        <v>4.6299999999999996E-3</v>
      </c>
      <c r="FR71">
        <v>7.9100000000000004E-3</v>
      </c>
      <c r="FS71">
        <v>4.8599999999999997E-3</v>
      </c>
      <c r="FT71">
        <v>4.8799999999999998E-3</v>
      </c>
      <c r="FU71">
        <v>4.9699999999999996E-3</v>
      </c>
      <c r="FV71">
        <v>5.28E-3</v>
      </c>
      <c r="FW71">
        <v>5.0299999999999997E-3</v>
      </c>
      <c r="FX71">
        <v>5.1999999999999998E-3</v>
      </c>
      <c r="FY71">
        <v>5.4799999999999996E-3</v>
      </c>
      <c r="FZ71">
        <v>5.47E-3</v>
      </c>
      <c r="GA71">
        <v>5.7400000000000003E-3</v>
      </c>
      <c r="GB71">
        <v>5.7099999999999998E-3</v>
      </c>
      <c r="GC71">
        <v>5.9800000000000001E-3</v>
      </c>
      <c r="GD71">
        <v>5.8300000000000001E-3</v>
      </c>
      <c r="GE71">
        <v>6.1799999999999997E-3</v>
      </c>
      <c r="GF71">
        <v>5.5500000000000002E-3</v>
      </c>
      <c r="GG71">
        <v>5.6800000000000002E-3</v>
      </c>
      <c r="GH71">
        <v>5.7099999999999998E-3</v>
      </c>
      <c r="GI71">
        <v>6.4400000000000004E-3</v>
      </c>
      <c r="GJ71">
        <v>6.5700000000000003E-3</v>
      </c>
      <c r="GK71">
        <v>6.7000000000000002E-3</v>
      </c>
      <c r="GL71">
        <v>6.8399999999999997E-3</v>
      </c>
      <c r="GM71">
        <v>6.1799999999999997E-3</v>
      </c>
      <c r="GO71">
        <v>5.5900000000000004E-3</v>
      </c>
      <c r="GP71">
        <v>4.4400000000000004E-3</v>
      </c>
      <c r="GQ71">
        <v>4.7699999999999999E-3</v>
      </c>
      <c r="GR71">
        <v>4.6499999999999996E-3</v>
      </c>
      <c r="GS71">
        <v>4.4799999999999996E-3</v>
      </c>
      <c r="GT71">
        <v>4.9199999999999999E-3</v>
      </c>
      <c r="GU71">
        <v>7.6299999999999996E-3</v>
      </c>
      <c r="GV71">
        <v>7.1599999999999997E-3</v>
      </c>
      <c r="GW71">
        <v>6.5500000000000003E-3</v>
      </c>
      <c r="GX71">
        <v>6.3600000000000002E-3</v>
      </c>
      <c r="GY71">
        <v>5.1999999999999998E-3</v>
      </c>
      <c r="GZ71">
        <v>5.11E-3</v>
      </c>
      <c r="HA71">
        <v>4.7699999999999999E-3</v>
      </c>
      <c r="HB71">
        <v>4.5999999999999999E-3</v>
      </c>
      <c r="HC71">
        <v>7.1700000000000002E-3</v>
      </c>
      <c r="HD71">
        <v>4.0299999999999997E-3</v>
      </c>
      <c r="HE71">
        <v>6.9499999999999996E-3</v>
      </c>
      <c r="HF71">
        <v>7.1500000000000001E-3</v>
      </c>
      <c r="HG71">
        <v>7.3200000000000001E-3</v>
      </c>
      <c r="HH71">
        <v>7.3099999999999997E-3</v>
      </c>
      <c r="HI71">
        <v>7.3499999999999998E-3</v>
      </c>
      <c r="HJ71">
        <v>4.3499999999999997E-3</v>
      </c>
      <c r="HK71">
        <v>4.2500000000000003E-3</v>
      </c>
      <c r="HL71">
        <v>4.9500000000000004E-3</v>
      </c>
      <c r="HM71">
        <v>4.7800000000000004E-3</v>
      </c>
      <c r="HN71">
        <v>5.5399999999999998E-3</v>
      </c>
      <c r="HO71">
        <v>4.4400000000000004E-3</v>
      </c>
      <c r="HP71">
        <v>4.62E-3</v>
      </c>
      <c r="HQ71">
        <v>4.7999999999999996E-3</v>
      </c>
      <c r="HR71">
        <v>4.4000000000000003E-3</v>
      </c>
      <c r="HS71">
        <v>8.0599999999999995E-3</v>
      </c>
      <c r="HT71">
        <v>4.28E-3</v>
      </c>
      <c r="HU71">
        <v>4.6699999999999997E-3</v>
      </c>
      <c r="HV71">
        <v>5.4099999999999999E-3</v>
      </c>
      <c r="HW71">
        <v>4.7499999999999999E-3</v>
      </c>
      <c r="HX71">
        <v>4.0000000000000001E-3</v>
      </c>
      <c r="HY71">
        <v>4.62E-3</v>
      </c>
      <c r="HZ71">
        <v>4.0899999999999999E-3</v>
      </c>
      <c r="IA71">
        <v>5.4299999999999999E-3</v>
      </c>
      <c r="IB71">
        <v>7.0299999999999998E-3</v>
      </c>
      <c r="IC71">
        <v>6.3499999999999997E-3</v>
      </c>
      <c r="ID71">
        <v>4.0299999999999997E-3</v>
      </c>
      <c r="IE71">
        <v>3.82E-3</v>
      </c>
      <c r="IF71">
        <v>3.8400000000000001E-3</v>
      </c>
      <c r="IH71">
        <v>4.8300000000000001E-3</v>
      </c>
      <c r="II71">
        <v>3.7299999999999998E-3</v>
      </c>
      <c r="IJ71">
        <v>4.6699999999999997E-3</v>
      </c>
      <c r="IK71">
        <v>5.2500000000000003E-3</v>
      </c>
      <c r="IL71">
        <v>5.79E-3</v>
      </c>
      <c r="IM71">
        <v>7.7499999999999999E-3</v>
      </c>
      <c r="IN71">
        <v>6.9199999999999999E-3</v>
      </c>
      <c r="IO71">
        <v>7.62E-3</v>
      </c>
      <c r="IP71">
        <v>8.43E-3</v>
      </c>
      <c r="IQ71">
        <v>8.9099999999999995E-3</v>
      </c>
      <c r="IR71">
        <v>9.6299999999999997E-3</v>
      </c>
      <c r="IS71">
        <v>4.9899999999999996E-3</v>
      </c>
      <c r="IT71">
        <v>3.0999999999999999E-3</v>
      </c>
      <c r="IU71">
        <v>3.32E-3</v>
      </c>
      <c r="IV71">
        <v>4.1999999999999997E-3</v>
      </c>
      <c r="IW71">
        <v>4.4600000000000004E-3</v>
      </c>
      <c r="IX71">
        <v>4.5500000000000002E-3</v>
      </c>
      <c r="IY71">
        <v>4.3400000000000001E-3</v>
      </c>
      <c r="IZ71">
        <v>3.9500000000000004E-3</v>
      </c>
      <c r="JB71">
        <v>4.45E-3</v>
      </c>
      <c r="JE71">
        <v>5.7200000000000003E-3</v>
      </c>
      <c r="JG71">
        <v>9.0299999999999998E-3</v>
      </c>
      <c r="JH71">
        <v>7.92E-3</v>
      </c>
      <c r="JI71">
        <v>4.6699999999999997E-3</v>
      </c>
      <c r="JJ71">
        <v>4.79E-3</v>
      </c>
      <c r="JK71">
        <v>7.1599999999999997E-3</v>
      </c>
      <c r="JL71">
        <v>6.5500000000000003E-3</v>
      </c>
      <c r="JM71">
        <v>5.1399999999999996E-3</v>
      </c>
      <c r="JN71">
        <v>5.2500000000000003E-3</v>
      </c>
      <c r="JP71">
        <v>6.9899999999999997E-3</v>
      </c>
      <c r="JQ71">
        <v>5.8599999999999998E-3</v>
      </c>
      <c r="JR71">
        <v>5.1700000000000001E-3</v>
      </c>
      <c r="JS71">
        <v>4.81E-3</v>
      </c>
      <c r="JT71">
        <v>5.7000000000000002E-3</v>
      </c>
      <c r="JU71">
        <v>7.4999999999999997E-3</v>
      </c>
      <c r="JV71">
        <v>8.2799999999999992E-3</v>
      </c>
      <c r="JX71">
        <v>7.0699999999999999E-3</v>
      </c>
      <c r="JY71">
        <v>6.1199999999999996E-3</v>
      </c>
      <c r="JZ71">
        <v>5.3200000000000001E-3</v>
      </c>
      <c r="KA71">
        <v>5.1200000000000004E-3</v>
      </c>
      <c r="KB71">
        <v>5.11E-3</v>
      </c>
      <c r="KC71">
        <v>5.2399999999999999E-3</v>
      </c>
      <c r="KD71">
        <v>5.47E-3</v>
      </c>
      <c r="KE71">
        <v>8.7100000000000007E-3</v>
      </c>
      <c r="KF71">
        <v>9.6699999999999998E-3</v>
      </c>
      <c r="KG71">
        <v>1.01E-2</v>
      </c>
      <c r="KH71">
        <v>1.0290000000000001E-2</v>
      </c>
      <c r="KI71">
        <v>5.7000000000000002E-3</v>
      </c>
      <c r="KJ71">
        <v>5.79E-3</v>
      </c>
      <c r="KK71">
        <v>5.7000000000000002E-3</v>
      </c>
      <c r="KL71">
        <v>6.0600000000000003E-3</v>
      </c>
      <c r="KM71">
        <v>6.2700000000000004E-3</v>
      </c>
      <c r="KN71">
        <v>6.62E-3</v>
      </c>
      <c r="KO71">
        <v>6.4099999999999999E-3</v>
      </c>
      <c r="KP71">
        <v>5.7400000000000003E-3</v>
      </c>
      <c r="KQ71">
        <v>5.8799999999999998E-3</v>
      </c>
      <c r="KR71">
        <v>5.8500000000000002E-3</v>
      </c>
      <c r="KS71">
        <v>6.2399999999999999E-3</v>
      </c>
      <c r="KT71">
        <v>6.5300000000000002E-3</v>
      </c>
      <c r="KU71">
        <v>6.7299999999999999E-3</v>
      </c>
      <c r="KV71">
        <v>6.0899999999999999E-3</v>
      </c>
      <c r="KW71">
        <v>5.5399999999999998E-3</v>
      </c>
      <c r="KX71">
        <v>9.5600000000000008E-3</v>
      </c>
      <c r="KY71">
        <v>7.4599999999999996E-3</v>
      </c>
      <c r="KZ71">
        <v>8.3300000000000006E-3</v>
      </c>
      <c r="LA71">
        <v>4.8700000000000002E-3</v>
      </c>
      <c r="LB71">
        <v>4.81E-3</v>
      </c>
      <c r="LC71">
        <v>4.8399999999999997E-3</v>
      </c>
      <c r="LD71">
        <v>4.8399999999999997E-3</v>
      </c>
      <c r="LE71">
        <v>7.5100000000000002E-3</v>
      </c>
      <c r="LF71">
        <v>6.5900000000000004E-3</v>
      </c>
      <c r="LG71">
        <v>4.8399999999999997E-3</v>
      </c>
      <c r="LH71">
        <v>4.8500000000000001E-3</v>
      </c>
      <c r="LI71">
        <v>7.5500000000000003E-3</v>
      </c>
      <c r="LJ71">
        <v>7.9000000000000008E-3</v>
      </c>
      <c r="LK71">
        <v>8.0300000000000007E-3</v>
      </c>
      <c r="LL71">
        <v>4.8500000000000001E-3</v>
      </c>
      <c r="LM71">
        <v>3.7499999999999999E-3</v>
      </c>
      <c r="LN71">
        <v>3.9300000000000003E-3</v>
      </c>
      <c r="LO71">
        <v>4.1700000000000001E-3</v>
      </c>
      <c r="LP71">
        <v>3.82E-3</v>
      </c>
      <c r="LR71">
        <v>7.3099999999999997E-3</v>
      </c>
      <c r="LS71">
        <v>8.1600000000000006E-3</v>
      </c>
      <c r="LT71">
        <v>4.28E-3</v>
      </c>
      <c r="LU71">
        <v>4.5799999999999999E-3</v>
      </c>
      <c r="LV71">
        <v>4.6499999999999996E-3</v>
      </c>
      <c r="LW71">
        <v>5.0000000000000001E-3</v>
      </c>
      <c r="LX71">
        <v>5.5399999999999998E-3</v>
      </c>
      <c r="LY71">
        <v>5.6100000000000004E-3</v>
      </c>
      <c r="LZ71">
        <v>5.7099999999999998E-3</v>
      </c>
      <c r="MA71">
        <v>6.2100000000000002E-3</v>
      </c>
      <c r="MB71">
        <v>4.8500000000000001E-3</v>
      </c>
      <c r="MC71">
        <v>7.1700000000000002E-3</v>
      </c>
      <c r="MD71">
        <v>8.09E-3</v>
      </c>
      <c r="ME71">
        <v>9.8799999999999999E-3</v>
      </c>
      <c r="MF71">
        <v>1.213E-2</v>
      </c>
      <c r="MG71">
        <v>1.308E-2</v>
      </c>
      <c r="MH71">
        <v>4.4299999999999999E-3</v>
      </c>
      <c r="MI71">
        <v>4.0299999999999997E-3</v>
      </c>
      <c r="MJ71">
        <v>4.28E-3</v>
      </c>
      <c r="MK71">
        <v>4.1099999999999999E-3</v>
      </c>
      <c r="ML71">
        <v>4.6800000000000001E-3</v>
      </c>
      <c r="MM71">
        <v>3.7499999999999999E-3</v>
      </c>
      <c r="MN71">
        <v>4.5100000000000001E-3</v>
      </c>
      <c r="MO71">
        <v>4.7499999999999999E-3</v>
      </c>
      <c r="MP71">
        <v>6.0800000000000003E-3</v>
      </c>
      <c r="MQ71">
        <v>3.5500000000000002E-3</v>
      </c>
      <c r="MR71">
        <v>4.7400000000000003E-3</v>
      </c>
      <c r="MS71">
        <v>4.7600000000000003E-3</v>
      </c>
      <c r="MT71">
        <v>6.1900000000000002E-3</v>
      </c>
      <c r="MU71">
        <v>4.9300000000000004E-3</v>
      </c>
      <c r="MV71">
        <v>5.0699999999999999E-3</v>
      </c>
      <c r="MW71">
        <v>5.13E-3</v>
      </c>
      <c r="MX71">
        <v>5.11E-3</v>
      </c>
      <c r="MY71">
        <v>5.4299999999999999E-3</v>
      </c>
      <c r="MZ71">
        <v>5.9500000000000004E-3</v>
      </c>
      <c r="NA71">
        <v>5.2500000000000003E-3</v>
      </c>
      <c r="NB71">
        <v>4.8799999999999998E-3</v>
      </c>
      <c r="NC71">
        <v>3.1199999999999999E-3</v>
      </c>
      <c r="ND71">
        <v>1.0999999999999999E-2</v>
      </c>
      <c r="NE71">
        <v>5.1999999999999998E-3</v>
      </c>
      <c r="NF71">
        <v>7.0800000000000004E-3</v>
      </c>
      <c r="NG71">
        <v>4.0499999999999998E-3</v>
      </c>
      <c r="NH71">
        <v>3.5999999999999999E-3</v>
      </c>
      <c r="NI71">
        <v>3.79E-3</v>
      </c>
      <c r="NJ71">
        <v>4.0899999999999999E-3</v>
      </c>
      <c r="NK71">
        <v>3.8300000000000001E-3</v>
      </c>
      <c r="NL71">
        <v>3.96E-3</v>
      </c>
      <c r="NM71">
        <v>4.1399999999999996E-3</v>
      </c>
      <c r="NN71">
        <v>4.2500000000000003E-3</v>
      </c>
      <c r="NO71">
        <v>4.3899999999999998E-3</v>
      </c>
      <c r="NP71">
        <v>5.0499999999999998E-3</v>
      </c>
      <c r="NQ71">
        <v>3.8600000000000001E-3</v>
      </c>
      <c r="NR71">
        <v>4.0699999999999998E-3</v>
      </c>
      <c r="NS71">
        <v>4.2199999999999998E-3</v>
      </c>
      <c r="NT71">
        <v>4.4299999999999999E-3</v>
      </c>
      <c r="NU71">
        <v>4.0000000000000001E-3</v>
      </c>
      <c r="NV71">
        <v>4.13E-3</v>
      </c>
      <c r="NW71">
        <v>4.3400000000000001E-3</v>
      </c>
      <c r="NX71">
        <v>4.0499999999999998E-3</v>
      </c>
      <c r="NY71">
        <v>4.3200000000000001E-3</v>
      </c>
      <c r="NZ71">
        <v>4.28E-3</v>
      </c>
      <c r="OA71">
        <v>4.45E-3</v>
      </c>
      <c r="OB71">
        <v>4.8799999999999998E-3</v>
      </c>
      <c r="OC71">
        <v>4.1099999999999999E-3</v>
      </c>
      <c r="OD71">
        <v>4.1099999999999999E-3</v>
      </c>
      <c r="OE71">
        <v>4.1099999999999999E-3</v>
      </c>
      <c r="OF71">
        <v>7.0099999999999997E-3</v>
      </c>
      <c r="OG71">
        <v>4.3499999999999997E-3</v>
      </c>
      <c r="OH71">
        <v>4.47E-3</v>
      </c>
      <c r="OI71">
        <v>4.5399999999999998E-3</v>
      </c>
      <c r="OJ71">
        <v>4.7000000000000002E-3</v>
      </c>
      <c r="OK71">
        <v>4.7600000000000003E-3</v>
      </c>
      <c r="OL71">
        <v>4.8199999999999996E-3</v>
      </c>
      <c r="OM71">
        <v>5.4799999999999996E-3</v>
      </c>
      <c r="ON71">
        <v>5.5999999999999999E-3</v>
      </c>
      <c r="OO71">
        <v>4.4400000000000004E-3</v>
      </c>
      <c r="OP71">
        <v>4.64E-3</v>
      </c>
      <c r="OQ71">
        <v>4.7600000000000003E-3</v>
      </c>
      <c r="OR71">
        <v>5.1500000000000001E-3</v>
      </c>
      <c r="OS71">
        <v>5.5599999999999998E-3</v>
      </c>
      <c r="OT71">
        <v>5.4400000000000004E-3</v>
      </c>
      <c r="OU71">
        <v>5.64E-3</v>
      </c>
      <c r="OV71">
        <v>5.3800000000000002E-3</v>
      </c>
      <c r="OW71">
        <v>5.0099999999999997E-3</v>
      </c>
      <c r="OX71">
        <v>5.4200000000000003E-3</v>
      </c>
      <c r="OY71">
        <v>5.7099999999999998E-3</v>
      </c>
      <c r="OZ71">
        <v>5.4000000000000003E-3</v>
      </c>
      <c r="PA71">
        <v>7.2500000000000004E-3</v>
      </c>
      <c r="PB71">
        <v>7.5399999999999998E-3</v>
      </c>
      <c r="PC71">
        <v>6.6E-3</v>
      </c>
      <c r="PD71">
        <v>5.9500000000000004E-3</v>
      </c>
      <c r="PE71">
        <v>5.6800000000000002E-3</v>
      </c>
      <c r="PF71">
        <v>5.7600000000000004E-3</v>
      </c>
      <c r="PG71">
        <v>5.1700000000000001E-3</v>
      </c>
      <c r="PH71">
        <v>5.3200000000000001E-3</v>
      </c>
      <c r="PI71">
        <v>6.1900000000000002E-3</v>
      </c>
      <c r="PJ71">
        <v>5.8300000000000001E-3</v>
      </c>
      <c r="PK71">
        <v>5.4299999999999999E-3</v>
      </c>
      <c r="PL71">
        <v>5.8199999999999997E-3</v>
      </c>
      <c r="PN71">
        <v>4.7000000000000002E-3</v>
      </c>
      <c r="PP71">
        <v>3.8999999999999998E-3</v>
      </c>
      <c r="PQ71">
        <v>5.1000000000000004E-3</v>
      </c>
      <c r="PR71">
        <v>4.6299999999999996E-3</v>
      </c>
      <c r="PS71">
        <v>3.96E-3</v>
      </c>
      <c r="PT71">
        <v>6.1500000000000001E-3</v>
      </c>
      <c r="PV71">
        <v>3.0000000000000001E-3</v>
      </c>
      <c r="PW71">
        <v>2.8999999999999998E-3</v>
      </c>
      <c r="PX71">
        <v>2.8600000000000001E-3</v>
      </c>
      <c r="PY71">
        <v>2.8300000000000001E-3</v>
      </c>
      <c r="PZ71">
        <v>2.8999999999999998E-3</v>
      </c>
      <c r="QA71">
        <v>4.15E-3</v>
      </c>
      <c r="QB71">
        <v>4.4200000000000003E-3</v>
      </c>
      <c r="QC71">
        <v>4.9899999999999996E-3</v>
      </c>
      <c r="QD71">
        <v>5.6100000000000004E-3</v>
      </c>
      <c r="QE71">
        <v>4.4299999999999999E-3</v>
      </c>
      <c r="QF71">
        <v>4.8900000000000002E-3</v>
      </c>
      <c r="QG71">
        <v>6.4900000000000001E-3</v>
      </c>
      <c r="QH71">
        <v>4.7600000000000003E-3</v>
      </c>
      <c r="QI71">
        <v>4.9300000000000004E-3</v>
      </c>
      <c r="QJ71">
        <v>4.6499999999999996E-3</v>
      </c>
      <c r="QK71">
        <v>4.7999999999999996E-3</v>
      </c>
      <c r="QL71">
        <v>4.6899999999999997E-3</v>
      </c>
      <c r="QM71">
        <v>5.1599999999999997E-3</v>
      </c>
      <c r="QN71">
        <v>8.1099999999999992E-3</v>
      </c>
      <c r="QO71">
        <v>6.45E-3</v>
      </c>
      <c r="QP71">
        <v>7.11E-3</v>
      </c>
      <c r="QQ71">
        <v>7.1000000000000004E-3</v>
      </c>
      <c r="QR71">
        <v>7.1000000000000004E-3</v>
      </c>
      <c r="QS71">
        <v>7.11E-3</v>
      </c>
      <c r="QT71">
        <v>5.3299999999999997E-3</v>
      </c>
      <c r="QU71">
        <v>5.3099999999999996E-3</v>
      </c>
      <c r="QV71">
        <v>5.2900000000000004E-3</v>
      </c>
      <c r="QW71">
        <v>5.62E-3</v>
      </c>
      <c r="QX71">
        <v>4.9500000000000004E-3</v>
      </c>
      <c r="QY71">
        <v>4.8700000000000002E-3</v>
      </c>
      <c r="QZ71">
        <v>5.0699999999999999E-3</v>
      </c>
      <c r="RA71">
        <v>4.81E-3</v>
      </c>
      <c r="RB71">
        <v>5.2199999999999998E-3</v>
      </c>
      <c r="RC71">
        <v>4.7800000000000004E-3</v>
      </c>
      <c r="RD71">
        <v>5.1799999999999997E-3</v>
      </c>
      <c r="RE71">
        <v>4.62E-3</v>
      </c>
      <c r="RF71">
        <v>5.6100000000000004E-3</v>
      </c>
      <c r="RG71">
        <v>4.3400000000000001E-3</v>
      </c>
      <c r="RH71">
        <v>5.0600000000000003E-3</v>
      </c>
      <c r="RI71">
        <v>6.5300000000000002E-3</v>
      </c>
      <c r="RJ71">
        <v>4.9199999999999999E-3</v>
      </c>
      <c r="RK71">
        <v>5.0400000000000002E-3</v>
      </c>
      <c r="RL71">
        <v>4.7299999999999998E-3</v>
      </c>
      <c r="RM71">
        <v>4.0400000000000002E-3</v>
      </c>
      <c r="RN71">
        <v>4.1099999999999999E-3</v>
      </c>
      <c r="RO71">
        <v>4.1200000000000004E-3</v>
      </c>
      <c r="RP71">
        <v>4.0499999999999998E-3</v>
      </c>
      <c r="RQ71">
        <v>4.5199999999999997E-3</v>
      </c>
      <c r="RR71">
        <v>4.2599999999999999E-3</v>
      </c>
      <c r="RS71">
        <v>4.4099999999999999E-3</v>
      </c>
      <c r="RT71">
        <v>3.63E-3</v>
      </c>
      <c r="RU71">
        <v>5.0400000000000002E-3</v>
      </c>
      <c r="RV71">
        <v>4.5100000000000001E-3</v>
      </c>
      <c r="RW71">
        <v>4.9399999999999999E-3</v>
      </c>
      <c r="RX71">
        <v>4.6699999999999997E-3</v>
      </c>
      <c r="RY71">
        <v>5.0499999999999998E-3</v>
      </c>
      <c r="RZ71">
        <v>3.5599999999999998E-3</v>
      </c>
      <c r="SA71">
        <v>4.0400000000000002E-3</v>
      </c>
      <c r="SB71">
        <v>3.79E-3</v>
      </c>
      <c r="SC71">
        <v>5.3600000000000002E-3</v>
      </c>
      <c r="SD71">
        <v>5.8599999999999998E-3</v>
      </c>
      <c r="SE71">
        <v>5.3899999999999998E-3</v>
      </c>
      <c r="SF71">
        <v>6.0200000000000002E-3</v>
      </c>
      <c r="SG71">
        <v>7.4099999999999999E-3</v>
      </c>
      <c r="SH71">
        <v>9.6500000000000006E-3</v>
      </c>
      <c r="SI71">
        <v>5.28E-3</v>
      </c>
      <c r="SJ71">
        <v>4.4999999999999997E-3</v>
      </c>
      <c r="SK71">
        <v>3.8999999999999998E-3</v>
      </c>
      <c r="SL71">
        <v>4.3400000000000001E-3</v>
      </c>
      <c r="SM71">
        <v>3.62E-3</v>
      </c>
      <c r="SN71">
        <v>4.2599999999999999E-3</v>
      </c>
      <c r="SO71">
        <v>4.1999999999999997E-3</v>
      </c>
      <c r="SP71">
        <v>5.5999999999999999E-3</v>
      </c>
      <c r="SQ71">
        <v>4.5700000000000003E-3</v>
      </c>
      <c r="SR71">
        <v>5.28E-3</v>
      </c>
      <c r="SS71">
        <v>4.7999999999999996E-3</v>
      </c>
      <c r="ST71">
        <v>4.6800000000000001E-3</v>
      </c>
      <c r="SU71">
        <v>5.0099999999999997E-3</v>
      </c>
      <c r="SV71">
        <v>4.7800000000000004E-3</v>
      </c>
      <c r="SW71">
        <v>5.0800000000000003E-3</v>
      </c>
      <c r="SX71">
        <v>4.6499999999999996E-3</v>
      </c>
      <c r="SY71">
        <v>4.64E-3</v>
      </c>
      <c r="SZ71">
        <v>5.13E-3</v>
      </c>
      <c r="TA71">
        <v>4.8199999999999996E-3</v>
      </c>
      <c r="TB71">
        <v>5.7999999999999996E-3</v>
      </c>
      <c r="TC71">
        <v>4.8799999999999998E-3</v>
      </c>
      <c r="TD71">
        <v>4.3699999999999998E-3</v>
      </c>
      <c r="TE71">
        <v>6.1500000000000001E-3</v>
      </c>
      <c r="TF71">
        <v>4.8300000000000001E-3</v>
      </c>
      <c r="TH71">
        <v>6.1399999999999996E-3</v>
      </c>
      <c r="TI71">
        <v>5.1599999999999997E-3</v>
      </c>
      <c r="TJ71">
        <v>6.2599999999999999E-3</v>
      </c>
      <c r="TK71">
        <v>4.13E-3</v>
      </c>
      <c r="TL71">
        <v>4.0699999999999998E-3</v>
      </c>
      <c r="TM71">
        <v>4.0499999999999998E-3</v>
      </c>
      <c r="TN71">
        <v>4.5100000000000001E-3</v>
      </c>
      <c r="TO71">
        <v>5.3E-3</v>
      </c>
      <c r="TP71">
        <v>4.4999999999999997E-3</v>
      </c>
      <c r="TQ71">
        <v>5.1700000000000001E-3</v>
      </c>
      <c r="TR71">
        <v>5.4599999999999996E-3</v>
      </c>
      <c r="TS71">
        <v>4.9199999999999999E-3</v>
      </c>
      <c r="TT71">
        <v>5.0000000000000001E-3</v>
      </c>
      <c r="TU71">
        <v>4.7800000000000004E-3</v>
      </c>
      <c r="TV71">
        <v>4.0600000000000002E-3</v>
      </c>
      <c r="TW71">
        <v>4.62E-3</v>
      </c>
      <c r="TX71">
        <v>5.0400000000000002E-3</v>
      </c>
      <c r="TY71">
        <v>5.1000000000000004E-3</v>
      </c>
      <c r="TZ71">
        <v>5.1399999999999996E-3</v>
      </c>
      <c r="UA71">
        <v>5.1799999999999997E-3</v>
      </c>
      <c r="UB71">
        <v>5.0200000000000002E-3</v>
      </c>
      <c r="UC71">
        <v>4.6600000000000001E-3</v>
      </c>
      <c r="UD71">
        <v>4.7699999999999999E-3</v>
      </c>
      <c r="UE71">
        <v>4.9500000000000004E-3</v>
      </c>
      <c r="UF71">
        <v>3.7499999999999999E-3</v>
      </c>
      <c r="UG71">
        <v>4.3E-3</v>
      </c>
      <c r="UH71">
        <v>5.1000000000000004E-3</v>
      </c>
      <c r="UI71">
        <v>4.0600000000000002E-3</v>
      </c>
      <c r="UJ71">
        <v>5.0400000000000002E-3</v>
      </c>
      <c r="UK71">
        <v>5.1399999999999996E-3</v>
      </c>
      <c r="UL71">
        <v>5.11E-3</v>
      </c>
      <c r="UM71">
        <v>5.5500000000000002E-3</v>
      </c>
      <c r="UN71">
        <v>4.9800000000000001E-3</v>
      </c>
      <c r="UO71">
        <v>4.8199999999999996E-3</v>
      </c>
      <c r="UP71">
        <v>5.9300000000000004E-3</v>
      </c>
      <c r="UQ71">
        <v>4.79E-3</v>
      </c>
      <c r="UR71">
        <v>4.79E-3</v>
      </c>
      <c r="US71">
        <v>5.0699999999999999E-3</v>
      </c>
      <c r="UT71">
        <v>4.7299999999999998E-3</v>
      </c>
      <c r="UU71">
        <v>4.7800000000000004E-3</v>
      </c>
      <c r="UV71">
        <v>5.0800000000000003E-3</v>
      </c>
      <c r="UW71">
        <v>5.0400000000000002E-3</v>
      </c>
      <c r="UX71">
        <v>3.9199999999999999E-3</v>
      </c>
      <c r="UY71">
        <v>4.3600000000000002E-3</v>
      </c>
      <c r="UZ71">
        <v>5.0699999999999999E-3</v>
      </c>
      <c r="VA71">
        <v>6.0000000000000001E-3</v>
      </c>
      <c r="VB71">
        <v>5.3400000000000001E-3</v>
      </c>
      <c r="VC71">
        <v>5.0099999999999997E-3</v>
      </c>
      <c r="VD71">
        <v>3.8899999999999998E-3</v>
      </c>
      <c r="VE71">
        <v>4.5100000000000001E-3</v>
      </c>
      <c r="VF71">
        <v>4.5100000000000001E-3</v>
      </c>
      <c r="VG71">
        <v>7.4099999999999999E-3</v>
      </c>
      <c r="VH71">
        <v>3.9500000000000004E-3</v>
      </c>
      <c r="VI71">
        <v>4.5999999999999999E-3</v>
      </c>
    </row>
    <row r="72" spans="1:581" x14ac:dyDescent="0.25">
      <c r="A72">
        <v>2900000</v>
      </c>
      <c r="C72">
        <v>5.1000000000000004E-3</v>
      </c>
      <c r="D72">
        <v>5.2900000000000004E-3</v>
      </c>
      <c r="E72">
        <v>5.7200000000000003E-3</v>
      </c>
      <c r="F72">
        <v>6.1799999999999997E-3</v>
      </c>
      <c r="G72">
        <v>6.2399999999999999E-3</v>
      </c>
      <c r="H72">
        <v>5.0499999999999998E-3</v>
      </c>
      <c r="J72">
        <v>5.1599999999999997E-3</v>
      </c>
      <c r="K72">
        <v>4.9800000000000001E-3</v>
      </c>
      <c r="L72">
        <v>4.9699999999999996E-3</v>
      </c>
      <c r="M72">
        <v>4.9500000000000004E-3</v>
      </c>
      <c r="N72">
        <v>5.0200000000000002E-3</v>
      </c>
      <c r="O72">
        <v>4.2199999999999998E-3</v>
      </c>
      <c r="P72">
        <v>4.1399999999999996E-3</v>
      </c>
      <c r="Q72">
        <v>4.1999999999999997E-3</v>
      </c>
      <c r="R72">
        <v>4.15E-3</v>
      </c>
      <c r="S72">
        <v>4.9500000000000004E-3</v>
      </c>
      <c r="T72">
        <v>5.0699999999999999E-3</v>
      </c>
      <c r="U72">
        <v>5.7099999999999998E-3</v>
      </c>
      <c r="V72">
        <v>4.9800000000000001E-3</v>
      </c>
      <c r="W72">
        <v>5.4999999999999997E-3</v>
      </c>
      <c r="X72">
        <v>4.9500000000000004E-3</v>
      </c>
      <c r="Y72">
        <v>5.4000000000000003E-3</v>
      </c>
      <c r="Z72">
        <v>4.8399999999999997E-3</v>
      </c>
      <c r="AA72">
        <v>3.8400000000000001E-3</v>
      </c>
      <c r="AB72">
        <v>6.6800000000000002E-3</v>
      </c>
      <c r="AC72">
        <v>6.8700000000000002E-3</v>
      </c>
      <c r="AD72">
        <v>4.7499999999999999E-3</v>
      </c>
      <c r="AE72">
        <v>5.2399999999999999E-3</v>
      </c>
      <c r="AF72">
        <v>5.4000000000000003E-3</v>
      </c>
      <c r="AG72">
        <v>4.2300000000000003E-3</v>
      </c>
      <c r="AH72">
        <v>3.82E-3</v>
      </c>
      <c r="AI72">
        <v>3.5899999999999999E-3</v>
      </c>
      <c r="AJ72">
        <v>4.3099999999999996E-3</v>
      </c>
      <c r="AK72">
        <v>5.7200000000000003E-3</v>
      </c>
      <c r="AL72">
        <v>6.5599999999999999E-3</v>
      </c>
      <c r="AM72">
        <v>4.1900000000000001E-3</v>
      </c>
      <c r="AN72">
        <v>4.2199999999999998E-3</v>
      </c>
      <c r="AO72">
        <v>8.7600000000000004E-3</v>
      </c>
      <c r="AP72">
        <v>4.3200000000000001E-3</v>
      </c>
      <c r="AQ72">
        <v>3.9300000000000003E-3</v>
      </c>
      <c r="AR72">
        <v>4.4299999999999999E-3</v>
      </c>
      <c r="AS72">
        <v>4.2700000000000004E-3</v>
      </c>
      <c r="AT72">
        <v>3.3300000000000001E-3</v>
      </c>
      <c r="AU72">
        <v>3.7699999999999999E-3</v>
      </c>
      <c r="AV72">
        <v>3.8400000000000001E-3</v>
      </c>
      <c r="AW72">
        <v>3.9699999999999996E-3</v>
      </c>
      <c r="AX72">
        <v>4.0400000000000002E-3</v>
      </c>
      <c r="AY72">
        <v>5.3600000000000002E-3</v>
      </c>
      <c r="BA72">
        <v>4.0499999999999998E-3</v>
      </c>
      <c r="BB72">
        <v>5.47E-3</v>
      </c>
      <c r="BC72">
        <v>5.7600000000000004E-3</v>
      </c>
      <c r="BD72">
        <v>5.8199999999999997E-3</v>
      </c>
      <c r="BE72">
        <v>6.7600000000000004E-3</v>
      </c>
      <c r="BF72">
        <v>8.2400000000000008E-3</v>
      </c>
      <c r="BG72">
        <v>5.5300000000000002E-3</v>
      </c>
      <c r="BH72">
        <v>4.0299999999999997E-3</v>
      </c>
      <c r="BI72">
        <v>7.9900000000000006E-3</v>
      </c>
      <c r="BJ72">
        <v>5.6800000000000002E-3</v>
      </c>
      <c r="BK72">
        <v>5.8999999999999999E-3</v>
      </c>
      <c r="BL72">
        <v>5.96E-3</v>
      </c>
      <c r="BM72">
        <v>5.7400000000000003E-3</v>
      </c>
      <c r="BN72">
        <v>6.9899999999999997E-3</v>
      </c>
      <c r="BO72">
        <v>6.7099999999999998E-3</v>
      </c>
      <c r="BP72">
        <v>6.4599999999999996E-3</v>
      </c>
      <c r="BQ72">
        <v>5.7099999999999998E-3</v>
      </c>
      <c r="BR72">
        <v>3.0799999999999998E-3</v>
      </c>
      <c r="BT72">
        <v>5.5100000000000001E-3</v>
      </c>
      <c r="BU72">
        <v>7.5500000000000003E-3</v>
      </c>
      <c r="BV72">
        <v>7.4999999999999997E-3</v>
      </c>
      <c r="BW72">
        <v>7.2500000000000004E-3</v>
      </c>
      <c r="BX72">
        <v>7.0800000000000004E-3</v>
      </c>
      <c r="BY72">
        <v>7.1599999999999997E-3</v>
      </c>
      <c r="BZ72">
        <v>6.2399999999999999E-3</v>
      </c>
      <c r="CA72">
        <v>6.4200000000000004E-3</v>
      </c>
      <c r="CB72">
        <v>5.5599999999999998E-3</v>
      </c>
      <c r="CD72">
        <v>4.5900000000000003E-3</v>
      </c>
      <c r="CE72">
        <v>5.0699999999999999E-3</v>
      </c>
      <c r="CF72">
        <v>4.9399999999999999E-3</v>
      </c>
      <c r="CG72">
        <v>4.8500000000000001E-3</v>
      </c>
      <c r="CH72">
        <v>4.7200000000000002E-3</v>
      </c>
      <c r="CI72">
        <v>4.6499999999999996E-3</v>
      </c>
      <c r="CJ72">
        <v>4.5100000000000001E-3</v>
      </c>
      <c r="CK72">
        <v>4.7800000000000004E-3</v>
      </c>
      <c r="CL72">
        <v>5.0899999999999999E-3</v>
      </c>
      <c r="CM72">
        <v>4.9800000000000001E-3</v>
      </c>
      <c r="CN72">
        <v>5.0600000000000003E-3</v>
      </c>
      <c r="CO72">
        <v>4.9800000000000001E-3</v>
      </c>
      <c r="CP72">
        <v>5.1500000000000001E-3</v>
      </c>
      <c r="CQ72">
        <v>5.2900000000000004E-3</v>
      </c>
      <c r="CR72">
        <v>5.1000000000000004E-3</v>
      </c>
      <c r="CS72">
        <v>5.28E-3</v>
      </c>
      <c r="CT72">
        <v>5.62E-3</v>
      </c>
      <c r="CU72">
        <v>4.7000000000000002E-3</v>
      </c>
      <c r="CV72">
        <v>4.8900000000000002E-3</v>
      </c>
      <c r="CX72">
        <v>5.1799999999999997E-3</v>
      </c>
      <c r="CY72">
        <v>4.62E-3</v>
      </c>
      <c r="CZ72">
        <v>4.8199999999999996E-3</v>
      </c>
      <c r="DA72">
        <v>4.6600000000000001E-3</v>
      </c>
      <c r="DB72">
        <v>4.5900000000000003E-3</v>
      </c>
      <c r="DC72">
        <v>4.5799999999999999E-3</v>
      </c>
      <c r="DD72">
        <v>4.5799999999999999E-3</v>
      </c>
      <c r="DE72">
        <v>4.6100000000000004E-3</v>
      </c>
      <c r="DF72">
        <v>4.7299999999999998E-3</v>
      </c>
      <c r="DG72">
        <v>3.5599999999999998E-3</v>
      </c>
      <c r="DH72">
        <v>4.5399999999999998E-3</v>
      </c>
      <c r="DI72">
        <v>4.6499999999999996E-3</v>
      </c>
      <c r="DJ72">
        <v>4.7200000000000002E-3</v>
      </c>
      <c r="DK72">
        <v>4.9399999999999999E-3</v>
      </c>
      <c r="DL72">
        <v>6.94E-3</v>
      </c>
      <c r="DM72">
        <v>6.9800000000000001E-3</v>
      </c>
      <c r="DN72">
        <v>6.8100000000000001E-3</v>
      </c>
      <c r="DO72">
        <v>7.1300000000000001E-3</v>
      </c>
      <c r="DP72">
        <v>7.2500000000000004E-3</v>
      </c>
      <c r="DQ72">
        <v>7.1599999999999997E-3</v>
      </c>
      <c r="DR72">
        <v>7.3600000000000002E-3</v>
      </c>
      <c r="DS72">
        <v>6.4400000000000004E-3</v>
      </c>
      <c r="DT72">
        <v>7.1999999999999998E-3</v>
      </c>
      <c r="DU72">
        <v>7.3600000000000002E-3</v>
      </c>
      <c r="DV72">
        <v>7.5100000000000002E-3</v>
      </c>
      <c r="DW72">
        <v>7.5300000000000002E-3</v>
      </c>
      <c r="DX72">
        <v>7.5900000000000004E-3</v>
      </c>
      <c r="DY72">
        <v>7.8700000000000003E-3</v>
      </c>
      <c r="EA72">
        <v>4.3E-3</v>
      </c>
      <c r="EB72">
        <v>4.3200000000000001E-3</v>
      </c>
      <c r="EC72">
        <v>4.1700000000000001E-3</v>
      </c>
      <c r="EF72">
        <v>8.8999999999999999E-3</v>
      </c>
      <c r="EI72">
        <v>5.3699999999999998E-3</v>
      </c>
      <c r="EJ72">
        <v>5.11E-3</v>
      </c>
      <c r="EK72">
        <v>4.8700000000000002E-3</v>
      </c>
      <c r="EL72">
        <v>4.96E-3</v>
      </c>
      <c r="EM72">
        <v>5.2199999999999998E-3</v>
      </c>
      <c r="EN72">
        <v>5.3099999999999996E-3</v>
      </c>
      <c r="EO72">
        <v>5.2700000000000004E-3</v>
      </c>
      <c r="EP72">
        <v>5.64E-3</v>
      </c>
      <c r="EQ72">
        <v>5.6800000000000002E-3</v>
      </c>
      <c r="ER72">
        <v>3.8600000000000001E-3</v>
      </c>
      <c r="ES72">
        <v>3.96E-3</v>
      </c>
      <c r="ET72">
        <v>3.7000000000000002E-3</v>
      </c>
      <c r="EU72">
        <v>8.0199999999999994E-3</v>
      </c>
      <c r="EV72">
        <v>7.4400000000000004E-3</v>
      </c>
      <c r="EW72">
        <v>7.1300000000000001E-3</v>
      </c>
      <c r="EX72">
        <v>7.11E-3</v>
      </c>
      <c r="EY72">
        <v>6.7600000000000004E-3</v>
      </c>
      <c r="EZ72">
        <v>6.5500000000000003E-3</v>
      </c>
      <c r="FA72">
        <v>4.5300000000000002E-3</v>
      </c>
      <c r="FB72">
        <v>5.0200000000000002E-3</v>
      </c>
      <c r="FC72">
        <v>4.2300000000000003E-3</v>
      </c>
      <c r="FD72">
        <v>4.28E-3</v>
      </c>
      <c r="FE72">
        <v>4.8900000000000002E-3</v>
      </c>
      <c r="FF72">
        <v>4.1900000000000001E-3</v>
      </c>
      <c r="FG72">
        <v>7.2899999999999996E-3</v>
      </c>
      <c r="FH72">
        <v>7.26E-3</v>
      </c>
      <c r="FI72">
        <v>7.2399999999999999E-3</v>
      </c>
      <c r="FJ72">
        <v>7.3800000000000003E-3</v>
      </c>
      <c r="FK72">
        <v>6.4400000000000004E-3</v>
      </c>
      <c r="FL72">
        <v>4.5700000000000003E-3</v>
      </c>
      <c r="FN72">
        <v>4.3E-3</v>
      </c>
      <c r="FO72">
        <v>4.1700000000000001E-3</v>
      </c>
      <c r="FP72">
        <v>3.8899999999999998E-3</v>
      </c>
      <c r="FQ72">
        <v>4.5599999999999998E-3</v>
      </c>
      <c r="FR72">
        <v>7.8200000000000006E-3</v>
      </c>
      <c r="FS72">
        <v>4.79E-3</v>
      </c>
      <c r="FT72">
        <v>4.8199999999999996E-3</v>
      </c>
      <c r="FU72">
        <v>4.9100000000000003E-3</v>
      </c>
      <c r="FV72">
        <v>5.2399999999999999E-3</v>
      </c>
      <c r="FW72">
        <v>5.0099999999999997E-3</v>
      </c>
      <c r="FX72">
        <v>5.1500000000000001E-3</v>
      </c>
      <c r="FY72">
        <v>5.4099999999999999E-3</v>
      </c>
      <c r="FZ72">
        <v>5.4299999999999999E-3</v>
      </c>
      <c r="GA72">
        <v>5.6800000000000002E-3</v>
      </c>
      <c r="GB72">
        <v>5.6699999999999997E-3</v>
      </c>
      <c r="GC72">
        <v>5.9300000000000004E-3</v>
      </c>
      <c r="GE72">
        <v>6.1500000000000001E-3</v>
      </c>
      <c r="GF72">
        <v>5.5300000000000002E-3</v>
      </c>
      <c r="GG72">
        <v>5.6600000000000001E-3</v>
      </c>
      <c r="GH72">
        <v>5.6699999999999997E-3</v>
      </c>
      <c r="GI72">
        <v>6.4000000000000003E-3</v>
      </c>
      <c r="GJ72">
        <v>6.5399999999999998E-3</v>
      </c>
      <c r="GK72">
        <v>6.6600000000000001E-3</v>
      </c>
      <c r="GL72">
        <v>6.79E-3</v>
      </c>
      <c r="GM72">
        <v>6.1500000000000001E-3</v>
      </c>
      <c r="GO72">
        <v>5.5500000000000002E-3</v>
      </c>
      <c r="GP72">
        <v>4.3899999999999998E-3</v>
      </c>
      <c r="GQ72">
        <v>4.7299999999999998E-3</v>
      </c>
      <c r="GR72">
        <v>4.5900000000000003E-3</v>
      </c>
      <c r="GS72">
        <v>4.4299999999999999E-3</v>
      </c>
      <c r="GT72">
        <v>4.8599999999999997E-3</v>
      </c>
      <c r="GU72">
        <v>7.7000000000000002E-3</v>
      </c>
      <c r="GV72">
        <v>7.1300000000000001E-3</v>
      </c>
      <c r="GW72">
        <v>6.5100000000000002E-3</v>
      </c>
      <c r="GX72">
        <v>6.3200000000000001E-3</v>
      </c>
      <c r="GY72">
        <v>5.1200000000000004E-3</v>
      </c>
      <c r="GZ72">
        <v>5.0400000000000002E-3</v>
      </c>
      <c r="HA72">
        <v>4.7499999999999999E-3</v>
      </c>
      <c r="HB72">
        <v>4.5900000000000003E-3</v>
      </c>
      <c r="HC72">
        <v>7.1399999999999996E-3</v>
      </c>
      <c r="HD72">
        <v>4.0699999999999998E-3</v>
      </c>
      <c r="HE72">
        <v>6.94E-3</v>
      </c>
      <c r="HF72">
        <v>7.1199999999999996E-3</v>
      </c>
      <c r="HG72">
        <v>7.28E-3</v>
      </c>
      <c r="HH72">
        <v>7.26E-3</v>
      </c>
      <c r="HI72">
        <v>7.3000000000000001E-3</v>
      </c>
      <c r="HJ72">
        <v>4.3499999999999997E-3</v>
      </c>
      <c r="HK72">
        <v>4.1900000000000001E-3</v>
      </c>
      <c r="HL72">
        <v>4.9199999999999999E-3</v>
      </c>
      <c r="HM72">
        <v>4.7299999999999998E-3</v>
      </c>
      <c r="HN72">
        <v>5.5300000000000002E-3</v>
      </c>
      <c r="HO72">
        <v>4.3800000000000002E-3</v>
      </c>
      <c r="HP72">
        <v>4.6100000000000004E-3</v>
      </c>
      <c r="HQ72">
        <v>4.8199999999999996E-3</v>
      </c>
      <c r="HR72">
        <v>4.3400000000000001E-3</v>
      </c>
      <c r="HS72">
        <v>8.0000000000000002E-3</v>
      </c>
      <c r="HT72">
        <v>4.3200000000000001E-3</v>
      </c>
      <c r="HU72">
        <v>4.6600000000000001E-3</v>
      </c>
      <c r="HV72">
        <v>5.3499999999999997E-3</v>
      </c>
      <c r="HW72">
        <v>4.7200000000000002E-3</v>
      </c>
      <c r="HX72">
        <v>3.9399999999999999E-3</v>
      </c>
      <c r="HY72">
        <v>4.5900000000000003E-3</v>
      </c>
      <c r="HZ72">
        <v>4.1099999999999999E-3</v>
      </c>
      <c r="IA72">
        <v>5.3800000000000002E-3</v>
      </c>
      <c r="IB72">
        <v>6.9800000000000001E-3</v>
      </c>
      <c r="IC72">
        <v>6.3200000000000001E-3</v>
      </c>
      <c r="IE72">
        <v>3.7799999999999999E-3</v>
      </c>
      <c r="IF72">
        <v>3.8E-3</v>
      </c>
      <c r="IG72">
        <v>4.6499999999999996E-3</v>
      </c>
      <c r="IH72">
        <v>4.7800000000000004E-3</v>
      </c>
      <c r="II72">
        <v>3.7100000000000002E-3</v>
      </c>
      <c r="IJ72">
        <v>4.64E-3</v>
      </c>
      <c r="IK72">
        <v>5.2100000000000002E-3</v>
      </c>
      <c r="IL72">
        <v>5.7400000000000003E-3</v>
      </c>
      <c r="IM72">
        <v>7.7000000000000002E-3</v>
      </c>
      <c r="IN72">
        <v>6.8700000000000002E-3</v>
      </c>
      <c r="IO72">
        <v>7.5700000000000003E-3</v>
      </c>
      <c r="IP72">
        <v>8.3400000000000002E-3</v>
      </c>
      <c r="IQ72">
        <v>8.8400000000000006E-3</v>
      </c>
      <c r="IR72">
        <v>9.5600000000000008E-3</v>
      </c>
      <c r="IS72">
        <v>4.9899999999999996E-3</v>
      </c>
      <c r="IT72">
        <v>3.0699999999999998E-3</v>
      </c>
      <c r="IU72">
        <v>3.2799999999999999E-3</v>
      </c>
      <c r="IV72">
        <v>4.2199999999999998E-3</v>
      </c>
      <c r="IW72">
        <v>4.47E-3</v>
      </c>
      <c r="IX72">
        <v>4.62E-3</v>
      </c>
      <c r="IY72">
        <v>4.3400000000000001E-3</v>
      </c>
      <c r="IZ72">
        <v>3.96E-3</v>
      </c>
      <c r="JA72">
        <v>4.3299999999999996E-3</v>
      </c>
      <c r="JB72">
        <v>4.45E-3</v>
      </c>
      <c r="JC72">
        <v>5.0200000000000002E-3</v>
      </c>
      <c r="JD72">
        <v>5.0299999999999997E-3</v>
      </c>
      <c r="JE72">
        <v>5.7299999999999999E-3</v>
      </c>
      <c r="JF72">
        <v>6.8700000000000002E-3</v>
      </c>
      <c r="JG72">
        <v>8.9899999999999997E-3</v>
      </c>
      <c r="JH72">
        <v>7.8300000000000002E-3</v>
      </c>
      <c r="JI72">
        <v>4.62E-3</v>
      </c>
      <c r="JJ72">
        <v>4.7499999999999999E-3</v>
      </c>
      <c r="JK72">
        <v>7.0800000000000004E-3</v>
      </c>
      <c r="JL72">
        <v>6.4900000000000001E-3</v>
      </c>
      <c r="JM72">
        <v>5.1599999999999997E-3</v>
      </c>
      <c r="JN72">
        <v>5.2599999999999999E-3</v>
      </c>
      <c r="JP72">
        <v>7.0299999999999998E-3</v>
      </c>
      <c r="JQ72">
        <v>5.8900000000000003E-3</v>
      </c>
      <c r="JR72">
        <v>5.1799999999999997E-3</v>
      </c>
      <c r="JS72">
        <v>4.79E-3</v>
      </c>
      <c r="JT72">
        <v>5.6899999999999997E-3</v>
      </c>
      <c r="JU72">
        <v>7.5300000000000002E-3</v>
      </c>
      <c r="JW72">
        <v>4.7699999999999999E-3</v>
      </c>
      <c r="JX72">
        <v>7.0600000000000003E-3</v>
      </c>
      <c r="JY72">
        <v>6.1799999999999997E-3</v>
      </c>
      <c r="JZ72">
        <v>5.2700000000000004E-3</v>
      </c>
      <c r="KA72">
        <v>5.0699999999999999E-3</v>
      </c>
      <c r="KB72">
        <v>5.0899999999999999E-3</v>
      </c>
      <c r="KC72">
        <v>5.2300000000000003E-3</v>
      </c>
      <c r="KD72">
        <v>5.4599999999999996E-3</v>
      </c>
      <c r="KE72">
        <v>8.7799999999999996E-3</v>
      </c>
      <c r="KG72">
        <v>1.0030000000000001E-2</v>
      </c>
      <c r="KH72">
        <v>1.0240000000000001E-2</v>
      </c>
      <c r="KI72">
        <v>5.6600000000000001E-3</v>
      </c>
      <c r="KJ72">
        <v>5.7299999999999999E-3</v>
      </c>
      <c r="KK72">
        <v>5.6299999999999996E-3</v>
      </c>
      <c r="KL72">
        <v>6.0000000000000001E-3</v>
      </c>
      <c r="KM72">
        <v>6.1999999999999998E-3</v>
      </c>
      <c r="KN72">
        <v>6.5900000000000004E-3</v>
      </c>
      <c r="KO72">
        <v>6.3800000000000003E-3</v>
      </c>
      <c r="KP72">
        <v>5.7000000000000002E-3</v>
      </c>
      <c r="KQ72">
        <v>5.8199999999999997E-3</v>
      </c>
      <c r="KR72">
        <v>5.79E-3</v>
      </c>
      <c r="KS72">
        <v>6.1900000000000002E-3</v>
      </c>
      <c r="KT72">
        <v>6.4799999999999996E-3</v>
      </c>
      <c r="KU72">
        <v>6.7099999999999998E-3</v>
      </c>
      <c r="KV72">
        <v>6.0899999999999999E-3</v>
      </c>
      <c r="KW72">
        <v>5.5599999999999998E-3</v>
      </c>
      <c r="KX72">
        <v>9.4900000000000002E-3</v>
      </c>
      <c r="KY72">
        <v>7.4599999999999996E-3</v>
      </c>
      <c r="LA72">
        <v>4.8599999999999997E-3</v>
      </c>
      <c r="LB72">
        <v>4.7999999999999996E-3</v>
      </c>
      <c r="LC72">
        <v>4.79E-3</v>
      </c>
      <c r="LD72">
        <v>4.79E-3</v>
      </c>
      <c r="LE72">
        <v>7.4599999999999996E-3</v>
      </c>
      <c r="LF72">
        <v>6.5399999999999998E-3</v>
      </c>
      <c r="LG72">
        <v>4.7699999999999999E-3</v>
      </c>
      <c r="LH72">
        <v>4.7999999999999996E-3</v>
      </c>
      <c r="LI72">
        <v>7.4900000000000001E-3</v>
      </c>
      <c r="LJ72">
        <v>7.8499999999999993E-3</v>
      </c>
      <c r="LK72">
        <v>7.9699999999999997E-3</v>
      </c>
      <c r="LL72">
        <v>4.79E-3</v>
      </c>
      <c r="LM72">
        <v>3.7699999999999999E-3</v>
      </c>
      <c r="LN72">
        <v>3.8600000000000001E-3</v>
      </c>
      <c r="LO72">
        <v>4.0899999999999999E-3</v>
      </c>
      <c r="LP72">
        <v>3.7699999999999999E-3</v>
      </c>
      <c r="LR72">
        <v>7.2399999999999999E-3</v>
      </c>
      <c r="LS72">
        <v>8.1099999999999992E-3</v>
      </c>
      <c r="LT72">
        <v>4.2500000000000003E-3</v>
      </c>
      <c r="LU72">
        <v>4.5100000000000001E-3</v>
      </c>
      <c r="LV72">
        <v>4.5500000000000002E-3</v>
      </c>
      <c r="LW72">
        <v>5.0200000000000002E-3</v>
      </c>
      <c r="LY72">
        <v>5.5700000000000003E-3</v>
      </c>
      <c r="MA72">
        <v>6.1700000000000001E-3</v>
      </c>
      <c r="MB72">
        <v>4.8799999999999998E-3</v>
      </c>
      <c r="MC72">
        <v>7.11E-3</v>
      </c>
      <c r="MD72">
        <v>8.0499999999999999E-3</v>
      </c>
      <c r="ME72">
        <v>9.7999999999999997E-3</v>
      </c>
      <c r="MF72">
        <v>1.204E-2</v>
      </c>
      <c r="MG72">
        <v>1.302E-2</v>
      </c>
      <c r="MH72">
        <v>4.4600000000000004E-3</v>
      </c>
      <c r="MI72">
        <v>3.9899999999999996E-3</v>
      </c>
      <c r="MJ72">
        <v>4.2700000000000004E-3</v>
      </c>
      <c r="MK72">
        <v>4.1700000000000001E-3</v>
      </c>
      <c r="ML72">
        <v>4.6299999999999996E-3</v>
      </c>
      <c r="MM72">
        <v>3.7000000000000002E-3</v>
      </c>
      <c r="MN72">
        <v>4.4900000000000001E-3</v>
      </c>
      <c r="MO72">
        <v>4.7099999999999998E-3</v>
      </c>
      <c r="MP72">
        <v>6.0499999999999998E-3</v>
      </c>
      <c r="MQ72">
        <v>3.5300000000000002E-3</v>
      </c>
      <c r="MR72">
        <v>4.7099999999999998E-3</v>
      </c>
      <c r="MS72">
        <v>4.7299999999999998E-3</v>
      </c>
      <c r="MT72">
        <v>6.1599999999999997E-3</v>
      </c>
      <c r="MU72">
        <v>4.9300000000000004E-3</v>
      </c>
      <c r="MV72">
        <v>5.0699999999999999E-3</v>
      </c>
      <c r="MW72">
        <v>5.13E-3</v>
      </c>
      <c r="MX72">
        <v>5.1000000000000004E-3</v>
      </c>
      <c r="MY72">
        <v>5.4000000000000003E-3</v>
      </c>
      <c r="NA72">
        <v>5.2199999999999998E-3</v>
      </c>
      <c r="NB72">
        <v>4.8399999999999997E-3</v>
      </c>
      <c r="NC72">
        <v>3.15E-3</v>
      </c>
      <c r="ND72">
        <v>1.094E-2</v>
      </c>
      <c r="NE72">
        <v>5.1399999999999996E-3</v>
      </c>
      <c r="NF72">
        <v>7.0499999999999998E-3</v>
      </c>
      <c r="NG72">
        <v>4.0299999999999997E-3</v>
      </c>
      <c r="NH72">
        <v>3.5899999999999999E-3</v>
      </c>
      <c r="NI72">
        <v>3.7699999999999999E-3</v>
      </c>
      <c r="NJ72">
        <v>4.0699999999999998E-3</v>
      </c>
      <c r="NK72">
        <v>3.82E-3</v>
      </c>
      <c r="NM72">
        <v>4.13E-3</v>
      </c>
      <c r="NO72">
        <v>4.3600000000000002E-3</v>
      </c>
      <c r="NP72">
        <v>5.0899999999999999E-3</v>
      </c>
      <c r="NQ72">
        <v>3.8500000000000001E-3</v>
      </c>
      <c r="NR72">
        <v>4.0600000000000002E-3</v>
      </c>
      <c r="NS72">
        <v>4.1999999999999997E-3</v>
      </c>
      <c r="NT72">
        <v>4.4000000000000003E-3</v>
      </c>
      <c r="NU72">
        <v>3.9899999999999996E-3</v>
      </c>
      <c r="NV72">
        <v>4.1200000000000004E-3</v>
      </c>
      <c r="NW72">
        <v>4.3499999999999997E-3</v>
      </c>
      <c r="NX72">
        <v>4.0299999999999997E-3</v>
      </c>
      <c r="NY72">
        <v>4.3E-3</v>
      </c>
      <c r="NZ72">
        <v>4.2599999999999999E-3</v>
      </c>
      <c r="OA72">
        <v>4.4299999999999999E-3</v>
      </c>
      <c r="OB72">
        <v>4.8999999999999998E-3</v>
      </c>
      <c r="OC72">
        <v>4.1000000000000003E-3</v>
      </c>
      <c r="OD72">
        <v>4.1000000000000003E-3</v>
      </c>
      <c r="OE72">
        <v>4.1000000000000003E-3</v>
      </c>
      <c r="OF72">
        <v>6.96E-3</v>
      </c>
      <c r="OG72">
        <v>4.3299999999999996E-3</v>
      </c>
      <c r="OH72">
        <v>4.47E-3</v>
      </c>
      <c r="OI72">
        <v>4.5100000000000001E-3</v>
      </c>
      <c r="OJ72">
        <v>4.6699999999999997E-3</v>
      </c>
      <c r="OK72">
        <v>4.7299999999999998E-3</v>
      </c>
      <c r="OL72">
        <v>4.81E-3</v>
      </c>
      <c r="OM72">
        <v>5.4599999999999996E-3</v>
      </c>
      <c r="ON72">
        <v>5.5799999999999999E-3</v>
      </c>
      <c r="OO72">
        <v>4.4299999999999999E-3</v>
      </c>
      <c r="OP72">
        <v>4.62E-3</v>
      </c>
      <c r="OR72">
        <v>5.1700000000000001E-3</v>
      </c>
      <c r="OS72">
        <v>5.5599999999999998E-3</v>
      </c>
      <c r="OT72">
        <v>5.4299999999999999E-3</v>
      </c>
      <c r="OU72">
        <v>5.62E-3</v>
      </c>
      <c r="OV72">
        <v>5.4099999999999999E-3</v>
      </c>
      <c r="OW72">
        <v>5.0499999999999998E-3</v>
      </c>
      <c r="OX72">
        <v>5.4299999999999999E-3</v>
      </c>
      <c r="OY72">
        <v>5.7200000000000003E-3</v>
      </c>
      <c r="OZ72">
        <v>5.4099999999999999E-3</v>
      </c>
      <c r="PA72">
        <v>7.2199999999999999E-3</v>
      </c>
      <c r="PB72">
        <v>7.4900000000000001E-3</v>
      </c>
      <c r="PC72">
        <v>6.5599999999999999E-3</v>
      </c>
      <c r="PD72">
        <v>5.9199999999999999E-3</v>
      </c>
      <c r="PE72">
        <v>5.6499999999999996E-3</v>
      </c>
      <c r="PF72">
        <v>5.7400000000000003E-3</v>
      </c>
      <c r="PG72">
        <v>5.1799999999999997E-3</v>
      </c>
      <c r="PH72">
        <v>5.3200000000000001E-3</v>
      </c>
      <c r="PI72">
        <v>6.1500000000000001E-3</v>
      </c>
      <c r="PJ72">
        <v>5.7999999999999996E-3</v>
      </c>
      <c r="PK72">
        <v>5.4099999999999999E-3</v>
      </c>
      <c r="PL72">
        <v>5.79E-3</v>
      </c>
      <c r="PM72">
        <v>4.96E-3</v>
      </c>
      <c r="PN72">
        <v>4.6800000000000001E-3</v>
      </c>
      <c r="PO72">
        <v>3.7499999999999999E-3</v>
      </c>
      <c r="PP72">
        <v>3.8600000000000001E-3</v>
      </c>
      <c r="PQ72">
        <v>5.11E-3</v>
      </c>
      <c r="PR72">
        <v>4.64E-3</v>
      </c>
      <c r="PS72">
        <v>3.9199999999999999E-3</v>
      </c>
      <c r="PT72">
        <v>6.13E-3</v>
      </c>
      <c r="PU72">
        <v>4.8999999999999998E-3</v>
      </c>
      <c r="PV72">
        <v>3.0699999999999998E-3</v>
      </c>
      <c r="PW72">
        <v>2.9099999999999998E-3</v>
      </c>
      <c r="PX72">
        <v>2.8600000000000001E-3</v>
      </c>
      <c r="PY72">
        <v>2.81E-3</v>
      </c>
      <c r="PZ72">
        <v>2.8600000000000001E-3</v>
      </c>
      <c r="QA72">
        <v>4.1599999999999996E-3</v>
      </c>
      <c r="QB72">
        <v>4.4400000000000004E-3</v>
      </c>
      <c r="QC72">
        <v>4.96E-3</v>
      </c>
      <c r="QD72">
        <v>5.6299999999999996E-3</v>
      </c>
      <c r="QE72">
        <v>4.4299999999999999E-3</v>
      </c>
      <c r="QF72">
        <v>4.8900000000000002E-3</v>
      </c>
      <c r="QG72">
        <v>6.4599999999999996E-3</v>
      </c>
      <c r="QH72">
        <v>4.7600000000000003E-3</v>
      </c>
      <c r="QI72">
        <v>4.9300000000000004E-3</v>
      </c>
      <c r="QJ72">
        <v>4.64E-3</v>
      </c>
      <c r="QK72">
        <v>4.79E-3</v>
      </c>
      <c r="QL72">
        <v>4.6899999999999997E-3</v>
      </c>
      <c r="QM72">
        <v>5.1700000000000001E-3</v>
      </c>
      <c r="QN72">
        <v>8.09E-3</v>
      </c>
      <c r="QO72">
        <v>6.45E-3</v>
      </c>
      <c r="QP72">
        <v>7.0699999999999999E-3</v>
      </c>
      <c r="QQ72">
        <v>7.0699999999999999E-3</v>
      </c>
      <c r="QR72">
        <v>7.0600000000000003E-3</v>
      </c>
      <c r="QS72">
        <v>7.0899999999999999E-3</v>
      </c>
      <c r="QT72">
        <v>5.3200000000000001E-3</v>
      </c>
      <c r="QU72">
        <v>5.2900000000000004E-3</v>
      </c>
      <c r="QV72">
        <v>5.2700000000000004E-3</v>
      </c>
      <c r="QW72">
        <v>5.6100000000000004E-3</v>
      </c>
      <c r="QX72">
        <v>4.9199999999999999E-3</v>
      </c>
      <c r="QY72">
        <v>4.8700000000000002E-3</v>
      </c>
      <c r="QZ72">
        <v>5.0499999999999998E-3</v>
      </c>
      <c r="RA72">
        <v>4.79E-3</v>
      </c>
      <c r="RB72">
        <v>5.1900000000000002E-3</v>
      </c>
      <c r="RC72">
        <v>4.7299999999999998E-3</v>
      </c>
      <c r="RD72">
        <v>5.0099999999999997E-3</v>
      </c>
      <c r="RE72">
        <v>4.5500000000000002E-3</v>
      </c>
      <c r="RF72">
        <v>5.5599999999999998E-3</v>
      </c>
      <c r="RG72">
        <v>4.3200000000000001E-3</v>
      </c>
      <c r="RH72">
        <v>5.1000000000000004E-3</v>
      </c>
      <c r="RI72">
        <v>6.4900000000000001E-3</v>
      </c>
      <c r="RJ72">
        <v>4.8500000000000001E-3</v>
      </c>
      <c r="RK72">
        <v>4.9800000000000001E-3</v>
      </c>
      <c r="RL72">
        <v>4.6800000000000001E-3</v>
      </c>
      <c r="RM72">
        <v>4.0299999999999997E-3</v>
      </c>
      <c r="RN72">
        <v>4.1099999999999999E-3</v>
      </c>
      <c r="RO72">
        <v>4.1099999999999999E-3</v>
      </c>
      <c r="RP72">
        <v>4.1000000000000003E-3</v>
      </c>
      <c r="RQ72">
        <v>4.5399999999999998E-3</v>
      </c>
      <c r="RR72">
        <v>4.28E-3</v>
      </c>
      <c r="RS72">
        <v>4.4400000000000004E-3</v>
      </c>
      <c r="RT72">
        <v>3.65E-3</v>
      </c>
      <c r="RU72">
        <v>5.0699999999999999E-3</v>
      </c>
      <c r="RV72">
        <v>4.4999999999999997E-3</v>
      </c>
      <c r="RW72">
        <v>4.9199999999999999E-3</v>
      </c>
      <c r="RX72">
        <v>4.6499999999999996E-3</v>
      </c>
      <c r="RY72">
        <v>5.11E-3</v>
      </c>
      <c r="RZ72">
        <v>3.5400000000000002E-3</v>
      </c>
      <c r="SA72">
        <v>3.9699999999999996E-3</v>
      </c>
      <c r="SB72">
        <v>3.7399999999999998E-3</v>
      </c>
      <c r="SC72">
        <v>5.3299999999999997E-3</v>
      </c>
      <c r="SD72">
        <v>5.8399999999999997E-3</v>
      </c>
      <c r="SE72">
        <v>5.3699999999999998E-3</v>
      </c>
      <c r="SF72">
        <v>6.0299999999999998E-3</v>
      </c>
      <c r="SG72">
        <v>7.3699999999999998E-3</v>
      </c>
      <c r="SH72">
        <v>9.5899999999999996E-3</v>
      </c>
      <c r="SI72">
        <v>5.2599999999999999E-3</v>
      </c>
      <c r="SJ72">
        <v>4.4999999999999997E-3</v>
      </c>
      <c r="SK72">
        <v>3.8899999999999998E-3</v>
      </c>
      <c r="SL72">
        <v>4.3299999999999996E-3</v>
      </c>
      <c r="SM72">
        <v>3.64E-3</v>
      </c>
      <c r="SN72">
        <v>4.28E-3</v>
      </c>
      <c r="SO72">
        <v>4.2199999999999998E-3</v>
      </c>
      <c r="SP72">
        <v>5.5799999999999999E-3</v>
      </c>
      <c r="SQ72">
        <v>4.5900000000000003E-3</v>
      </c>
      <c r="SR72">
        <v>5.28E-3</v>
      </c>
      <c r="SS72">
        <v>4.79E-3</v>
      </c>
      <c r="SU72">
        <v>5.0000000000000001E-3</v>
      </c>
      <c r="SV72">
        <v>4.79E-3</v>
      </c>
      <c r="SW72">
        <v>5.0800000000000003E-3</v>
      </c>
      <c r="SX72">
        <v>4.6299999999999996E-3</v>
      </c>
      <c r="SY72">
        <v>4.6699999999999997E-3</v>
      </c>
      <c r="SZ72">
        <v>5.11E-3</v>
      </c>
      <c r="TA72">
        <v>4.7999999999999996E-3</v>
      </c>
      <c r="TB72">
        <v>5.79E-3</v>
      </c>
      <c r="TC72">
        <v>4.8799999999999998E-3</v>
      </c>
      <c r="TD72">
        <v>4.3499999999999997E-3</v>
      </c>
      <c r="TE72">
        <v>6.1199999999999996E-3</v>
      </c>
      <c r="TG72">
        <v>5.7099999999999998E-3</v>
      </c>
      <c r="TH72">
        <v>6.11E-3</v>
      </c>
      <c r="TI72">
        <v>5.1599999999999997E-3</v>
      </c>
      <c r="TJ72">
        <v>6.2300000000000003E-3</v>
      </c>
      <c r="TK72">
        <v>4.1399999999999996E-3</v>
      </c>
      <c r="TL72">
        <v>4.0800000000000003E-3</v>
      </c>
      <c r="TM72">
        <v>4.0600000000000002E-3</v>
      </c>
      <c r="TN72">
        <v>4.4999999999999997E-3</v>
      </c>
      <c r="TQ72">
        <v>5.1599999999999997E-3</v>
      </c>
      <c r="TR72">
        <v>5.45E-3</v>
      </c>
      <c r="TS72">
        <v>4.8799999999999998E-3</v>
      </c>
      <c r="TU72">
        <v>4.7499999999999999E-3</v>
      </c>
      <c r="TV72">
        <v>4.0499999999999998E-3</v>
      </c>
      <c r="TW72">
        <v>4.64E-3</v>
      </c>
      <c r="TX72">
        <v>5.0400000000000002E-3</v>
      </c>
      <c r="TY72">
        <v>5.11E-3</v>
      </c>
      <c r="TZ72">
        <v>5.13E-3</v>
      </c>
      <c r="UA72">
        <v>5.1799999999999997E-3</v>
      </c>
      <c r="UB72">
        <v>5.0200000000000002E-3</v>
      </c>
      <c r="UC72">
        <v>4.6699999999999997E-3</v>
      </c>
      <c r="UD72">
        <v>4.7800000000000004E-3</v>
      </c>
      <c r="UE72">
        <v>4.96E-3</v>
      </c>
      <c r="UF72">
        <v>3.7799999999999999E-3</v>
      </c>
      <c r="UG72">
        <v>4.3E-3</v>
      </c>
      <c r="UH72">
        <v>5.0899999999999999E-3</v>
      </c>
      <c r="UI72">
        <v>4.0499999999999998E-3</v>
      </c>
      <c r="UJ72">
        <v>5.0299999999999997E-3</v>
      </c>
      <c r="UK72">
        <v>5.1399999999999996E-3</v>
      </c>
      <c r="UL72">
        <v>5.1200000000000004E-3</v>
      </c>
      <c r="UM72">
        <v>5.5399999999999998E-3</v>
      </c>
      <c r="UN72">
        <v>4.9800000000000001E-3</v>
      </c>
      <c r="UO72">
        <v>4.8300000000000001E-3</v>
      </c>
      <c r="UP72">
        <v>5.8999999999999999E-3</v>
      </c>
      <c r="UQ72">
        <v>4.79E-3</v>
      </c>
      <c r="UR72">
        <v>4.7999999999999996E-3</v>
      </c>
      <c r="US72">
        <v>5.0800000000000003E-3</v>
      </c>
      <c r="UT72">
        <v>4.7499999999999999E-3</v>
      </c>
      <c r="UU72">
        <v>4.79E-3</v>
      </c>
      <c r="UV72">
        <v>5.0800000000000003E-3</v>
      </c>
      <c r="UW72">
        <v>5.0099999999999997E-3</v>
      </c>
      <c r="UX72">
        <v>3.9300000000000003E-3</v>
      </c>
      <c r="UY72">
        <v>4.3600000000000002E-3</v>
      </c>
      <c r="UZ72">
        <v>5.0699999999999999E-3</v>
      </c>
      <c r="VA72">
        <v>5.9800000000000001E-3</v>
      </c>
      <c r="VB72">
        <v>5.3200000000000001E-3</v>
      </c>
      <c r="VD72">
        <v>3.81E-3</v>
      </c>
      <c r="VE72">
        <v>4.5999999999999999E-3</v>
      </c>
      <c r="VF72">
        <v>4.4200000000000003E-3</v>
      </c>
      <c r="VG72">
        <v>7.3699999999999998E-3</v>
      </c>
      <c r="VH72">
        <v>3.9199999999999999E-3</v>
      </c>
      <c r="VI72">
        <v>4.5599999999999998E-3</v>
      </c>
    </row>
    <row r="73" spans="1:581" x14ac:dyDescent="0.25">
      <c r="A73">
        <v>3000000</v>
      </c>
      <c r="B73">
        <v>5.0400000000000002E-3</v>
      </c>
      <c r="C73">
        <v>5.1000000000000004E-3</v>
      </c>
      <c r="D73">
        <v>5.3E-3</v>
      </c>
      <c r="E73">
        <v>5.7200000000000003E-3</v>
      </c>
      <c r="G73">
        <v>6.2199999999999998E-3</v>
      </c>
      <c r="H73">
        <v>5.0400000000000002E-3</v>
      </c>
      <c r="I73">
        <v>5.0299999999999997E-3</v>
      </c>
      <c r="J73">
        <v>5.1700000000000001E-3</v>
      </c>
      <c r="K73">
        <v>4.9699999999999996E-3</v>
      </c>
      <c r="L73">
        <v>4.96E-3</v>
      </c>
      <c r="M73">
        <v>4.96E-3</v>
      </c>
      <c r="N73">
        <v>5.0299999999999997E-3</v>
      </c>
      <c r="O73">
        <v>4.2100000000000002E-3</v>
      </c>
      <c r="P73">
        <v>4.13E-3</v>
      </c>
      <c r="Q73">
        <v>4.1900000000000001E-3</v>
      </c>
      <c r="R73">
        <v>4.1700000000000001E-3</v>
      </c>
      <c r="S73">
        <v>4.96E-3</v>
      </c>
      <c r="T73">
        <v>5.0800000000000003E-3</v>
      </c>
      <c r="U73">
        <v>5.6899999999999997E-3</v>
      </c>
      <c r="V73">
        <v>4.9899999999999996E-3</v>
      </c>
      <c r="W73">
        <v>5.4799999999999996E-3</v>
      </c>
      <c r="X73">
        <v>4.9699999999999996E-3</v>
      </c>
      <c r="Y73">
        <v>5.3899999999999998E-3</v>
      </c>
      <c r="Z73">
        <v>4.8700000000000002E-3</v>
      </c>
      <c r="AA73">
        <v>3.8E-3</v>
      </c>
      <c r="AB73">
        <v>6.6800000000000002E-3</v>
      </c>
      <c r="AC73">
        <v>6.8900000000000003E-3</v>
      </c>
      <c r="AD73">
        <v>4.7400000000000003E-3</v>
      </c>
      <c r="AE73">
        <v>5.2100000000000002E-3</v>
      </c>
      <c r="AG73">
        <v>4.2599999999999999E-3</v>
      </c>
      <c r="AH73">
        <v>3.81E-3</v>
      </c>
      <c r="AI73">
        <v>3.5500000000000002E-3</v>
      </c>
      <c r="AJ73">
        <v>4.3299999999999996E-3</v>
      </c>
      <c r="AK73">
        <v>5.7200000000000003E-3</v>
      </c>
      <c r="AL73">
        <v>6.5300000000000002E-3</v>
      </c>
      <c r="AM73">
        <v>4.1999999999999997E-3</v>
      </c>
      <c r="AN73">
        <v>4.2100000000000002E-3</v>
      </c>
      <c r="AO73">
        <v>8.6800000000000002E-3</v>
      </c>
      <c r="AP73">
        <v>4.28E-3</v>
      </c>
      <c r="AQ73">
        <v>3.8600000000000001E-3</v>
      </c>
      <c r="AR73">
        <v>4.5100000000000001E-3</v>
      </c>
      <c r="AS73">
        <v>4.2199999999999998E-3</v>
      </c>
      <c r="AT73">
        <v>3.3E-3</v>
      </c>
      <c r="AU73">
        <v>3.7599999999999999E-3</v>
      </c>
      <c r="AV73">
        <v>3.8800000000000002E-3</v>
      </c>
      <c r="AW73">
        <v>3.9399999999999999E-3</v>
      </c>
      <c r="AX73">
        <v>4.0099999999999997E-3</v>
      </c>
      <c r="AY73">
        <v>5.3699999999999998E-3</v>
      </c>
      <c r="AZ73">
        <v>5.4400000000000004E-3</v>
      </c>
      <c r="BA73">
        <v>4.1000000000000003E-3</v>
      </c>
      <c r="BB73">
        <v>5.4599999999999996E-3</v>
      </c>
      <c r="BC73">
        <v>5.7400000000000003E-3</v>
      </c>
      <c r="BD73">
        <v>5.79E-3</v>
      </c>
      <c r="BE73">
        <v>6.7000000000000002E-3</v>
      </c>
      <c r="BF73">
        <v>8.1899999999999994E-3</v>
      </c>
      <c r="BG73">
        <v>5.5100000000000001E-3</v>
      </c>
      <c r="BH73">
        <v>3.9699999999999996E-3</v>
      </c>
      <c r="BI73">
        <v>7.9299999999999995E-3</v>
      </c>
      <c r="BJ73">
        <v>5.6699999999999997E-3</v>
      </c>
      <c r="BK73">
        <v>5.8700000000000002E-3</v>
      </c>
      <c r="BL73">
        <v>5.9199999999999999E-3</v>
      </c>
      <c r="BM73">
        <v>5.7099999999999998E-3</v>
      </c>
      <c r="BN73">
        <v>7.0499999999999998E-3</v>
      </c>
      <c r="BO73">
        <v>6.6699999999999997E-3</v>
      </c>
      <c r="BP73">
        <v>6.4799999999999996E-3</v>
      </c>
      <c r="BQ73">
        <v>5.7099999999999998E-3</v>
      </c>
      <c r="BR73">
        <v>3.0200000000000001E-3</v>
      </c>
      <c r="BT73">
        <v>5.4400000000000004E-3</v>
      </c>
      <c r="BU73">
        <v>7.4900000000000001E-3</v>
      </c>
      <c r="BV73">
        <v>7.4599999999999996E-3</v>
      </c>
      <c r="BW73">
        <v>7.2100000000000003E-3</v>
      </c>
      <c r="BX73">
        <v>7.0400000000000003E-3</v>
      </c>
      <c r="BY73">
        <v>7.1199999999999996E-3</v>
      </c>
      <c r="BZ73">
        <v>6.1900000000000002E-3</v>
      </c>
      <c r="CA73">
        <v>6.3800000000000003E-3</v>
      </c>
      <c r="CB73">
        <v>5.5399999999999998E-3</v>
      </c>
      <c r="CC73">
        <v>5.79E-3</v>
      </c>
      <c r="CD73">
        <v>4.5599999999999998E-3</v>
      </c>
      <c r="CE73">
        <v>5.0600000000000003E-3</v>
      </c>
      <c r="CF73">
        <v>4.9300000000000004E-3</v>
      </c>
      <c r="CH73">
        <v>4.7299999999999998E-3</v>
      </c>
      <c r="CI73">
        <v>4.6499999999999996E-3</v>
      </c>
      <c r="CJ73">
        <v>4.5300000000000002E-3</v>
      </c>
      <c r="CK73">
        <v>4.7999999999999996E-3</v>
      </c>
      <c r="CL73">
        <v>5.0800000000000003E-3</v>
      </c>
      <c r="CM73">
        <v>4.96E-3</v>
      </c>
      <c r="CN73">
        <v>5.0299999999999997E-3</v>
      </c>
      <c r="CO73">
        <v>4.96E-3</v>
      </c>
      <c r="CP73">
        <v>5.11E-3</v>
      </c>
      <c r="CQ73">
        <v>5.28E-3</v>
      </c>
      <c r="CR73">
        <v>5.0800000000000003E-3</v>
      </c>
      <c r="CS73">
        <v>5.2500000000000003E-3</v>
      </c>
      <c r="CT73">
        <v>5.5900000000000004E-3</v>
      </c>
      <c r="CU73">
        <v>4.6800000000000001E-3</v>
      </c>
      <c r="CV73">
        <v>4.8799999999999998E-3</v>
      </c>
      <c r="CW73">
        <v>4.8300000000000001E-3</v>
      </c>
      <c r="CX73">
        <v>5.1700000000000001E-3</v>
      </c>
      <c r="CY73">
        <v>4.62E-3</v>
      </c>
      <c r="CZ73">
        <v>4.8199999999999996E-3</v>
      </c>
      <c r="DA73">
        <v>4.6499999999999996E-3</v>
      </c>
      <c r="DB73">
        <v>4.5799999999999999E-3</v>
      </c>
      <c r="DC73">
        <v>4.5700000000000003E-3</v>
      </c>
      <c r="DD73">
        <v>4.5799999999999999E-3</v>
      </c>
      <c r="DE73">
        <v>4.6100000000000004E-3</v>
      </c>
      <c r="DF73">
        <v>4.6800000000000001E-3</v>
      </c>
      <c r="DG73">
        <v>3.5200000000000001E-3</v>
      </c>
      <c r="DH73">
        <v>4.4900000000000001E-3</v>
      </c>
      <c r="DI73">
        <v>4.62E-3</v>
      </c>
      <c r="DJ73">
        <v>4.6800000000000001E-3</v>
      </c>
      <c r="DK73">
        <v>4.9800000000000001E-3</v>
      </c>
      <c r="DL73">
        <v>6.9300000000000004E-3</v>
      </c>
      <c r="DM73">
        <v>6.96E-3</v>
      </c>
      <c r="DO73">
        <v>7.1000000000000004E-3</v>
      </c>
      <c r="DP73">
        <v>7.1999999999999998E-3</v>
      </c>
      <c r="DQ73">
        <v>7.11E-3</v>
      </c>
      <c r="DR73">
        <v>7.3400000000000002E-3</v>
      </c>
      <c r="DS73">
        <v>6.4999999999999997E-3</v>
      </c>
      <c r="DT73">
        <v>7.1700000000000002E-3</v>
      </c>
      <c r="DV73">
        <v>7.4599999999999996E-3</v>
      </c>
      <c r="DW73">
        <v>7.5100000000000002E-3</v>
      </c>
      <c r="DX73">
        <v>7.5599999999999999E-3</v>
      </c>
      <c r="DY73">
        <v>7.8100000000000001E-3</v>
      </c>
      <c r="DZ73">
        <v>7.5900000000000004E-3</v>
      </c>
      <c r="EA73">
        <v>4.28E-3</v>
      </c>
      <c r="EB73">
        <v>4.3099999999999996E-3</v>
      </c>
      <c r="EC73">
        <v>4.1700000000000001E-3</v>
      </c>
      <c r="EF73">
        <v>8.8199999999999997E-3</v>
      </c>
      <c r="EI73">
        <v>5.3499999999999997E-3</v>
      </c>
      <c r="EJ73">
        <v>5.1000000000000004E-3</v>
      </c>
      <c r="EK73">
        <v>4.8500000000000001E-3</v>
      </c>
      <c r="EL73">
        <v>4.9399999999999999E-3</v>
      </c>
      <c r="EN73">
        <v>5.28E-3</v>
      </c>
      <c r="EO73">
        <v>5.2399999999999999E-3</v>
      </c>
      <c r="EQ73">
        <v>5.6299999999999996E-3</v>
      </c>
      <c r="ER73">
        <v>3.81E-3</v>
      </c>
      <c r="ES73">
        <v>3.9300000000000003E-3</v>
      </c>
      <c r="ET73">
        <v>3.6700000000000001E-3</v>
      </c>
      <c r="EU73">
        <v>7.9699999999999997E-3</v>
      </c>
      <c r="EV73">
        <v>7.4000000000000003E-3</v>
      </c>
      <c r="EW73">
        <v>7.1000000000000004E-3</v>
      </c>
      <c r="EX73">
        <v>7.0499999999999998E-3</v>
      </c>
      <c r="EY73">
        <v>6.7499999999999999E-3</v>
      </c>
      <c r="EZ73">
        <v>6.5399999999999998E-3</v>
      </c>
      <c r="FA73">
        <v>4.4900000000000001E-3</v>
      </c>
      <c r="FB73">
        <v>4.9800000000000001E-3</v>
      </c>
      <c r="FC73">
        <v>4.1900000000000001E-3</v>
      </c>
      <c r="FD73">
        <v>4.28E-3</v>
      </c>
      <c r="FE73">
        <v>4.8500000000000001E-3</v>
      </c>
      <c r="FF73">
        <v>4.1799999999999997E-3</v>
      </c>
      <c r="FG73">
        <v>7.26E-3</v>
      </c>
      <c r="FH73">
        <v>7.2199999999999999E-3</v>
      </c>
      <c r="FI73">
        <v>7.1900000000000002E-3</v>
      </c>
      <c r="FJ73">
        <v>7.3499999999999998E-3</v>
      </c>
      <c r="FK73">
        <v>6.4200000000000004E-3</v>
      </c>
      <c r="FL73">
        <v>4.6100000000000004E-3</v>
      </c>
      <c r="FN73">
        <v>4.2500000000000003E-3</v>
      </c>
      <c r="FO73">
        <v>4.1399999999999996E-3</v>
      </c>
      <c r="FP73">
        <v>3.8600000000000001E-3</v>
      </c>
      <c r="FQ73">
        <v>4.5100000000000001E-3</v>
      </c>
      <c r="FR73">
        <v>7.7499999999999999E-3</v>
      </c>
      <c r="FS73">
        <v>4.7299999999999998E-3</v>
      </c>
      <c r="FT73">
        <v>4.7800000000000004E-3</v>
      </c>
      <c r="FU73">
        <v>4.8599999999999997E-3</v>
      </c>
      <c r="FW73">
        <v>4.96E-3</v>
      </c>
      <c r="FX73">
        <v>5.0899999999999999E-3</v>
      </c>
      <c r="FY73">
        <v>5.3499999999999997E-3</v>
      </c>
      <c r="FZ73">
        <v>5.3899999999999998E-3</v>
      </c>
      <c r="GA73">
        <v>5.62E-3</v>
      </c>
      <c r="GB73">
        <v>5.6299999999999996E-3</v>
      </c>
      <c r="GC73">
        <v>5.8900000000000003E-3</v>
      </c>
      <c r="GD73">
        <v>5.7600000000000004E-3</v>
      </c>
      <c r="GE73">
        <v>6.11E-3</v>
      </c>
      <c r="GF73">
        <v>5.4900000000000001E-3</v>
      </c>
      <c r="GG73">
        <v>5.64E-3</v>
      </c>
      <c r="GH73">
        <v>5.6299999999999996E-3</v>
      </c>
      <c r="GI73">
        <v>6.3600000000000002E-3</v>
      </c>
      <c r="GJ73">
        <v>6.4999999999999997E-3</v>
      </c>
      <c r="GK73">
        <v>6.62E-3</v>
      </c>
      <c r="GL73">
        <v>6.7400000000000003E-3</v>
      </c>
      <c r="GM73">
        <v>6.1199999999999996E-3</v>
      </c>
      <c r="GO73">
        <v>5.5100000000000001E-3</v>
      </c>
      <c r="GP73">
        <v>4.3499999999999997E-3</v>
      </c>
      <c r="GQ73">
        <v>4.7000000000000002E-3</v>
      </c>
      <c r="GR73">
        <v>4.5300000000000002E-3</v>
      </c>
      <c r="GS73">
        <v>4.3899999999999998E-3</v>
      </c>
      <c r="GT73">
        <v>4.8199999999999996E-3</v>
      </c>
      <c r="GU73">
        <v>7.7400000000000004E-3</v>
      </c>
      <c r="GV73">
        <v>7.1000000000000004E-3</v>
      </c>
      <c r="GW73">
        <v>6.4700000000000001E-3</v>
      </c>
      <c r="GX73">
        <v>6.2899999999999996E-3</v>
      </c>
      <c r="GY73">
        <v>5.0400000000000002E-3</v>
      </c>
      <c r="GZ73">
        <v>4.9800000000000001E-3</v>
      </c>
      <c r="HA73">
        <v>4.7400000000000003E-3</v>
      </c>
      <c r="HB73">
        <v>4.5799999999999999E-3</v>
      </c>
      <c r="HC73">
        <v>7.11E-3</v>
      </c>
      <c r="HD73">
        <v>4.1099999999999999E-3</v>
      </c>
      <c r="HE73">
        <v>6.9199999999999999E-3</v>
      </c>
      <c r="HF73">
        <v>7.0800000000000004E-3</v>
      </c>
      <c r="HG73">
        <v>7.2399999999999999E-3</v>
      </c>
      <c r="HH73">
        <v>7.2100000000000003E-3</v>
      </c>
      <c r="HI73">
        <v>7.26E-3</v>
      </c>
      <c r="HJ73">
        <v>4.3600000000000002E-3</v>
      </c>
      <c r="HK73">
        <v>4.13E-3</v>
      </c>
      <c r="HL73">
        <v>4.8799999999999998E-3</v>
      </c>
      <c r="HM73">
        <v>4.6800000000000001E-3</v>
      </c>
      <c r="HN73">
        <v>5.5199999999999997E-3</v>
      </c>
      <c r="HO73">
        <v>4.3400000000000001E-3</v>
      </c>
      <c r="HP73">
        <v>4.62E-3</v>
      </c>
      <c r="HQ73">
        <v>4.8399999999999997E-3</v>
      </c>
      <c r="HR73">
        <v>4.28E-3</v>
      </c>
      <c r="HS73">
        <v>7.9900000000000006E-3</v>
      </c>
      <c r="HT73">
        <v>4.3699999999999998E-3</v>
      </c>
      <c r="HU73">
        <v>4.64E-3</v>
      </c>
      <c r="HV73">
        <v>5.3E-3</v>
      </c>
      <c r="HW73">
        <v>4.7000000000000002E-3</v>
      </c>
      <c r="HX73">
        <v>3.8899999999999998E-3</v>
      </c>
      <c r="HY73">
        <v>4.5599999999999998E-3</v>
      </c>
      <c r="HZ73">
        <v>4.13E-3</v>
      </c>
      <c r="IA73">
        <v>5.3299999999999997E-3</v>
      </c>
      <c r="IB73">
        <v>6.9300000000000004E-3</v>
      </c>
      <c r="IC73">
        <v>6.2899999999999996E-3</v>
      </c>
      <c r="ID73">
        <v>3.9699999999999996E-3</v>
      </c>
      <c r="IE73">
        <v>3.7499999999999999E-3</v>
      </c>
      <c r="IF73">
        <v>3.7699999999999999E-3</v>
      </c>
      <c r="IG73">
        <v>4.5999999999999999E-3</v>
      </c>
      <c r="IH73">
        <v>4.7299999999999998E-3</v>
      </c>
      <c r="II73">
        <v>3.6800000000000001E-3</v>
      </c>
      <c r="IK73">
        <v>5.1700000000000001E-3</v>
      </c>
      <c r="IL73">
        <v>5.7000000000000002E-3</v>
      </c>
      <c r="IM73">
        <v>7.6499999999999997E-3</v>
      </c>
      <c r="IN73">
        <v>6.8300000000000001E-3</v>
      </c>
      <c r="IO73">
        <v>7.5199999999999998E-3</v>
      </c>
      <c r="IP73">
        <v>8.26E-3</v>
      </c>
      <c r="IQ73">
        <v>8.7799999999999996E-3</v>
      </c>
      <c r="IR73">
        <v>9.4900000000000002E-3</v>
      </c>
      <c r="IS73">
        <v>4.9899999999999996E-3</v>
      </c>
      <c r="IT73">
        <v>3.0400000000000002E-3</v>
      </c>
      <c r="IU73">
        <v>3.2299999999999998E-3</v>
      </c>
      <c r="IV73">
        <v>4.2399999999999998E-3</v>
      </c>
      <c r="IW73">
        <v>4.45E-3</v>
      </c>
      <c r="IX73">
        <v>4.6899999999999997E-3</v>
      </c>
      <c r="IY73">
        <v>4.3499999999999997E-3</v>
      </c>
      <c r="IZ73">
        <v>3.9699999999999996E-3</v>
      </c>
      <c r="JA73">
        <v>4.3400000000000001E-3</v>
      </c>
      <c r="JB73">
        <v>4.47E-3</v>
      </c>
      <c r="JC73">
        <v>5.0600000000000003E-3</v>
      </c>
      <c r="JD73">
        <v>5.0600000000000003E-3</v>
      </c>
      <c r="JE73">
        <v>5.7299999999999999E-3</v>
      </c>
      <c r="JF73">
        <v>6.8399999999999997E-3</v>
      </c>
      <c r="JG73">
        <v>8.9499999999999996E-3</v>
      </c>
      <c r="JH73">
        <v>7.7400000000000004E-3</v>
      </c>
      <c r="JI73">
        <v>4.5799999999999999E-3</v>
      </c>
      <c r="JJ73">
        <v>4.7099999999999998E-3</v>
      </c>
      <c r="JK73">
        <v>7.0000000000000001E-3</v>
      </c>
      <c r="JL73">
        <v>6.43E-3</v>
      </c>
      <c r="JM73">
        <v>5.1700000000000001E-3</v>
      </c>
      <c r="JN73">
        <v>5.2399999999999999E-3</v>
      </c>
      <c r="JP73">
        <v>7.0600000000000003E-3</v>
      </c>
      <c r="JQ73">
        <v>5.8999999999999999E-3</v>
      </c>
      <c r="JR73">
        <v>5.1900000000000002E-3</v>
      </c>
      <c r="JS73">
        <v>4.7699999999999999E-3</v>
      </c>
      <c r="JT73">
        <v>5.6800000000000002E-3</v>
      </c>
      <c r="JU73">
        <v>7.5300000000000002E-3</v>
      </c>
      <c r="JV73">
        <v>8.3300000000000006E-3</v>
      </c>
      <c r="JW73">
        <v>4.7299999999999998E-3</v>
      </c>
      <c r="JX73">
        <v>7.0600000000000003E-3</v>
      </c>
      <c r="JY73">
        <v>6.2300000000000003E-3</v>
      </c>
      <c r="JZ73">
        <v>5.2199999999999998E-3</v>
      </c>
      <c r="KA73">
        <v>5.0299999999999997E-3</v>
      </c>
      <c r="KB73">
        <v>5.0899999999999999E-3</v>
      </c>
      <c r="KC73">
        <v>5.1999999999999998E-3</v>
      </c>
      <c r="KD73">
        <v>5.4299999999999999E-3</v>
      </c>
      <c r="KE73">
        <v>8.8000000000000005E-3</v>
      </c>
      <c r="KF73">
        <v>9.4900000000000002E-3</v>
      </c>
      <c r="KG73">
        <v>9.9600000000000001E-3</v>
      </c>
      <c r="KH73">
        <v>1.018E-2</v>
      </c>
      <c r="KI73">
        <v>5.5999999999999999E-3</v>
      </c>
      <c r="KJ73">
        <v>5.6699999999999997E-3</v>
      </c>
      <c r="KK73">
        <v>5.5700000000000003E-3</v>
      </c>
      <c r="KL73">
        <v>5.96E-3</v>
      </c>
      <c r="KM73">
        <v>6.13E-3</v>
      </c>
      <c r="KN73">
        <v>6.5700000000000003E-3</v>
      </c>
      <c r="KO73">
        <v>6.3600000000000002E-3</v>
      </c>
      <c r="KP73">
        <v>5.6600000000000001E-3</v>
      </c>
      <c r="KQ73">
        <v>5.7600000000000004E-3</v>
      </c>
      <c r="KR73">
        <v>5.7299999999999999E-3</v>
      </c>
      <c r="KS73">
        <v>6.13E-3</v>
      </c>
      <c r="KT73">
        <v>6.4400000000000004E-3</v>
      </c>
      <c r="KU73">
        <v>6.7000000000000002E-3</v>
      </c>
      <c r="KV73">
        <v>6.1000000000000004E-3</v>
      </c>
      <c r="KW73">
        <v>5.5700000000000003E-3</v>
      </c>
      <c r="KX73">
        <v>9.4299999999999991E-3</v>
      </c>
      <c r="KY73">
        <v>7.4799999999999997E-3</v>
      </c>
      <c r="KZ73">
        <v>8.3899999999999999E-3</v>
      </c>
      <c r="LA73">
        <v>4.8399999999999997E-3</v>
      </c>
      <c r="LB73">
        <v>4.7699999999999999E-3</v>
      </c>
      <c r="LC73">
        <v>4.7499999999999999E-3</v>
      </c>
      <c r="LD73">
        <v>4.7499999999999999E-3</v>
      </c>
      <c r="LE73">
        <v>7.4200000000000004E-3</v>
      </c>
      <c r="LF73">
        <v>6.4900000000000001E-3</v>
      </c>
      <c r="LG73">
        <v>4.7200000000000002E-3</v>
      </c>
      <c r="LH73">
        <v>4.7600000000000003E-3</v>
      </c>
      <c r="LI73">
        <v>7.4400000000000004E-3</v>
      </c>
      <c r="LJ73">
        <v>7.7999999999999996E-3</v>
      </c>
      <c r="LK73">
        <v>7.9000000000000008E-3</v>
      </c>
      <c r="LL73">
        <v>4.7400000000000003E-3</v>
      </c>
      <c r="LM73">
        <v>3.79E-3</v>
      </c>
      <c r="LN73">
        <v>3.81E-3</v>
      </c>
      <c r="LO73">
        <v>4.0299999999999997E-3</v>
      </c>
      <c r="LP73">
        <v>3.7200000000000002E-3</v>
      </c>
      <c r="LR73">
        <v>7.1799999999999998E-3</v>
      </c>
      <c r="LS73">
        <v>8.0599999999999995E-3</v>
      </c>
      <c r="LT73">
        <v>4.2300000000000003E-3</v>
      </c>
      <c r="LU73">
        <v>4.45E-3</v>
      </c>
      <c r="LV73">
        <v>4.45E-3</v>
      </c>
      <c r="LW73">
        <v>5.0299999999999997E-3</v>
      </c>
      <c r="LX73">
        <v>5.5399999999999998E-3</v>
      </c>
      <c r="LY73">
        <v>5.5399999999999998E-3</v>
      </c>
      <c r="LZ73">
        <v>5.6299999999999996E-3</v>
      </c>
      <c r="MA73">
        <v>6.1599999999999997E-3</v>
      </c>
      <c r="MB73">
        <v>4.8999999999999998E-3</v>
      </c>
      <c r="MC73">
        <v>7.0600000000000003E-3</v>
      </c>
      <c r="MD73">
        <v>8.0199999999999994E-3</v>
      </c>
      <c r="ME73">
        <v>9.7199999999999995E-3</v>
      </c>
      <c r="MF73">
        <v>1.1950000000000001E-2</v>
      </c>
      <c r="MG73">
        <v>1.2919999999999999E-2</v>
      </c>
      <c r="MH73">
        <v>4.4799999999999996E-3</v>
      </c>
      <c r="MI73">
        <v>3.9500000000000004E-3</v>
      </c>
      <c r="MJ73">
        <v>4.28E-3</v>
      </c>
      <c r="MK73">
        <v>4.2100000000000002E-3</v>
      </c>
      <c r="ML73">
        <v>4.5599999999999998E-3</v>
      </c>
      <c r="MM73">
        <v>3.65E-3</v>
      </c>
      <c r="MN73">
        <v>4.47E-3</v>
      </c>
      <c r="MO73">
        <v>4.6699999999999997E-3</v>
      </c>
      <c r="MP73">
        <v>6.0299999999999998E-3</v>
      </c>
      <c r="MQ73">
        <v>3.5100000000000001E-3</v>
      </c>
      <c r="MR73">
        <v>4.6800000000000001E-3</v>
      </c>
      <c r="MS73">
        <v>4.7099999999999998E-3</v>
      </c>
      <c r="MT73">
        <v>6.1399999999999996E-3</v>
      </c>
      <c r="MU73">
        <v>4.9399999999999999E-3</v>
      </c>
      <c r="MV73">
        <v>5.0699999999999999E-3</v>
      </c>
      <c r="MW73">
        <v>5.1200000000000004E-3</v>
      </c>
      <c r="MX73">
        <v>5.1000000000000004E-3</v>
      </c>
      <c r="MY73">
        <v>5.3800000000000002E-3</v>
      </c>
      <c r="MZ73">
        <v>5.9100000000000003E-3</v>
      </c>
      <c r="NA73">
        <v>5.1999999999999998E-3</v>
      </c>
      <c r="NB73">
        <v>4.81E-3</v>
      </c>
      <c r="NC73">
        <v>3.16E-3</v>
      </c>
      <c r="ND73">
        <v>1.0880000000000001E-2</v>
      </c>
      <c r="NE73">
        <v>5.1000000000000004E-3</v>
      </c>
      <c r="NF73">
        <v>7.0200000000000002E-3</v>
      </c>
      <c r="NG73">
        <v>4.0099999999999997E-3</v>
      </c>
      <c r="NH73">
        <v>3.5799999999999998E-3</v>
      </c>
      <c r="NI73">
        <v>3.7499999999999999E-3</v>
      </c>
      <c r="NJ73">
        <v>4.0499999999999998E-3</v>
      </c>
      <c r="NK73">
        <v>3.81E-3</v>
      </c>
      <c r="NL73">
        <v>3.9300000000000003E-3</v>
      </c>
      <c r="NM73">
        <v>4.1200000000000004E-3</v>
      </c>
      <c r="NN73">
        <v>4.2100000000000002E-3</v>
      </c>
      <c r="NO73">
        <v>4.3400000000000001E-3</v>
      </c>
      <c r="NP73">
        <v>5.1200000000000004E-3</v>
      </c>
      <c r="NQ73">
        <v>3.8400000000000001E-3</v>
      </c>
      <c r="NS73">
        <v>4.1900000000000001E-3</v>
      </c>
      <c r="NT73">
        <v>4.3899999999999998E-3</v>
      </c>
      <c r="NU73">
        <v>3.9899999999999996E-3</v>
      </c>
      <c r="NV73">
        <v>4.1099999999999999E-3</v>
      </c>
      <c r="NW73">
        <v>4.3600000000000002E-3</v>
      </c>
      <c r="NX73">
        <v>4.0200000000000001E-3</v>
      </c>
      <c r="NY73">
        <v>4.28E-3</v>
      </c>
      <c r="NZ73">
        <v>4.2500000000000003E-3</v>
      </c>
      <c r="OB73">
        <v>4.9199999999999999E-3</v>
      </c>
      <c r="OC73">
        <v>4.0899999999999999E-3</v>
      </c>
      <c r="OD73">
        <v>4.0899999999999999E-3</v>
      </c>
      <c r="OE73">
        <v>4.0899999999999999E-3</v>
      </c>
      <c r="OF73">
        <v>6.9100000000000003E-3</v>
      </c>
      <c r="OH73">
        <v>4.4400000000000004E-3</v>
      </c>
      <c r="OI73">
        <v>4.4900000000000001E-3</v>
      </c>
      <c r="OJ73">
        <v>4.64E-3</v>
      </c>
      <c r="OK73">
        <v>4.7099999999999998E-3</v>
      </c>
      <c r="OL73">
        <v>4.7999999999999996E-3</v>
      </c>
      <c r="OM73">
        <v>5.45E-3</v>
      </c>
      <c r="ON73">
        <v>5.5500000000000002E-3</v>
      </c>
      <c r="OO73">
        <v>4.4099999999999999E-3</v>
      </c>
      <c r="OQ73">
        <v>4.7200000000000002E-3</v>
      </c>
      <c r="OR73">
        <v>5.1799999999999997E-3</v>
      </c>
      <c r="OS73">
        <v>5.5999999999999999E-3</v>
      </c>
      <c r="OT73">
        <v>5.4099999999999999E-3</v>
      </c>
      <c r="OU73">
        <v>5.5999999999999999E-3</v>
      </c>
      <c r="OV73">
        <v>5.4400000000000004E-3</v>
      </c>
      <c r="OW73">
        <v>5.0899999999999999E-3</v>
      </c>
      <c r="OX73">
        <v>5.4299999999999999E-3</v>
      </c>
      <c r="OY73">
        <v>5.7200000000000003E-3</v>
      </c>
      <c r="OZ73">
        <v>5.4099999999999999E-3</v>
      </c>
      <c r="PA73">
        <v>7.1999999999999998E-3</v>
      </c>
      <c r="PB73">
        <v>7.4400000000000004E-3</v>
      </c>
      <c r="PC73">
        <v>6.5199999999999998E-3</v>
      </c>
      <c r="PD73">
        <v>5.8900000000000003E-3</v>
      </c>
      <c r="PE73">
        <v>5.62E-3</v>
      </c>
      <c r="PF73">
        <v>5.7299999999999999E-3</v>
      </c>
      <c r="PG73">
        <v>5.1900000000000002E-3</v>
      </c>
      <c r="PH73">
        <v>5.3299999999999997E-3</v>
      </c>
      <c r="PI73">
        <v>6.13E-3</v>
      </c>
      <c r="PJ73">
        <v>5.7800000000000004E-3</v>
      </c>
      <c r="PK73">
        <v>5.3899999999999998E-3</v>
      </c>
      <c r="PL73">
        <v>5.7499999999999999E-3</v>
      </c>
      <c r="PM73">
        <v>4.9399999999999999E-3</v>
      </c>
      <c r="PN73">
        <v>4.6800000000000001E-3</v>
      </c>
      <c r="PP73">
        <v>3.82E-3</v>
      </c>
      <c r="PQ73">
        <v>5.11E-3</v>
      </c>
      <c r="PR73">
        <v>4.6499999999999996E-3</v>
      </c>
      <c r="PS73">
        <v>3.8899999999999998E-3</v>
      </c>
      <c r="PT73">
        <v>6.11E-3</v>
      </c>
      <c r="PU73">
        <v>4.8999999999999998E-3</v>
      </c>
      <c r="PV73">
        <v>3.16E-3</v>
      </c>
      <c r="PW73">
        <v>2.9099999999999998E-3</v>
      </c>
      <c r="PX73">
        <v>2.8600000000000001E-3</v>
      </c>
      <c r="PY73">
        <v>2.8E-3</v>
      </c>
      <c r="PZ73">
        <v>2.82E-3</v>
      </c>
      <c r="QA73">
        <v>4.1900000000000001E-3</v>
      </c>
      <c r="QB73">
        <v>4.4400000000000004E-3</v>
      </c>
      <c r="QD73">
        <v>5.6299999999999996E-3</v>
      </c>
      <c r="QE73">
        <v>4.4299999999999999E-3</v>
      </c>
      <c r="QF73">
        <v>4.8900000000000002E-3</v>
      </c>
      <c r="QG73">
        <v>6.43E-3</v>
      </c>
      <c r="QH73">
        <v>4.7600000000000003E-3</v>
      </c>
      <c r="QI73">
        <v>4.9199999999999999E-3</v>
      </c>
      <c r="QL73">
        <v>4.6899999999999997E-3</v>
      </c>
      <c r="QM73">
        <v>5.1599999999999997E-3</v>
      </c>
      <c r="QN73">
        <v>8.1399999999999997E-3</v>
      </c>
      <c r="QO73">
        <v>6.45E-3</v>
      </c>
      <c r="QP73">
        <v>7.0400000000000003E-3</v>
      </c>
      <c r="QQ73">
        <v>7.0499999999999998E-3</v>
      </c>
      <c r="QR73">
        <v>7.0299999999999998E-3</v>
      </c>
      <c r="QS73">
        <v>7.0800000000000004E-3</v>
      </c>
      <c r="QT73">
        <v>5.3E-3</v>
      </c>
      <c r="QU73">
        <v>5.2900000000000004E-3</v>
      </c>
      <c r="QV73">
        <v>5.2599999999999999E-3</v>
      </c>
      <c r="QW73">
        <v>5.5999999999999999E-3</v>
      </c>
      <c r="QX73">
        <v>4.9100000000000003E-3</v>
      </c>
      <c r="QY73">
        <v>4.8700000000000002E-3</v>
      </c>
      <c r="QZ73">
        <v>5.0299999999999997E-3</v>
      </c>
      <c r="RA73">
        <v>4.7400000000000003E-3</v>
      </c>
      <c r="RB73">
        <v>5.13E-3</v>
      </c>
      <c r="RC73">
        <v>4.6699999999999997E-3</v>
      </c>
      <c r="RD73">
        <v>4.8599999999999997E-3</v>
      </c>
      <c r="RE73">
        <v>4.4999999999999997E-3</v>
      </c>
      <c r="RF73">
        <v>5.4999999999999997E-3</v>
      </c>
      <c r="RG73">
        <v>4.3099999999999996E-3</v>
      </c>
      <c r="RH73">
        <v>5.13E-3</v>
      </c>
      <c r="RI73">
        <v>6.45E-3</v>
      </c>
      <c r="RJ73">
        <v>4.7800000000000004E-3</v>
      </c>
      <c r="RK73">
        <v>4.9199999999999999E-3</v>
      </c>
      <c r="RL73">
        <v>4.6299999999999996E-3</v>
      </c>
      <c r="RM73">
        <v>4.0200000000000001E-3</v>
      </c>
      <c r="RN73">
        <v>4.1000000000000003E-3</v>
      </c>
      <c r="RO73">
        <v>4.1000000000000003E-3</v>
      </c>
      <c r="RP73">
        <v>4.1399999999999996E-3</v>
      </c>
      <c r="RQ73">
        <v>4.5599999999999998E-3</v>
      </c>
      <c r="RR73">
        <v>4.3099999999999996E-3</v>
      </c>
      <c r="RS73">
        <v>4.45E-3</v>
      </c>
      <c r="RT73">
        <v>3.6700000000000001E-3</v>
      </c>
      <c r="RU73">
        <v>5.1000000000000004E-3</v>
      </c>
      <c r="RV73">
        <v>4.4900000000000001E-3</v>
      </c>
      <c r="RW73">
        <v>4.8999999999999998E-3</v>
      </c>
      <c r="RX73">
        <v>4.64E-3</v>
      </c>
      <c r="RY73">
        <v>5.1500000000000001E-3</v>
      </c>
      <c r="RZ73">
        <v>3.5100000000000001E-3</v>
      </c>
      <c r="SA73">
        <v>3.8999999999999998E-3</v>
      </c>
      <c r="SB73">
        <v>3.6900000000000001E-3</v>
      </c>
      <c r="SC73">
        <v>5.3E-3</v>
      </c>
      <c r="SD73">
        <v>5.8199999999999997E-3</v>
      </c>
      <c r="SE73">
        <v>5.3600000000000002E-3</v>
      </c>
      <c r="SF73">
        <v>6.0499999999999998E-3</v>
      </c>
      <c r="SG73">
        <v>7.3400000000000002E-3</v>
      </c>
      <c r="SH73">
        <v>9.5200000000000007E-3</v>
      </c>
      <c r="SI73">
        <v>5.2399999999999999E-3</v>
      </c>
      <c r="SJ73">
        <v>4.4999999999999997E-3</v>
      </c>
      <c r="SK73">
        <v>3.8899999999999998E-3</v>
      </c>
      <c r="SL73">
        <v>4.3299999999999996E-3</v>
      </c>
      <c r="SM73">
        <v>3.6700000000000001E-3</v>
      </c>
      <c r="SN73">
        <v>4.3099999999999996E-3</v>
      </c>
      <c r="SO73">
        <v>4.2399999999999998E-3</v>
      </c>
      <c r="SP73">
        <v>5.5599999999999998E-3</v>
      </c>
      <c r="SQ73">
        <v>4.5999999999999999E-3</v>
      </c>
      <c r="SS73">
        <v>4.7999999999999996E-3</v>
      </c>
      <c r="ST73">
        <v>4.6899999999999997E-3</v>
      </c>
      <c r="SU73">
        <v>4.9899999999999996E-3</v>
      </c>
      <c r="SV73">
        <v>4.79E-3</v>
      </c>
      <c r="SW73">
        <v>5.0699999999999999E-3</v>
      </c>
      <c r="SX73">
        <v>4.62E-3</v>
      </c>
      <c r="SY73">
        <v>4.6899999999999997E-3</v>
      </c>
      <c r="SZ73">
        <v>5.0899999999999999E-3</v>
      </c>
      <c r="TA73">
        <v>4.7999999999999996E-3</v>
      </c>
      <c r="TB73">
        <v>5.77E-3</v>
      </c>
      <c r="TD73">
        <v>4.3400000000000001E-3</v>
      </c>
      <c r="TE73">
        <v>6.0899999999999999E-3</v>
      </c>
      <c r="TF73">
        <v>4.79E-3</v>
      </c>
      <c r="TG73">
        <v>5.6899999999999997E-3</v>
      </c>
      <c r="TI73">
        <v>5.1599999999999997E-3</v>
      </c>
      <c r="TJ73">
        <v>6.1999999999999998E-3</v>
      </c>
      <c r="TK73">
        <v>4.1399999999999996E-3</v>
      </c>
      <c r="TL73">
        <v>4.0899999999999999E-3</v>
      </c>
      <c r="TM73">
        <v>4.0800000000000003E-3</v>
      </c>
      <c r="TN73">
        <v>4.4900000000000001E-3</v>
      </c>
      <c r="TO73">
        <v>5.2900000000000004E-3</v>
      </c>
      <c r="TP73">
        <v>4.5300000000000002E-3</v>
      </c>
      <c r="TQ73">
        <v>5.1599999999999997E-3</v>
      </c>
      <c r="TR73">
        <v>5.4200000000000003E-3</v>
      </c>
      <c r="TS73">
        <v>4.8399999999999997E-3</v>
      </c>
      <c r="TT73">
        <v>4.9500000000000004E-3</v>
      </c>
      <c r="TU73">
        <v>4.7299999999999998E-3</v>
      </c>
      <c r="TV73">
        <v>4.0499999999999998E-3</v>
      </c>
      <c r="TW73">
        <v>4.6499999999999996E-3</v>
      </c>
      <c r="TX73">
        <v>5.0400000000000002E-3</v>
      </c>
      <c r="TY73">
        <v>5.11E-3</v>
      </c>
      <c r="TZ73">
        <v>5.13E-3</v>
      </c>
      <c r="UA73">
        <v>5.1799999999999997E-3</v>
      </c>
      <c r="UB73">
        <v>5.0200000000000002E-3</v>
      </c>
      <c r="UC73">
        <v>4.6800000000000001E-3</v>
      </c>
      <c r="UD73">
        <v>4.7800000000000004E-3</v>
      </c>
      <c r="UE73">
        <v>4.96E-3</v>
      </c>
      <c r="UF73">
        <v>3.82E-3</v>
      </c>
      <c r="UG73">
        <v>4.3E-3</v>
      </c>
      <c r="UH73">
        <v>5.0800000000000003E-3</v>
      </c>
      <c r="UI73">
        <v>4.0600000000000002E-3</v>
      </c>
      <c r="UJ73">
        <v>5.0200000000000002E-3</v>
      </c>
      <c r="UK73">
        <v>5.1500000000000001E-3</v>
      </c>
      <c r="UL73">
        <v>5.1200000000000004E-3</v>
      </c>
      <c r="UN73">
        <v>4.9899999999999996E-3</v>
      </c>
      <c r="UO73">
        <v>4.8199999999999996E-3</v>
      </c>
      <c r="UP73">
        <v>5.8799999999999998E-3</v>
      </c>
      <c r="UQ73">
        <v>4.81E-3</v>
      </c>
      <c r="UR73">
        <v>4.8199999999999996E-3</v>
      </c>
      <c r="US73">
        <v>5.0899999999999999E-3</v>
      </c>
      <c r="UT73">
        <v>4.7600000000000003E-3</v>
      </c>
      <c r="UU73">
        <v>4.79E-3</v>
      </c>
      <c r="UV73">
        <v>5.0800000000000003E-3</v>
      </c>
      <c r="UW73">
        <v>4.9699999999999996E-3</v>
      </c>
      <c r="UX73">
        <v>3.9300000000000003E-3</v>
      </c>
      <c r="UY73">
        <v>4.3800000000000002E-3</v>
      </c>
      <c r="UZ73">
        <v>5.0600000000000003E-3</v>
      </c>
      <c r="VA73">
        <v>5.96E-3</v>
      </c>
      <c r="VB73">
        <v>5.28E-3</v>
      </c>
      <c r="VC73">
        <v>4.9800000000000001E-3</v>
      </c>
      <c r="VD73">
        <v>3.7699999999999999E-3</v>
      </c>
      <c r="VE73">
        <v>4.6800000000000001E-3</v>
      </c>
      <c r="VF73">
        <v>4.3299999999999996E-3</v>
      </c>
      <c r="VG73">
        <v>7.3200000000000001E-3</v>
      </c>
      <c r="VH73">
        <v>3.8999999999999998E-3</v>
      </c>
      <c r="VI73">
        <v>4.5199999999999997E-3</v>
      </c>
    </row>
  </sheetData>
  <pageMargins left="0.7" right="0.7" top="0.75" bottom="0.75" header="0.3" footer="0.3"/>
  <pageSetup paperSize="9" orientation="portrait" r:id="rId1"/>
  <headerFooter differentOddEven="1" differentFirst="1">
    <oddFooter>&amp;L &amp;"arial,Regular"&amp;10Internal Use</oddFooter>
    <evenFooter>&amp;L &amp;"arial,Regular"&amp;10Internal Use</evenFooter>
    <firstFooter>&amp;L &amp;"arial,Regular"&amp;10Internal Use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FDD43-9B5F-4EA4-9DD8-F5A734F18C06}">
  <sheetPr codeName="Sheet13"/>
  <dimension ref="A22:V22"/>
  <sheetViews>
    <sheetView zoomScaleNormal="100" workbookViewId="0">
      <selection activeCell="C33" sqref="C33"/>
    </sheetView>
  </sheetViews>
  <sheetFormatPr defaultRowHeight="15" x14ac:dyDescent="0.25"/>
  <sheetData>
    <row r="22" spans="1:22" x14ac:dyDescent="0.25">
      <c r="A22" s="8" t="s">
        <v>1749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</sheetData>
  <mergeCells count="1">
    <mergeCell ref="A22:V22"/>
  </mergeCells>
  <pageMargins left="0.7" right="0.7" top="0.75" bottom="0.75" header="0.3" footer="0.3"/>
  <pageSetup paperSize="9" orientation="portrait" r:id="rId1"/>
  <headerFooter differentOddEven="1" differentFirst="1">
    <oddFooter>&amp;L &amp;"arial,Regular"&amp;10Internal Use</oddFooter>
    <evenFooter>&amp;L &amp;"arial,Regular"&amp;10Internal Use</evenFooter>
    <firstFooter>&amp;L &amp;"arial,Regular"&amp;10Internal Use</first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577</vt:i4>
      </vt:variant>
    </vt:vector>
  </HeadingPairs>
  <TitlesOfParts>
    <vt:vector size="582" baseType="lpstr">
      <vt:lpstr>Summary</vt:lpstr>
      <vt:lpstr>DB</vt:lpstr>
      <vt:lpstr>RE@CD</vt:lpstr>
      <vt:lpstr>RECD</vt:lpstr>
      <vt:lpstr>PLOT</vt:lpstr>
      <vt:lpstr>ag03_</vt:lpstr>
      <vt:lpstr>ag04_</vt:lpstr>
      <vt:lpstr>ag08_</vt:lpstr>
      <vt:lpstr>ag09_</vt:lpstr>
      <vt:lpstr>ag10_</vt:lpstr>
      <vt:lpstr>ag11_</vt:lpstr>
      <vt:lpstr>ag12_</vt:lpstr>
      <vt:lpstr>ag13_</vt:lpstr>
      <vt:lpstr>ag14_</vt:lpstr>
      <vt:lpstr>ag16_</vt:lpstr>
      <vt:lpstr>ag17_</vt:lpstr>
      <vt:lpstr>ag18_</vt:lpstr>
      <vt:lpstr>ag19_</vt:lpstr>
      <vt:lpstr>ag35_</vt:lpstr>
      <vt:lpstr>ag36_</vt:lpstr>
      <vt:lpstr>ag37_</vt:lpstr>
      <vt:lpstr>ag38_</vt:lpstr>
      <vt:lpstr>ag44ct02r_</vt:lpstr>
      <vt:lpstr>ag455ct02r_</vt:lpstr>
      <vt:lpstr>ag45c03_</vt:lpstr>
      <vt:lpstr>ag45ct02r_</vt:lpstr>
      <vt:lpstr>ag46c03_</vt:lpstr>
      <vt:lpstr>ag46ct02r_</vt:lpstr>
      <vt:lpstr>ag47c03_</vt:lpstr>
      <vt:lpstr>ag47ct02r_</vt:lpstr>
      <vt:lpstr>ah63k127_</vt:lpstr>
      <vt:lpstr>ah6407_</vt:lpstr>
      <vt:lpstr>ah7476_</vt:lpstr>
      <vt:lpstr>ah79100a_</vt:lpstr>
      <vt:lpstr>ah79100b_</vt:lpstr>
      <vt:lpstr>ah79100c_</vt:lpstr>
      <vt:lpstr>ah79k132_</vt:lpstr>
      <vt:lpstr>ah79k135_</vt:lpstr>
      <vt:lpstr>ah79k143_</vt:lpstr>
      <vt:lpstr>ah80129_</vt:lpstr>
      <vt:lpstr>ah80136_</vt:lpstr>
      <vt:lpstr>ah80140_</vt:lpstr>
      <vt:lpstr>ah81131_</vt:lpstr>
      <vt:lpstr>ah81k144_</vt:lpstr>
      <vt:lpstr>ah81k144wfKlappe_</vt:lpstr>
      <vt:lpstr>ah82150a_</vt:lpstr>
      <vt:lpstr>ah82150f_</vt:lpstr>
      <vt:lpstr>ah83150q_</vt:lpstr>
      <vt:lpstr>ah83159_</vt:lpstr>
      <vt:lpstr>ah85l120_</vt:lpstr>
      <vt:lpstr>ah88k130_</vt:lpstr>
      <vt:lpstr>ah88k136_</vt:lpstr>
      <vt:lpstr>ah93156_</vt:lpstr>
      <vt:lpstr>ah93157_</vt:lpstr>
      <vt:lpstr>ah93k130_</vt:lpstr>
      <vt:lpstr>ah93k131_</vt:lpstr>
      <vt:lpstr>ah93k132_</vt:lpstr>
      <vt:lpstr>ah93w145_</vt:lpstr>
      <vt:lpstr>ah93w174_</vt:lpstr>
      <vt:lpstr>ah93w215_</vt:lpstr>
      <vt:lpstr>ah93w257_</vt:lpstr>
      <vt:lpstr>ah93w300_</vt:lpstr>
      <vt:lpstr>ah94145_</vt:lpstr>
      <vt:lpstr>ah94156_</vt:lpstr>
      <vt:lpstr>ah94w301_</vt:lpstr>
      <vt:lpstr>ah95160_</vt:lpstr>
      <vt:lpstr>dae11_</vt:lpstr>
      <vt:lpstr>dae21_</vt:lpstr>
      <vt:lpstr>dae31_</vt:lpstr>
      <vt:lpstr>dae51_</vt:lpstr>
      <vt:lpstr>defcnd1_</vt:lpstr>
      <vt:lpstr>defcnd2_</vt:lpstr>
      <vt:lpstr>defcnd3_</vt:lpstr>
      <vt:lpstr>du8608418_</vt:lpstr>
      <vt:lpstr>du861372_</vt:lpstr>
      <vt:lpstr>e1098_</vt:lpstr>
      <vt:lpstr>e1210_</vt:lpstr>
      <vt:lpstr>e1211_</vt:lpstr>
      <vt:lpstr>e1212_</vt:lpstr>
      <vt:lpstr>e1213_</vt:lpstr>
      <vt:lpstr>e1214_</vt:lpstr>
      <vt:lpstr>e1230_</vt:lpstr>
      <vt:lpstr>e1233_</vt:lpstr>
      <vt:lpstr>e168_</vt:lpstr>
      <vt:lpstr>e169_</vt:lpstr>
      <vt:lpstr>e171_</vt:lpstr>
      <vt:lpstr>e174_</vt:lpstr>
      <vt:lpstr>e176_</vt:lpstr>
      <vt:lpstr>e178_</vt:lpstr>
      <vt:lpstr>e180_</vt:lpstr>
      <vt:lpstr>e182_</vt:lpstr>
      <vt:lpstr>e184_</vt:lpstr>
      <vt:lpstr>e186_</vt:lpstr>
      <vt:lpstr>e193_</vt:lpstr>
      <vt:lpstr>e195_</vt:lpstr>
      <vt:lpstr>e197_</vt:lpstr>
      <vt:lpstr>e201_</vt:lpstr>
      <vt:lpstr>e203_</vt:lpstr>
      <vt:lpstr>e205_</vt:lpstr>
      <vt:lpstr>e207_</vt:lpstr>
      <vt:lpstr>e209_</vt:lpstr>
      <vt:lpstr>e210_</vt:lpstr>
      <vt:lpstr>e211_</vt:lpstr>
      <vt:lpstr>e212_</vt:lpstr>
      <vt:lpstr>e214_</vt:lpstr>
      <vt:lpstr>e216_</vt:lpstr>
      <vt:lpstr>e220_</vt:lpstr>
      <vt:lpstr>e221_</vt:lpstr>
      <vt:lpstr>e222_</vt:lpstr>
      <vt:lpstr>e224_</vt:lpstr>
      <vt:lpstr>e226_</vt:lpstr>
      <vt:lpstr>e228_</vt:lpstr>
      <vt:lpstr>e230_</vt:lpstr>
      <vt:lpstr>e266_</vt:lpstr>
      <vt:lpstr>e297_</vt:lpstr>
      <vt:lpstr>e325_</vt:lpstr>
      <vt:lpstr>e326_</vt:lpstr>
      <vt:lpstr>e327_</vt:lpstr>
      <vt:lpstr>e328_</vt:lpstr>
      <vt:lpstr>e329_</vt:lpstr>
      <vt:lpstr>e330_</vt:lpstr>
      <vt:lpstr>e331_</vt:lpstr>
      <vt:lpstr>e332_</vt:lpstr>
      <vt:lpstr>e333_</vt:lpstr>
      <vt:lpstr>e334_</vt:lpstr>
      <vt:lpstr>e335_</vt:lpstr>
      <vt:lpstr>e336_</vt:lpstr>
      <vt:lpstr>e337_</vt:lpstr>
      <vt:lpstr>e338_</vt:lpstr>
      <vt:lpstr>e339_</vt:lpstr>
      <vt:lpstr>e341_</vt:lpstr>
      <vt:lpstr>e342_</vt:lpstr>
      <vt:lpstr>e343_</vt:lpstr>
      <vt:lpstr>e344_</vt:lpstr>
      <vt:lpstr>e360_</vt:lpstr>
      <vt:lpstr>e361_</vt:lpstr>
      <vt:lpstr>e374_</vt:lpstr>
      <vt:lpstr>e376_</vt:lpstr>
      <vt:lpstr>e377_</vt:lpstr>
      <vt:lpstr>e377m_</vt:lpstr>
      <vt:lpstr>e378_</vt:lpstr>
      <vt:lpstr>e379_</vt:lpstr>
      <vt:lpstr>e385_</vt:lpstr>
      <vt:lpstr>e387_</vt:lpstr>
      <vt:lpstr>e392_</vt:lpstr>
      <vt:lpstr>e393_</vt:lpstr>
      <vt:lpstr>e395_</vt:lpstr>
      <vt:lpstr>e396_</vt:lpstr>
      <vt:lpstr>e397_</vt:lpstr>
      <vt:lpstr>e398_</vt:lpstr>
      <vt:lpstr>e399_</vt:lpstr>
      <vt:lpstr>e403_</vt:lpstr>
      <vt:lpstr>e407_</vt:lpstr>
      <vt:lpstr>e417_</vt:lpstr>
      <vt:lpstr>e420_</vt:lpstr>
      <vt:lpstr>e421_</vt:lpstr>
      <vt:lpstr>e422_</vt:lpstr>
      <vt:lpstr>e423_</vt:lpstr>
      <vt:lpstr>e426_</vt:lpstr>
      <vt:lpstr>e428_</vt:lpstr>
      <vt:lpstr>e431_</vt:lpstr>
      <vt:lpstr>e432_</vt:lpstr>
      <vt:lpstr>e433_</vt:lpstr>
      <vt:lpstr>e434_</vt:lpstr>
      <vt:lpstr>e435_</vt:lpstr>
      <vt:lpstr>e471_</vt:lpstr>
      <vt:lpstr>e472_</vt:lpstr>
      <vt:lpstr>e473_</vt:lpstr>
      <vt:lpstr>e474_</vt:lpstr>
      <vt:lpstr>e475_</vt:lpstr>
      <vt:lpstr>e479_</vt:lpstr>
      <vt:lpstr>e485_</vt:lpstr>
      <vt:lpstr>e49_</vt:lpstr>
      <vt:lpstr>e502_</vt:lpstr>
      <vt:lpstr>e520_</vt:lpstr>
      <vt:lpstr>e521_</vt:lpstr>
      <vt:lpstr>e540_</vt:lpstr>
      <vt:lpstr>e541_</vt:lpstr>
      <vt:lpstr>e542_</vt:lpstr>
      <vt:lpstr>e543_</vt:lpstr>
      <vt:lpstr>e544_</vt:lpstr>
      <vt:lpstr>e545_</vt:lpstr>
      <vt:lpstr>e546_</vt:lpstr>
      <vt:lpstr>e547_</vt:lpstr>
      <vt:lpstr>e548_</vt:lpstr>
      <vt:lpstr>e549_</vt:lpstr>
      <vt:lpstr>e550_</vt:lpstr>
      <vt:lpstr>e551_</vt:lpstr>
      <vt:lpstr>e552_</vt:lpstr>
      <vt:lpstr>e553_</vt:lpstr>
      <vt:lpstr>e554_</vt:lpstr>
      <vt:lpstr>e555_</vt:lpstr>
      <vt:lpstr>e556_</vt:lpstr>
      <vt:lpstr>e557_</vt:lpstr>
      <vt:lpstr>e558_</vt:lpstr>
      <vt:lpstr>e559_</vt:lpstr>
      <vt:lpstr>e560_</vt:lpstr>
      <vt:lpstr>e561_</vt:lpstr>
      <vt:lpstr>e562_</vt:lpstr>
      <vt:lpstr>e58_</vt:lpstr>
      <vt:lpstr>e580_</vt:lpstr>
      <vt:lpstr>e582_</vt:lpstr>
      <vt:lpstr>e583_</vt:lpstr>
      <vt:lpstr>e584_</vt:lpstr>
      <vt:lpstr>e585_</vt:lpstr>
      <vt:lpstr>e587_</vt:lpstr>
      <vt:lpstr>e59_</vt:lpstr>
      <vt:lpstr>e591_</vt:lpstr>
      <vt:lpstr>e593_</vt:lpstr>
      <vt:lpstr>e598_</vt:lpstr>
      <vt:lpstr>e603_</vt:lpstr>
      <vt:lpstr>e604_</vt:lpstr>
      <vt:lpstr>e61_</vt:lpstr>
      <vt:lpstr>e62_</vt:lpstr>
      <vt:lpstr>e625_</vt:lpstr>
      <vt:lpstr>e63_</vt:lpstr>
      <vt:lpstr>e635_</vt:lpstr>
      <vt:lpstr>e636_</vt:lpstr>
      <vt:lpstr>e637_</vt:lpstr>
      <vt:lpstr>e638_</vt:lpstr>
      <vt:lpstr>e639_</vt:lpstr>
      <vt:lpstr>e64_</vt:lpstr>
      <vt:lpstr>e642_</vt:lpstr>
      <vt:lpstr>e654_</vt:lpstr>
      <vt:lpstr>e655_</vt:lpstr>
      <vt:lpstr>e656_</vt:lpstr>
      <vt:lpstr>e657_</vt:lpstr>
      <vt:lpstr>e66_</vt:lpstr>
      <vt:lpstr>e662_</vt:lpstr>
      <vt:lpstr>e664_</vt:lpstr>
      <vt:lpstr>e664ex_</vt:lpstr>
      <vt:lpstr>e668_</vt:lpstr>
      <vt:lpstr>e67_</vt:lpstr>
      <vt:lpstr>e678_</vt:lpstr>
      <vt:lpstr>e68_</vt:lpstr>
      <vt:lpstr>e682_</vt:lpstr>
      <vt:lpstr>e694_</vt:lpstr>
      <vt:lpstr>e71_</vt:lpstr>
      <vt:lpstr>e715_</vt:lpstr>
      <vt:lpstr>e748_</vt:lpstr>
      <vt:lpstr>e793_</vt:lpstr>
      <vt:lpstr>e817_</vt:lpstr>
      <vt:lpstr>e818_</vt:lpstr>
      <vt:lpstr>e836_</vt:lpstr>
      <vt:lpstr>e837_</vt:lpstr>
      <vt:lpstr>e838_</vt:lpstr>
      <vt:lpstr>e851_</vt:lpstr>
      <vt:lpstr>e853_</vt:lpstr>
      <vt:lpstr>e854_</vt:lpstr>
      <vt:lpstr>e855_</vt:lpstr>
      <vt:lpstr>e856_</vt:lpstr>
      <vt:lpstr>e857_</vt:lpstr>
      <vt:lpstr>e858_</vt:lpstr>
      <vt:lpstr>e862_</vt:lpstr>
      <vt:lpstr>e863_</vt:lpstr>
      <vt:lpstr>e864_</vt:lpstr>
      <vt:lpstr>e874_</vt:lpstr>
      <vt:lpstr>e904_</vt:lpstr>
      <vt:lpstr>e908_</vt:lpstr>
      <vt:lpstr>ea61009_</vt:lpstr>
      <vt:lpstr>ea61012_</vt:lpstr>
      <vt:lpstr>ea81006_</vt:lpstr>
      <vt:lpstr>eh0009_</vt:lpstr>
      <vt:lpstr>eh1070_</vt:lpstr>
      <vt:lpstr>eh1090_</vt:lpstr>
      <vt:lpstr>eh1590_</vt:lpstr>
      <vt:lpstr>eh2010_</vt:lpstr>
      <vt:lpstr>eh2012_</vt:lpstr>
      <vt:lpstr>eh2070_</vt:lpstr>
      <vt:lpstr>eh2510_</vt:lpstr>
      <vt:lpstr>eh3012_</vt:lpstr>
      <vt:lpstr>fx049915_</vt:lpstr>
      <vt:lpstr>fx05188_</vt:lpstr>
      <vt:lpstr>fx05191_</vt:lpstr>
      <vt:lpstr>fx057816_</vt:lpstr>
      <vt:lpstr>fx05h126_</vt:lpstr>
      <vt:lpstr>fx082512_</vt:lpstr>
      <vt:lpstr>fx08s176_</vt:lpstr>
      <vt:lpstr>fx2_</vt:lpstr>
      <vt:lpstr>fx38153_</vt:lpstr>
      <vt:lpstr>fx60100_</vt:lpstr>
      <vt:lpstr>fx601001_</vt:lpstr>
      <vt:lpstr>fx60100sm_</vt:lpstr>
      <vt:lpstr>fx60126_</vt:lpstr>
      <vt:lpstr>fx601261_</vt:lpstr>
      <vt:lpstr>fx60157_</vt:lpstr>
      <vt:lpstr>fx60160_</vt:lpstr>
      <vt:lpstr>fx60177_</vt:lpstr>
      <vt:lpstr>fx61147_</vt:lpstr>
      <vt:lpstr>fx61168_</vt:lpstr>
      <vt:lpstr>fx61184_</vt:lpstr>
      <vt:lpstr>fx63100_</vt:lpstr>
      <vt:lpstr>fx63110_</vt:lpstr>
      <vt:lpstr>fx63120_</vt:lpstr>
      <vt:lpstr>fx63137_</vt:lpstr>
      <vt:lpstr>fx63143_</vt:lpstr>
      <vt:lpstr>fx63145_</vt:lpstr>
      <vt:lpstr>fx63158_</vt:lpstr>
      <vt:lpstr>fx6617a2_</vt:lpstr>
      <vt:lpstr>fx6617ai_</vt:lpstr>
      <vt:lpstr>fx66182_</vt:lpstr>
      <vt:lpstr>fx66196v_</vt:lpstr>
      <vt:lpstr>fx66a175_</vt:lpstr>
      <vt:lpstr>fx66h60_</vt:lpstr>
      <vt:lpstr>fx66h80_</vt:lpstr>
      <vt:lpstr>fx66s161_</vt:lpstr>
      <vt:lpstr>fx66s171_</vt:lpstr>
      <vt:lpstr>fx66s196_</vt:lpstr>
      <vt:lpstr>fx67k150_</vt:lpstr>
      <vt:lpstr>fx67k170_</vt:lpstr>
      <vt:lpstr>fx68h120_</vt:lpstr>
      <vt:lpstr>fx69h083_</vt:lpstr>
      <vt:lpstr>fx69h098_</vt:lpstr>
      <vt:lpstr>fx69pr281_</vt:lpstr>
      <vt:lpstr>fx71089a_</vt:lpstr>
      <vt:lpstr>fx71120_</vt:lpstr>
      <vt:lpstr>fx711520_</vt:lpstr>
      <vt:lpstr>fx711525_</vt:lpstr>
      <vt:lpstr>fx711530_</vt:lpstr>
      <vt:lpstr>fx71l150_</vt:lpstr>
      <vt:lpstr>fx72150b_</vt:lpstr>
      <vt:lpstr>fx72ls160_</vt:lpstr>
      <vt:lpstr>fx73170_</vt:lpstr>
      <vt:lpstr>fx73170a_</vt:lpstr>
      <vt:lpstr>fx73cl1152_</vt:lpstr>
      <vt:lpstr>fx73cl2152_</vt:lpstr>
      <vt:lpstr>fx73cl3152_</vt:lpstr>
      <vt:lpstr>fx73k170_</vt:lpstr>
      <vt:lpstr>fx74080_</vt:lpstr>
      <vt:lpstr>fx74130wp1_</vt:lpstr>
      <vt:lpstr>fx74130wp2_</vt:lpstr>
      <vt:lpstr>fx74130wp2mod_</vt:lpstr>
      <vt:lpstr>fx74cl5140_</vt:lpstr>
      <vt:lpstr>fx74cl6140_</vt:lpstr>
      <vt:lpstr>fx74modsm_</vt:lpstr>
      <vt:lpstr>fx75141_</vt:lpstr>
      <vt:lpstr>fx75193_</vt:lpstr>
      <vt:lpstr>fx75vg166_</vt:lpstr>
      <vt:lpstr>fx76100_</vt:lpstr>
      <vt:lpstr>fx76120_</vt:lpstr>
      <vt:lpstr>fx76mp120_</vt:lpstr>
      <vt:lpstr>fx76mp140_</vt:lpstr>
      <vt:lpstr>fx76mp160_</vt:lpstr>
      <vt:lpstr>fx77080_</vt:lpstr>
      <vt:lpstr>fx77w121_</vt:lpstr>
      <vt:lpstr>fx77w153_</vt:lpstr>
      <vt:lpstr>fx77w258_</vt:lpstr>
      <vt:lpstr>fx77w270_</vt:lpstr>
      <vt:lpstr>fx77w343_</vt:lpstr>
      <vt:lpstr>fx78k140_</vt:lpstr>
      <vt:lpstr>fx78k140a20_</vt:lpstr>
      <vt:lpstr>fx78k150_</vt:lpstr>
      <vt:lpstr>fx78k161_</vt:lpstr>
      <vt:lpstr>fx78pk188_</vt:lpstr>
      <vt:lpstr>fx79k144_</vt:lpstr>
      <vt:lpstr>fx79l100_</vt:lpstr>
      <vt:lpstr>fx79l120_</vt:lpstr>
      <vt:lpstr>fx79w151a_</vt:lpstr>
      <vt:lpstr>fx80080_</vt:lpstr>
      <vt:lpstr>fx83w108_</vt:lpstr>
      <vt:lpstr>fx83w160_</vt:lpstr>
      <vt:lpstr>fx83w227_</vt:lpstr>
      <vt:lpstr>fx84w097_</vt:lpstr>
      <vt:lpstr>fx84w127_</vt:lpstr>
      <vt:lpstr>fx84w140_</vt:lpstr>
      <vt:lpstr>fx84w150_</vt:lpstr>
      <vt:lpstr>fx84w175_</vt:lpstr>
      <vt:lpstr>fx84w218_</vt:lpstr>
      <vt:lpstr>fxl142k_</vt:lpstr>
      <vt:lpstr>fxlv152_</vt:lpstr>
      <vt:lpstr>fxm2_</vt:lpstr>
      <vt:lpstr>fxs02196_</vt:lpstr>
      <vt:lpstr>fxs03182_</vt:lpstr>
      <vt:lpstr>fxs21158_</vt:lpstr>
      <vt:lpstr>hq010_</vt:lpstr>
      <vt:lpstr>hq07_</vt:lpstr>
      <vt:lpstr>hq09_</vt:lpstr>
      <vt:lpstr>hq1010_</vt:lpstr>
      <vt:lpstr>hq108_</vt:lpstr>
      <vt:lpstr>hq109_</vt:lpstr>
      <vt:lpstr>hq1510_</vt:lpstr>
      <vt:lpstr>hq1511_</vt:lpstr>
      <vt:lpstr>hq1512_</vt:lpstr>
      <vt:lpstr>hq158_</vt:lpstr>
      <vt:lpstr>hq1585_</vt:lpstr>
      <vt:lpstr>hq159b_</vt:lpstr>
      <vt:lpstr>hq2010_</vt:lpstr>
      <vt:lpstr>hq2012_</vt:lpstr>
      <vt:lpstr>hq208_</vt:lpstr>
      <vt:lpstr>hq209_</vt:lpstr>
      <vt:lpstr>hq2090sm_</vt:lpstr>
      <vt:lpstr>hq2195_</vt:lpstr>
      <vt:lpstr>hq2510_</vt:lpstr>
      <vt:lpstr>hq2511_</vt:lpstr>
      <vt:lpstr>hq2512_</vt:lpstr>
      <vt:lpstr>hq258_</vt:lpstr>
      <vt:lpstr>hq259_</vt:lpstr>
      <vt:lpstr>hq2590sm_</vt:lpstr>
      <vt:lpstr>hq259b_</vt:lpstr>
      <vt:lpstr>hq300gd2_</vt:lpstr>
      <vt:lpstr>hq3010_</vt:lpstr>
      <vt:lpstr>hq3011_</vt:lpstr>
      <vt:lpstr>hq3012_</vt:lpstr>
      <vt:lpstr>hq3013_</vt:lpstr>
      <vt:lpstr>hq3014_</vt:lpstr>
      <vt:lpstr>hq3015_</vt:lpstr>
      <vt:lpstr>hq308_</vt:lpstr>
      <vt:lpstr>hq309_</vt:lpstr>
      <vt:lpstr>hq3510_</vt:lpstr>
      <vt:lpstr>hq3512_</vt:lpstr>
      <vt:lpstr>hq3513_</vt:lpstr>
      <vt:lpstr>hq3514_</vt:lpstr>
      <vt:lpstr>hq3518_</vt:lpstr>
      <vt:lpstr>hq358_</vt:lpstr>
      <vt:lpstr>hq359_</vt:lpstr>
      <vt:lpstr>ht05_</vt:lpstr>
      <vt:lpstr>ht08_</vt:lpstr>
      <vt:lpstr>ht12_</vt:lpstr>
      <vt:lpstr>ht22_</vt:lpstr>
      <vt:lpstr>ht23_</vt:lpstr>
      <vt:lpstr>l7769_</vt:lpstr>
      <vt:lpstr>la2573a_</vt:lpstr>
      <vt:lpstr>mh102_</vt:lpstr>
      <vt:lpstr>mh104_</vt:lpstr>
      <vt:lpstr>mh106_</vt:lpstr>
      <vt:lpstr>mh108_</vt:lpstr>
      <vt:lpstr>mh110_</vt:lpstr>
      <vt:lpstr>mh112_</vt:lpstr>
      <vt:lpstr>mh113_</vt:lpstr>
      <vt:lpstr>mh114_</vt:lpstr>
      <vt:lpstr>mh115_</vt:lpstr>
      <vt:lpstr>mh116_</vt:lpstr>
      <vt:lpstr>mh117_</vt:lpstr>
      <vt:lpstr>mh120_</vt:lpstr>
      <vt:lpstr>mh121_</vt:lpstr>
      <vt:lpstr>mh122_</vt:lpstr>
      <vt:lpstr>mh18_</vt:lpstr>
      <vt:lpstr>mh20_</vt:lpstr>
      <vt:lpstr>mh200_</vt:lpstr>
      <vt:lpstr>mh201_</vt:lpstr>
      <vt:lpstr>mh22_</vt:lpstr>
      <vt:lpstr>mh23_</vt:lpstr>
      <vt:lpstr>mh24_</vt:lpstr>
      <vt:lpstr>mh25_</vt:lpstr>
      <vt:lpstr>mh26_</vt:lpstr>
      <vt:lpstr>mh27_</vt:lpstr>
      <vt:lpstr>mh30_</vt:lpstr>
      <vt:lpstr>mh32_</vt:lpstr>
      <vt:lpstr>mh38_</vt:lpstr>
      <vt:lpstr>mh42_</vt:lpstr>
      <vt:lpstr>mh43_</vt:lpstr>
      <vt:lpstr>mh44_</vt:lpstr>
      <vt:lpstr>mh45_</vt:lpstr>
      <vt:lpstr>mh46_</vt:lpstr>
      <vt:lpstr>mh60_</vt:lpstr>
      <vt:lpstr>mh61_</vt:lpstr>
      <vt:lpstr>mh62_</vt:lpstr>
      <vt:lpstr>mh64_</vt:lpstr>
      <vt:lpstr>mh70_</vt:lpstr>
      <vt:lpstr>mh78_</vt:lpstr>
      <vt:lpstr>mh80_</vt:lpstr>
      <vt:lpstr>mh81_</vt:lpstr>
      <vt:lpstr>mh82_</vt:lpstr>
      <vt:lpstr>mh83_</vt:lpstr>
      <vt:lpstr>mh84_</vt:lpstr>
      <vt:lpstr>mh91_</vt:lpstr>
      <vt:lpstr>mh92_</vt:lpstr>
      <vt:lpstr>mh93_</vt:lpstr>
      <vt:lpstr>mh94_</vt:lpstr>
      <vt:lpstr>mh95_</vt:lpstr>
      <vt:lpstr>mrc_16_</vt:lpstr>
      <vt:lpstr>mrc_20_</vt:lpstr>
      <vt:lpstr>nlf0115_</vt:lpstr>
      <vt:lpstr>nlf0215f_</vt:lpstr>
      <vt:lpstr>nlf1015_</vt:lpstr>
      <vt:lpstr>nlf414f_</vt:lpstr>
      <vt:lpstr>nlf415_</vt:lpstr>
      <vt:lpstr>nlf416_</vt:lpstr>
      <vt:lpstr>psu_90_125wl_</vt:lpstr>
      <vt:lpstr>psu94097_</vt:lpstr>
      <vt:lpstr>re_num_</vt:lpstr>
      <vt:lpstr>rg12_</vt:lpstr>
      <vt:lpstr>rg12a_</vt:lpstr>
      <vt:lpstr>rg12a189_</vt:lpstr>
      <vt:lpstr>rg14_</vt:lpstr>
      <vt:lpstr>rg1410_</vt:lpstr>
      <vt:lpstr>rg149_</vt:lpstr>
      <vt:lpstr>rg1495_</vt:lpstr>
      <vt:lpstr>rg14a147_</vt:lpstr>
      <vt:lpstr>rg15_</vt:lpstr>
      <vt:lpstr>rg15a111_</vt:lpstr>
      <vt:lpstr>rg15a213_</vt:lpstr>
      <vt:lpstr>rg8_</vt:lpstr>
      <vt:lpstr>s1010_</vt:lpstr>
      <vt:lpstr>s1012_</vt:lpstr>
      <vt:lpstr>s1014_</vt:lpstr>
      <vt:lpstr>s1016_</vt:lpstr>
      <vt:lpstr>s1020_</vt:lpstr>
      <vt:lpstr>s1046_</vt:lpstr>
      <vt:lpstr>s1048_</vt:lpstr>
      <vt:lpstr>s1091_</vt:lpstr>
      <vt:lpstr>s1210_</vt:lpstr>
      <vt:lpstr>s1223_</vt:lpstr>
      <vt:lpstr>s2027_</vt:lpstr>
      <vt:lpstr>s2046_</vt:lpstr>
      <vt:lpstr>s2048_</vt:lpstr>
      <vt:lpstr>s2050_</vt:lpstr>
      <vt:lpstr>s2055_</vt:lpstr>
      <vt:lpstr>s2060_</vt:lpstr>
      <vt:lpstr>s2062_</vt:lpstr>
      <vt:lpstr>s2091_</vt:lpstr>
      <vt:lpstr>s3002_</vt:lpstr>
      <vt:lpstr>s3010_</vt:lpstr>
      <vt:lpstr>s3014_</vt:lpstr>
      <vt:lpstr>s3016_</vt:lpstr>
      <vt:lpstr>s3021_</vt:lpstr>
      <vt:lpstr>s3024_</vt:lpstr>
      <vt:lpstr>s3025_</vt:lpstr>
      <vt:lpstr>s4022_</vt:lpstr>
      <vt:lpstr>s4053_</vt:lpstr>
      <vt:lpstr>s4061_</vt:lpstr>
      <vt:lpstr>s4062_</vt:lpstr>
      <vt:lpstr>s4083_</vt:lpstr>
      <vt:lpstr>s4110_</vt:lpstr>
      <vt:lpstr>s4158_</vt:lpstr>
      <vt:lpstr>s4180_</vt:lpstr>
      <vt:lpstr>s4233_</vt:lpstr>
      <vt:lpstr>s4310_</vt:lpstr>
      <vt:lpstr>s4320_</vt:lpstr>
      <vt:lpstr>s5010_</vt:lpstr>
      <vt:lpstr>s5020_</vt:lpstr>
      <vt:lpstr>s6061_</vt:lpstr>
      <vt:lpstr>s6062_</vt:lpstr>
      <vt:lpstr>s6063_</vt:lpstr>
      <vt:lpstr>s7012_</vt:lpstr>
      <vt:lpstr>s7055_</vt:lpstr>
      <vt:lpstr>s7075_</vt:lpstr>
      <vt:lpstr>s8025_</vt:lpstr>
      <vt:lpstr>s8035_</vt:lpstr>
      <vt:lpstr>s8036_</vt:lpstr>
      <vt:lpstr>s8037_</vt:lpstr>
      <vt:lpstr>s8038_</vt:lpstr>
      <vt:lpstr>s8055_</vt:lpstr>
      <vt:lpstr>s9000_</vt:lpstr>
      <vt:lpstr>s9026_</vt:lpstr>
      <vt:lpstr>s9027_</vt:lpstr>
      <vt:lpstr>s9032_</vt:lpstr>
      <vt:lpstr>s9033_</vt:lpstr>
      <vt:lpstr>s9037_</vt:lpstr>
      <vt:lpstr>sa7035_</vt:lpstr>
      <vt:lpstr>sa7036_</vt:lpstr>
      <vt:lpstr>sa7038_</vt:lpstr>
      <vt:lpstr>sd2030_</vt:lpstr>
      <vt:lpstr>sd2083_</vt:lpstr>
      <vt:lpstr>sd5060_</vt:lpstr>
      <vt:lpstr>sd6060_</vt:lpstr>
      <vt:lpstr>sd6080_</vt:lpstr>
      <vt:lpstr>sd7003_</vt:lpstr>
      <vt:lpstr>sd7032_</vt:lpstr>
      <vt:lpstr>sd7034_</vt:lpstr>
      <vt:lpstr>sd7037_</vt:lpstr>
      <vt:lpstr>sd7043_</vt:lpstr>
      <vt:lpstr>sd7062_</vt:lpstr>
      <vt:lpstr>sd7080_</vt:lpstr>
      <vt:lpstr>sd7084_</vt:lpstr>
      <vt:lpstr>sd7090_</vt:lpstr>
      <vt:lpstr>sd8000_</vt:lpstr>
      <vt:lpstr>sd8020_</vt:lpstr>
      <vt:lpstr>sd8040_</vt:lpstr>
      <vt:lpstr>sg6040_</vt:lpstr>
      <vt:lpstr>sg6041_</vt:lpstr>
      <vt:lpstr>sg6042_</vt:lpstr>
      <vt:lpstr>sg6043_</vt:lpstr>
      <vt:lpstr>sg6050_</vt:lpstr>
      <vt:lpstr>sg6051_</vt:lpstr>
      <vt:lpstr>sm701_</vt:lpstr>
      <vt:lpstr>ste87151_</vt:lpstr>
      <vt:lpstr>ste87391_</vt:lpstr>
      <vt:lpstr>stf86361_</vt:lpstr>
      <vt:lpstr>th25816_</vt:lpstr>
      <vt:lpstr>ys915_</vt:lpstr>
      <vt:lpstr>ys930_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Jayawardane</dc:creator>
  <cp:lastModifiedBy>Kanishka Jayawardane</cp:lastModifiedBy>
  <dcterms:created xsi:type="dcterms:W3CDTF">2021-01-01T05:57:34Z</dcterms:created>
  <dcterms:modified xsi:type="dcterms:W3CDTF">2021-01-09T03:48:26Z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08e30088-9ecf-40b7-99d3-097d5d45d283</vt:lpwstr>
  </property>
  <property fmtid="{D5CDD505-2E9C-101B-9397-08002B2CF9AE}" pid="3" name="TDLP">
    <vt:lpwstr/>
  </property>
  <property fmtid="{D5CDD505-2E9C-101B-9397-08002B2CF9AE}" pid="4" name="VocusClassification">
    <vt:lpwstr>Internal Use</vt:lpwstr>
  </property>
</Properties>
</file>